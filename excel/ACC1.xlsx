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PRODUCT8\Desktop\Accessory 2026\SP684+PM\"/>
    </mc:Choice>
  </mc:AlternateContent>
  <xr:revisionPtr revIDLastSave="0" documentId="13_ncr:1_{2C444B3A-5459-4B17-8C3C-371F082A49BB}" xr6:coauthVersionLast="47" xr6:coauthVersionMax="47" xr10:uidLastSave="{00000000-0000-0000-0000-000000000000}"/>
  <bookViews>
    <workbookView xWindow="28665" yWindow="-135" windowWidth="29070" windowHeight="15750" xr2:uid="{5B53335B-A467-4115-B700-9517C5BDCC80}"/>
  </bookViews>
  <sheets>
    <sheet name="ราคาขาย 4-5-69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'ราคาขาย 4-5-69'!$A$1:$P$1471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95" i="3" l="1"/>
  <c r="J794" i="3"/>
  <c r="J792" i="3"/>
  <c r="J791" i="3"/>
  <c r="J790" i="3"/>
  <c r="J782" i="3"/>
  <c r="J780" i="3"/>
  <c r="J779" i="3"/>
  <c r="J776" i="3"/>
  <c r="H774" i="3"/>
  <c r="J774" i="3" s="1"/>
  <c r="H773" i="3"/>
  <c r="J773" i="3" s="1"/>
  <c r="H772" i="3"/>
  <c r="J772" i="3" s="1"/>
  <c r="J787" i="3"/>
  <c r="J786" i="3"/>
  <c r="J785" i="3"/>
  <c r="J784" i="3"/>
  <c r="J783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27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4" i="3"/>
  <c r="J624" i="3" s="1"/>
  <c r="H625" i="3"/>
  <c r="J625" i="3" s="1"/>
  <c r="H623" i="3"/>
  <c r="J623" i="3" s="1"/>
  <c r="H622" i="3"/>
  <c r="J622" i="3" s="1"/>
  <c r="H621" i="3"/>
  <c r="J621" i="3" s="1"/>
  <c r="H620" i="3"/>
  <c r="J620" i="3" s="1"/>
  <c r="J1463" i="3"/>
  <c r="H1466" i="3"/>
  <c r="J1466" i="3" s="1"/>
  <c r="H1465" i="3"/>
  <c r="J1465" i="3" s="1"/>
  <c r="H1464" i="3"/>
  <c r="J1464" i="3" s="1"/>
  <c r="H1461" i="3"/>
  <c r="J1461" i="3" s="1"/>
  <c r="H1460" i="3"/>
  <c r="J1460" i="3" s="1"/>
  <c r="H1459" i="3"/>
  <c r="J1459" i="3" s="1"/>
  <c r="H1456" i="3"/>
  <c r="J1456" i="3" s="1"/>
  <c r="H1455" i="3"/>
  <c r="J1455" i="3" s="1"/>
  <c r="H1467" i="3"/>
  <c r="J1467" i="3" s="1"/>
  <c r="H1454" i="3"/>
  <c r="J1454" i="3" s="1"/>
  <c r="H1444" i="3"/>
  <c r="J1444" i="3" s="1"/>
  <c r="H16" i="3"/>
  <c r="H14" i="3"/>
  <c r="H12" i="3"/>
  <c r="J12" i="3" s="1"/>
  <c r="H1468" i="3"/>
  <c r="J1468" i="3" s="1"/>
  <c r="H1457" i="3"/>
  <c r="J1457" i="3" s="1"/>
  <c r="H1452" i="3"/>
  <c r="J1452" i="3" s="1"/>
  <c r="H1445" i="3"/>
  <c r="J1445" i="3" s="1"/>
  <c r="H1449" i="3"/>
  <c r="J1449" i="3" s="1"/>
  <c r="H1448" i="3"/>
  <c r="J1448" i="3" s="1"/>
  <c r="H1447" i="3"/>
  <c r="J1447" i="3" s="1"/>
  <c r="H1446" i="3"/>
  <c r="J1446" i="3" s="1"/>
  <c r="H1450" i="3"/>
  <c r="J1450" i="3" s="1"/>
  <c r="J1462" i="3"/>
  <c r="J1458" i="3"/>
  <c r="D1471" i="3" l="1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0" i="3"/>
  <c r="D768" i="3"/>
  <c r="D766" i="3"/>
  <c r="D764" i="3"/>
  <c r="D762" i="3"/>
  <c r="D760" i="3"/>
  <c r="D759" i="3"/>
  <c r="D758" i="3"/>
  <c r="D757" i="3"/>
  <c r="D756" i="3"/>
  <c r="D755" i="3"/>
  <c r="D754" i="3"/>
  <c r="D753" i="3"/>
  <c r="D752" i="3"/>
  <c r="D751" i="3"/>
  <c r="D749" i="3"/>
  <c r="D747" i="3"/>
  <c r="D745" i="3"/>
  <c r="D743" i="3"/>
  <c r="D742" i="3"/>
  <c r="D740" i="3"/>
  <c r="D738" i="3"/>
  <c r="D736" i="3"/>
  <c r="D734" i="3"/>
  <c r="D733" i="3"/>
  <c r="D732" i="3"/>
  <c r="D731" i="3"/>
  <c r="D729" i="3"/>
  <c r="D727" i="3"/>
  <c r="D725" i="3"/>
  <c r="D723" i="3"/>
  <c r="D721" i="3"/>
  <c r="D719" i="3"/>
  <c r="D718" i="3"/>
  <c r="D716" i="3"/>
  <c r="D714" i="3"/>
  <c r="D712" i="3"/>
  <c r="D710" i="3"/>
  <c r="D708" i="3"/>
  <c r="D706" i="3"/>
  <c r="D704" i="3"/>
  <c r="D702" i="3"/>
  <c r="D701" i="3"/>
  <c r="D699" i="3"/>
  <c r="D697" i="3"/>
  <c r="D695" i="3"/>
  <c r="D693" i="3"/>
  <c r="D691" i="3"/>
  <c r="D689" i="3"/>
  <c r="D687" i="3"/>
  <c r="D685" i="3"/>
  <c r="D683" i="3"/>
  <c r="D681" i="3"/>
  <c r="D679" i="3"/>
  <c r="D677" i="3"/>
  <c r="D675" i="3"/>
  <c r="D673" i="3"/>
  <c r="D671" i="3"/>
  <c r="D669" i="3"/>
  <c r="D667" i="3"/>
  <c r="D665" i="3"/>
  <c r="D663" i="3"/>
  <c r="D661" i="3"/>
  <c r="D659" i="3"/>
  <c r="D657" i="3"/>
  <c r="D655" i="3"/>
  <c r="D653" i="3"/>
  <c r="D651" i="3"/>
  <c r="D649" i="3"/>
  <c r="D647" i="3"/>
  <c r="D645" i="3"/>
  <c r="D644" i="3"/>
  <c r="D642" i="3"/>
  <c r="D641" i="3"/>
  <c r="D639" i="3"/>
  <c r="D637" i="3"/>
  <c r="D635" i="3"/>
  <c r="D633" i="3"/>
  <c r="D631" i="3"/>
  <c r="D629" i="3"/>
  <c r="D627" i="3"/>
  <c r="D626" i="3"/>
  <c r="D624" i="3"/>
  <c r="D622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J16" i="3" l="1"/>
  <c r="J14" i="3"/>
  <c r="J354" i="3" l="1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O1132" i="3"/>
  <c r="N1132" i="3"/>
  <c r="M1132" i="3"/>
  <c r="L1132" i="3"/>
  <c r="O1131" i="3"/>
  <c r="N1131" i="3"/>
  <c r="M1131" i="3"/>
  <c r="L1131" i="3"/>
  <c r="O1130" i="3"/>
  <c r="N1130" i="3"/>
  <c r="M1130" i="3"/>
  <c r="L1130" i="3"/>
</calcChain>
</file>

<file path=xl/sharedStrings.xml><?xml version="1.0" encoding="utf-8"?>
<sst xmlns="http://schemas.openxmlformats.org/spreadsheetml/2006/main" count="4672" uniqueCount="2944">
  <si>
    <t>ลูกล้อลูกปืนรางหนีบ ตราใบไม้ (บานเลื่อนล้อตู้)</t>
  </si>
  <si>
    <t>E102030000C0000100</t>
  </si>
  <si>
    <t>อุปกรณ์กระจก ยี่ห้อ HAFELE (กลุ่ม)</t>
  </si>
  <si>
    <t>E10113000000000000</t>
  </si>
  <si>
    <t>E100141300N7050000</t>
  </si>
  <si>
    <t>E100141300N7020000</t>
  </si>
  <si>
    <t>ใบตัดเหล็กและสแตนเลส 4นิ้ว สีดำ 3DI</t>
  </si>
  <si>
    <t>E099141303N4000101</t>
  </si>
  <si>
    <t>ใบตัดเหล็กและสแตนเลส 4นิ้ว สีดำ 3DI (ซื้อ)</t>
  </si>
  <si>
    <t>E099141303N4000000</t>
  </si>
  <si>
    <t>มุ้งไฟเบอร์ สีดำ 48นิ้ว 3DI</t>
  </si>
  <si>
    <t>E099090903I3483000</t>
  </si>
  <si>
    <t>มุ้งไฟเบอร์ สีดำ 42นิ้ว 3DI</t>
  </si>
  <si>
    <t>E099090903I3423000</t>
  </si>
  <si>
    <t>ยางลูกโป่ง Santoprene ฐาน 4.8 มม x โป่ง 6.5 มม สีดำ (50 ม.) S76350</t>
  </si>
  <si>
    <t>E094010603A1205001</t>
  </si>
  <si>
    <t>รีเวท 4-2 สีขาวอลู ตรา 3DI</t>
  </si>
  <si>
    <t>E099141301N4200000</t>
  </si>
  <si>
    <t>มุ้งลวด สีขาวอลู48 นิ้ว ตราลูกโลก</t>
  </si>
  <si>
    <t>E095090901Z1483099</t>
  </si>
  <si>
    <t>ดอกสว่าน 9/64" 3DI (12ดอก/ห่อ)</t>
  </si>
  <si>
    <t>E099141300N9640001</t>
  </si>
  <si>
    <t>ดอกสว่าน 9/64" 3DI (ซื้อ)</t>
  </si>
  <si>
    <t>E099141300N9640000</t>
  </si>
  <si>
    <t>ดอกสว่าน 1/8" 3DI (12ดอก/ห่อ)</t>
  </si>
  <si>
    <t>E099141300N1800001</t>
  </si>
  <si>
    <t>ดอกสว่าน 1/8" 3DI  (ซื้อ)</t>
  </si>
  <si>
    <t>E099141300N1800000</t>
  </si>
  <si>
    <t>กุญแจ-กลอน ยี่ห้อ Yale (กลุ่ม)</t>
  </si>
  <si>
    <t>E09805000000000000</t>
  </si>
  <si>
    <t>บานพับ ยี่ห้อ LOX (กลุ่ม)</t>
  </si>
  <si>
    <t>E09708000000000000</t>
  </si>
  <si>
    <t>มือจับ ยี่ห้อ PT Handle (กลุ่ม)</t>
  </si>
  <si>
    <t>E09604000000000000</t>
  </si>
  <si>
    <t>ใบตัดเหล็กและสแตนเลส 4นิ้ว สีเขียว 3DI</t>
  </si>
  <si>
    <t>E099141310N4000101</t>
  </si>
  <si>
    <t>ใบตัดเหล็กและสแตนเลส 4นิ้ว สีเขียว 3DI (ซื้อ)</t>
  </si>
  <si>
    <t>E099141310N4000000</t>
  </si>
  <si>
    <t>มือจับล็อค+กุญแจ สีอบขาว CMECH #เมโทร-E010037-09</t>
  </si>
  <si>
    <t>E089040204D1003700</t>
  </si>
  <si>
    <t>มือจับล็อค สีอบขาว CMECH #เมโทร-E010036-09</t>
  </si>
  <si>
    <t>E089040204D1003600</t>
  </si>
  <si>
    <t>มือจับดัมมี่ สีอบขาว CMECH #เมโทร-E010004-09</t>
  </si>
  <si>
    <t>E089040204D1000400</t>
  </si>
  <si>
    <t>ขาเกล็ด สีอบขาว 4x12 (ป้าย 333)</t>
  </si>
  <si>
    <t>E081070504G1401200</t>
  </si>
  <si>
    <t>ขาเกล็ด สีอบขาว 4x11 (ป้าย 333)</t>
  </si>
  <si>
    <t>E081070504G1401100</t>
  </si>
  <si>
    <t>มือจับล็อค+กุญแจ สีดำ CMECH #เมโทร-E010037-10</t>
  </si>
  <si>
    <t>E089040203D1003700</t>
  </si>
  <si>
    <t>มือจับล็อค สีดำ CMECH #เมโทร-E010036-10</t>
  </si>
  <si>
    <t>E089040203D1003600</t>
  </si>
  <si>
    <t>มือจับฝังมัลติพอยท์ล็อค สีดำ CMECH-E010026-10</t>
  </si>
  <si>
    <t>E089040203D1002600</t>
  </si>
  <si>
    <t>มือจับฝังมัลติพอยท์ล็อคล็อคกุญแจ สีดำ CMECH E010025</t>
  </si>
  <si>
    <t>E089040203D1002500</t>
  </si>
  <si>
    <t>มือจับฝังมัลติพอยท์ล็อคดัมมี่ สีดำ CMECH-E010019-10</t>
  </si>
  <si>
    <t>E089040203D1001900</t>
  </si>
  <si>
    <t>มือจับดัมมี่ สีดำ CMECH #เมโทร-E010004</t>
  </si>
  <si>
    <t>E089040203D1000400</t>
  </si>
  <si>
    <t>มือจับบานเปิด สีดำ CMECH #เบอร์ลิน-A010447 พร้อมแกนฟ็อก 33 มม.</t>
  </si>
  <si>
    <t>E089040103D1044701</t>
  </si>
  <si>
    <t>มือจับบานเปิดเบอร์ลิน สีดำ CMECH #เบอร์ลิน-A010447 (ซื้อ)</t>
  </si>
  <si>
    <t>E089040103D1044700</t>
  </si>
  <si>
    <t>มือจับบานเปิด สีดำ CMECH #โคโลญ-A010213 พร้อมแกนฟ็อก 33 มม.</t>
  </si>
  <si>
    <t>E089040103D1021301</t>
  </si>
  <si>
    <t>มือจับบานเปิด สีดำ CMECH #โคโลญ-A010213 (ซื้อ)</t>
  </si>
  <si>
    <t>E089040103D1021300</t>
  </si>
  <si>
    <t>มุ้งลวด 48 นิ้ว ตรายูนิคอร์น สีดำ</t>
  </si>
  <si>
    <t>E083090903I1483000</t>
  </si>
  <si>
    <t>มุ้งลวด 42 นิ้ว ตรายูนิคอร์น สีดำ</t>
  </si>
  <si>
    <t>E083090903I1423000</t>
  </si>
  <si>
    <t>มุ้งลวด 36 นิ้ว ตรายูนิคอร์น สีดำ</t>
  </si>
  <si>
    <t>E083090903I1363000</t>
  </si>
  <si>
    <t>ACC ALU ยี่ห้อ CMECH (กลุ่ม)</t>
  </si>
  <si>
    <t>E08912000000000000</t>
  </si>
  <si>
    <t>กุญแจ-กลอน ยี่ห้อ CMECH (กลุ่ม)</t>
  </si>
  <si>
    <t>E08905000000000000</t>
  </si>
  <si>
    <t>แกนฟ็อกมือจับบานเปิด 33 มิล CMECH #ชิดริม-A110100</t>
  </si>
  <si>
    <t>E089040100D1010000</t>
  </si>
  <si>
    <t>มือจับ ยี่ห้อ CMECH (กลุ่ม)</t>
  </si>
  <si>
    <t>E08904000000000000</t>
  </si>
  <si>
    <t>มือจับ ยี่ห้อ Cenza (กลุ่ม)</t>
  </si>
  <si>
    <t>E08804000000000000</t>
  </si>
  <si>
    <t>Tools ยี่ห้อ DMK (กลุ่ม)</t>
  </si>
  <si>
    <t>E08614000000000000</t>
  </si>
  <si>
    <t>ลูกล้อ ยี่ห้อ WISDOM (กลุ่ม)</t>
  </si>
  <si>
    <t>E08503000000000000</t>
  </si>
  <si>
    <t>ใบตัดอลูมิเนียม FREUD #LU5E0600 ขนาด12x120T</t>
  </si>
  <si>
    <t>E084141300N1012000</t>
  </si>
  <si>
    <t>ใบตัดอลูมิเนียม FREUD #LU5E0300 ขนาด10x100T</t>
  </si>
  <si>
    <t>E084141300N1010000</t>
  </si>
  <si>
    <t>โฮลซอเจาะฝ้า (ไฟดาวน์ไลท์) 30-200 มม. TEXAS BULL #TX-26322</t>
  </si>
  <si>
    <t>E080151300P2632200</t>
  </si>
  <si>
    <t>หกเหลี่ยม (9ชิ้น) TEXAS BULL #TX-HK9LB</t>
  </si>
  <si>
    <t>E080151300P0009900</t>
  </si>
  <si>
    <t>โช้คอัพฝังพื้น 999 SS (ใช้กับบานฟิตติ้ง, บานเปลือย) (ไม่มีอะไหล่)</t>
  </si>
  <si>
    <t>E082020415Z0000000</t>
  </si>
  <si>
    <t>มือจับเรียบมีรู รุ่นใหญ่ สีเทาเข้มซาฮาร่า Hi-P</t>
  </si>
  <si>
    <t>E074040206Z2300000</t>
  </si>
  <si>
    <t>กันชนแม่เหล็ก สีอบขาว (เล็ก)</t>
  </si>
  <si>
    <t>E079090904I2100100</t>
  </si>
  <si>
    <t>EURO บานพับ-ซ้าย Hinge 60 kg  สีอบขาว (02-014-005-KIB-10006)</t>
  </si>
  <si>
    <t>E070080704H1400600</t>
  </si>
  <si>
    <t>EURO บานพับ-ขวา Hinge 60 kg  สีอบขาว (02-014-005-KIB-10002)</t>
  </si>
  <si>
    <t>E070080704H1400200</t>
  </si>
  <si>
    <t>EURO บานพับ Hinge 40 kg  สีอบขาว (02-014-005-KIB-10001)</t>
  </si>
  <si>
    <t>E070080704H1400100</t>
  </si>
  <si>
    <t>EURO ก้านกลอน 500 มม. สีอบขาว (02-003-005-KIB-10005)</t>
  </si>
  <si>
    <t>E070050704E0300500</t>
  </si>
  <si>
    <t>EURO ก้านกลอน 200 มม. สีอบขาว (02-003-005-KIB-10004)</t>
  </si>
  <si>
    <t>E070050704E0300400</t>
  </si>
  <si>
    <t>EURO มือจับบานเลื่อน มัลติพอยท์ล็อคมีกุญแจ สีอบขาว (02-001-005-KIB-10009)</t>
  </si>
  <si>
    <t>E070040704D7600900</t>
  </si>
  <si>
    <t>EURO มือจับบานเลื่อนล็อค 1 จุดมีกุญแจ  สีอบขาว (02-001-005-KIB-10008)</t>
  </si>
  <si>
    <t>E070040704D7600802</t>
  </si>
  <si>
    <t>EURO มือจับบานเลื่อนล็อค 1 จุด  สีอบขาว (02-001-005-KIB-10008)</t>
  </si>
  <si>
    <t>E070040704D7600801</t>
  </si>
  <si>
    <t>EURO มือจับบานเลื่อน มัลติพอยท์ล็อค สีอบขาว (02-001-005-KIB-10006)</t>
  </si>
  <si>
    <t>E070040704D7600600</t>
  </si>
  <si>
    <t>EURO มือจับบานเปิด ดัมมี่ สีอบขาว (02-001-005-KIB-10003)</t>
  </si>
  <si>
    <t>E070040704D7500303</t>
  </si>
  <si>
    <t>EURO มือจับบานเปิด  สีอบขาว (02-001-005-KIB-10002)</t>
  </si>
  <si>
    <t>E070040704D7500200</t>
  </si>
  <si>
    <t>EURO มือจับบานเปิด หน้าต่าง 35 มม. (แกนฟ็อก) สีอบขาว (02-001-005-KIB-10001)</t>
  </si>
  <si>
    <t>E070040704D7500100</t>
  </si>
  <si>
    <t>EURO บานพับ-ซ้าย Hinge 60 kg  สีดำ (02-014-017-KIB-10006)</t>
  </si>
  <si>
    <t>E070080703H1400600</t>
  </si>
  <si>
    <t>EURO บานพับ-ขวา Hinge 60 kg  สีดำ (02-014-017-KIB-10002)</t>
  </si>
  <si>
    <t>E070080703H1400200</t>
  </si>
  <si>
    <t>EURO บานพับ Hinge 40 kg  สีดำ (02-014-017-KIB-10001)</t>
  </si>
  <si>
    <t>E070080703H1400100</t>
  </si>
  <si>
    <t>EURO ก้านกลอน 500 มม. สีดำ (02-003-017-KIB-10005)</t>
  </si>
  <si>
    <t>E070050703E0300500</t>
  </si>
  <si>
    <t>EURO ก้านกลอน 200 มม. สีดำ (02-003-017-KIB-10004)</t>
  </si>
  <si>
    <t>E070050703E0300400</t>
  </si>
  <si>
    <t>EURO มือจับดัมมี่บานเลื่อน (มีรู) สีดำ (02-001-017-KIB-10011)</t>
  </si>
  <si>
    <t>E070040703D7601100</t>
  </si>
  <si>
    <t>EURO มือจับดัมมี่บานเลื่อน (ไม่มีรู) สีดำ (02-001-017-KIB-10010)</t>
  </si>
  <si>
    <t>E070040703D7601000</t>
  </si>
  <si>
    <t>EURO มือจับบานเลื่อน มัลติพอยท์ล็อคมีกุญแจ สีดำ (02-001-017-KIB-10009)</t>
  </si>
  <si>
    <t>E070040703D7600900</t>
  </si>
  <si>
    <t>EURO มือจับบานเลื่อนล็อค 1 จุดมีกุญแจ  สีดำ (02-001-017-KIB-10008)</t>
  </si>
  <si>
    <t>E070040703D7600800</t>
  </si>
  <si>
    <t>EURO มือจับบานเลื่อน มัลติพอยท์ล็อค สีดำ (02-001-017-KIB-10006)</t>
  </si>
  <si>
    <t>E070040703D7600600</t>
  </si>
  <si>
    <t>EURO มือจับบานเลื่อนล็อค 1 จุด สีดำ (02-001-017-KIB-10005)</t>
  </si>
  <si>
    <t>E070040703D7600500</t>
  </si>
  <si>
    <t>EURO มือจับบานเปิด ดัมมี่ สีดำ (02-001-017-KIB-10003)</t>
  </si>
  <si>
    <t>E070040703D7500303</t>
  </si>
  <si>
    <t>EURO มือจับบานเปิด  สีดำ (02-001-017-KIB-10002)</t>
  </si>
  <si>
    <t>E070040703D7500200</t>
  </si>
  <si>
    <t>EURO มือจับบานเปิด หน้าต่าง 35 มม. (แกนฟ็อก) สีดำ (02-001-017-KIB-10001)</t>
  </si>
  <si>
    <t>E070040703D7500100</t>
  </si>
  <si>
    <t xml:space="preserve">กันชนแม่เหล็ก สีชา (เล็ก) </t>
  </si>
  <si>
    <t>E077090902I2100100</t>
  </si>
  <si>
    <t>ถุงมือยางจับกระจก ชุบยางสีเหลือง เบอร์9 #NRC4-GL9A</t>
  </si>
  <si>
    <t>E075130000M0000000</t>
  </si>
  <si>
    <t>ACC ALU ยี่ห้อ HI-P (กลุ่ม)</t>
  </si>
  <si>
    <t>E07412000000000000</t>
  </si>
  <si>
    <t>ถุงมือผ้าเคลือบยาง 9/L #1H-CG-300B</t>
  </si>
  <si>
    <t>E073130000M9130000</t>
  </si>
  <si>
    <t>ใบตัดอลูมิเนียม (ITALY)T.C.T  ขนาด 12x120T</t>
  </si>
  <si>
    <t>E071141300N1212000</t>
  </si>
  <si>
    <t>ใบตัดอลูมิเนียม (ITALY) T.C.T ขนาด 10x120T</t>
  </si>
  <si>
    <t>E071141300N1012000</t>
  </si>
  <si>
    <t xml:space="preserve">ใบตัดอลูมิเนียม (ITALY) T.C.T ขนาด 10x100T </t>
  </si>
  <si>
    <t>E071141300N1010000</t>
  </si>
  <si>
    <t>EURO แป้นยูรับล็อคบานเลื่อน (02-003-000-KIB-10012)</t>
  </si>
  <si>
    <t>E070120700L1001200</t>
  </si>
  <si>
    <t>EURO แป้นยูรับล็อค (02-003-000-KIB-10010)</t>
  </si>
  <si>
    <t>E070120700L1001000</t>
  </si>
  <si>
    <t xml:space="preserve">EURO หมุดล็อค 15 มม. (02-003-000-KIB-10009) </t>
  </si>
  <si>
    <t>E070120700L1000900</t>
  </si>
  <si>
    <t>EURO กันบานตกบานเปิด (02-009-000-KIB-10001)</t>
  </si>
  <si>
    <t>E070120700L1000101</t>
  </si>
  <si>
    <t>EURO ตัวที 35 มม. (02-003-000-KIB-10001)</t>
  </si>
  <si>
    <t>E070120700L1000100</t>
  </si>
  <si>
    <t>EURO ตลับกุญแจ Mortise-Multi 35 มม. (02-004-000-KIB-10002)</t>
  </si>
  <si>
    <t>E070120700L0400200</t>
  </si>
  <si>
    <t>EURO ตลับกุญแจ Mortise Single Lock 35 มม. (02-004-000-KIB-10001)</t>
  </si>
  <si>
    <t>E070120700L0400100</t>
  </si>
  <si>
    <t>EURO รับล็อคกลอน (02-003-017-KIB-10006)</t>
  </si>
  <si>
    <t>E070120700L0300600</t>
  </si>
  <si>
    <t>EURO หมุดล็อคมัลติ (02-003-000-KIB-10003)</t>
  </si>
  <si>
    <t>E070120700L0300300</t>
  </si>
  <si>
    <t>EURO รับล็อคมัลติ C-groove (02-003-000-KIB-10002)</t>
  </si>
  <si>
    <t>E070120700L0300200</t>
  </si>
  <si>
    <t>EURO รับล็อค (02-003-000-KIB-10007)</t>
  </si>
  <si>
    <t>E070120200L1000700</t>
  </si>
  <si>
    <t>ACC ALU ยี่ห้อ KINGBO (กลุ่ม)</t>
  </si>
  <si>
    <t>E07012000000000000</t>
  </si>
  <si>
    <t>EURO บานพับซ่อน เปิด 180 องศา (02-014-000-KIB-10004)</t>
  </si>
  <si>
    <t>E070080700H1400400</t>
  </si>
  <si>
    <t>EURO บานพับซ่อน เปิด 90 องศา (02-014-000-KIB-10003)</t>
  </si>
  <si>
    <t>E070080700H1400300</t>
  </si>
  <si>
    <t>EURO แขนค้ำ 12 นิ้ว (02-006-000-KIB-10002)</t>
  </si>
  <si>
    <t>E070080700H0600200</t>
  </si>
  <si>
    <t>EURO บานพับ 4 Bar 35-90องศา 14 นิ้ว (02-006-000-KIB-10001)</t>
  </si>
  <si>
    <t>E070080700H0600100</t>
  </si>
  <si>
    <t>EURO ไส้กุญแจ 35-35 (02-007-000-KIB-10001)</t>
  </si>
  <si>
    <t>E070050700E0353500</t>
  </si>
  <si>
    <t>ยางยี่ห้อ KINGBO (กลุ่ม)</t>
  </si>
  <si>
    <t>E07001000000000000</t>
  </si>
  <si>
    <t>มือจับสแตนเลส GM รุ่น 111 SS ขนาด 32x350</t>
  </si>
  <si>
    <t>E072040315Z3011104</t>
  </si>
  <si>
    <t>มือจับสแตนเลส GM รุ่น 111 SS ขนาด 32x305</t>
  </si>
  <si>
    <t>E072040315Z3011103</t>
  </si>
  <si>
    <t>มือจับสแตนเลส GM รุ่น 111 SS ขนาด 25x350</t>
  </si>
  <si>
    <t>E072040315Z3011102</t>
  </si>
  <si>
    <t>มือจับสแตนเลส GM รุ่น 111 SS ขนาด 25x305</t>
  </si>
  <si>
    <t>E072040315Z3011101</t>
  </si>
  <si>
    <t>รีเวท สีเทาซาฮาร่า 4-4  ตรา TIGER</t>
  </si>
  <si>
    <t>E063141306N4400000</t>
  </si>
  <si>
    <t>ปลั๊กไฟ DATA มอก สีเทา 4 ช่อง 1 สวิตซ์ 3 ม. #AP4156</t>
  </si>
  <si>
    <t>E060151305P4100300</t>
  </si>
  <si>
    <t xml:space="preserve">สีสเปรย์พ่นอลูมิเนียม สีอบขาว SMS </t>
  </si>
  <si>
    <t>E061141304N0000000</t>
  </si>
  <si>
    <t>EURO กันฝุ่น (02-026-GSM-1001)</t>
  </si>
  <si>
    <t>E069120203L0261001</t>
  </si>
  <si>
    <t>EURO ฝาปิดหัวเสา สีดำ ENDCAP 02-GSM-8-00002</t>
  </si>
  <si>
    <t>E069120203L0002400</t>
  </si>
  <si>
    <t>EURO ฝาปิดรางล้อ EXTRACAP (02-GSM-8-00001)</t>
  </si>
  <si>
    <t>E069120203L0000000</t>
  </si>
  <si>
    <t>BI-FOLD ยางลูกโป่งฐานแข็ง สีดำ ฐาน 4.8 x โป่ง 6.5 มม. (100 ม.) #S76350</t>
  </si>
  <si>
    <t>E069010603A1210000</t>
  </si>
  <si>
    <t>สีสเปรย์พ่นอลูมิเนียม สีดำ SMS</t>
  </si>
  <si>
    <t>E061141303N0000000</t>
  </si>
  <si>
    <t>สีสเปรย์พ่นอลูมิเนียม สีขาวอลู SMS</t>
  </si>
  <si>
    <t>E061141301N0000000</t>
  </si>
  <si>
    <t>Base Plate 100*100 mm. 02-01-P-17-I007551-0100 (ชุด)</t>
  </si>
  <si>
    <t>E069121000L1010000</t>
  </si>
  <si>
    <t>ACC ALU ยี่ห้อ GSM (กลุ่ม)</t>
  </si>
  <si>
    <t>E06912000000000000</t>
  </si>
  <si>
    <t>คีมย้ำรีเวท CRAB #030-0</t>
  </si>
  <si>
    <t>E068141300N0000000</t>
  </si>
  <si>
    <t>ลูกล้อรางแขวนเล็ก 1นิ้ว (คู่) TOP-CO</t>
  </si>
  <si>
    <t>E067030800C0010401</t>
  </si>
  <si>
    <t xml:space="preserve">ลูกล้อรางแขวนเล็ก 1นิ้ว (ตัว) TOP-CO </t>
  </si>
  <si>
    <t>E067030800C0010400</t>
  </si>
  <si>
    <t>แผ่นจานขัดเงา ชนิดPVA เบอร์ 220 Whetech #EGP-220</t>
  </si>
  <si>
    <t>E066131100M0022000</t>
  </si>
  <si>
    <t>มีดตัดกระจก ตราเพชร 01</t>
  </si>
  <si>
    <t>E065131100Z0100000</t>
  </si>
  <si>
    <t>ปลั๊กไฟ DATA มอก 4 ช่อง 4 สวิตซ์ 5 ม. #HM4496</t>
  </si>
  <si>
    <t>E060151300P4400500</t>
  </si>
  <si>
    <t>รางปลั๊ก DATA HD9SU2M3 2 ช่อง 5 ม. #HD9 SU3</t>
  </si>
  <si>
    <t>E060151300P2000500</t>
  </si>
  <si>
    <t>ปลั๊กยาง DATA 16A สายไฟ VCT 3x1.5 10 ม. #HD9</t>
  </si>
  <si>
    <t>E060151300P0001000</t>
  </si>
  <si>
    <t>เชือกถักแบน 15 มม.x 10 ม.สีน้ำเงิน ELEGANCE #8853152087236</t>
  </si>
  <si>
    <t>E062151312P1501000</t>
  </si>
  <si>
    <t>ลูกล้อบานเลื่อนเดี่ยว (แดง) YOMA</t>
  </si>
  <si>
    <t>E064030211Z0030300</t>
  </si>
  <si>
    <t>เชือกถักแบน 15 มม.x 20 ม.สีแดง  ELEGANCE #8853152087304</t>
  </si>
  <si>
    <t>E062151311P1502000</t>
  </si>
  <si>
    <t>ลูกล้อบานเลื่อนเดี่ยว (น้ำเงิน/เขียว) YOMA</t>
  </si>
  <si>
    <t>E064030210Z0030200</t>
  </si>
  <si>
    <t>เทปกันลื่น ภายในอาคาร สีเทา ขนาด 2.5 ซม. x 2 ม.</t>
  </si>
  <si>
    <t>E058151305P2520001</t>
  </si>
  <si>
    <t>เทปโฟมกาว 2 หน้า สีขาว 24 มม.x 10 ม. Armstrong #WF1010-STP</t>
  </si>
  <si>
    <t>E059151304P2401000</t>
  </si>
  <si>
    <t>พุกอิฐบล็อค สีขาว + สกรูกลียวเหล็ก # 8 (6 ชุด)</t>
  </si>
  <si>
    <t>E058151304P8200600</t>
  </si>
  <si>
    <t>พุกพลาสติก สีขาว #8 (25 ตัว)</t>
  </si>
  <si>
    <t>E058151304P8102500</t>
  </si>
  <si>
    <t>พุกพลาสติก สีขาว + สกรูกลียวเหล็ก P # 8 (10 ชุด)</t>
  </si>
  <si>
    <t>E058151304P8101020</t>
  </si>
  <si>
    <t>พุกพลาสติก สีขาว + สกรูกลียวเหล็ก F # 8 (10 ชุด)</t>
  </si>
  <si>
    <t>E058151304P8101010</t>
  </si>
  <si>
    <t>พุกอิฐบล็อค สีขาว + สกรูกลียวเหล็ก # 7 (6 ชุด)</t>
  </si>
  <si>
    <t>E058151304P7200600</t>
  </si>
  <si>
    <t>พุกพลาสติก สีขาว #7 (25 ตัว)</t>
  </si>
  <si>
    <t>E058151304P7102500</t>
  </si>
  <si>
    <t>พุกพลาสติก สีขาว + สกรูกลียวเหล็ก P # 7 (10 ชุด)</t>
  </si>
  <si>
    <t>E058151304P7101020</t>
  </si>
  <si>
    <t>พุกพลาสติก สีขาว + สกรูกลียวเหล็ก F # 7 (10 ชุด)</t>
  </si>
  <si>
    <t>E058151304P7101010</t>
  </si>
  <si>
    <t>พุกอิฐบล็อค สีขาว  + สกรูกลียวเหล็ก # 6 (6 ชุด)</t>
  </si>
  <si>
    <t>E058151304P6200600</t>
  </si>
  <si>
    <t>พุกพลาสติก สีขาว #6 (25 ตัว)</t>
  </si>
  <si>
    <t>E058151304P6102500</t>
  </si>
  <si>
    <t>พุกพลาสติก สีขาว + สกรูกลียวเหล็ก P # 6 (10 ชุด)</t>
  </si>
  <si>
    <t>E058151304P6101020</t>
  </si>
  <si>
    <t>พุกพลาสติก สีขาว + สกรูกลียวเหล็ก F # 6 (10 ชุด)</t>
  </si>
  <si>
    <t>E058151304P6101010</t>
  </si>
  <si>
    <t xml:space="preserve">พุกพลาสติก สีขาว #5 (25 ตัว) </t>
  </si>
  <si>
    <t>E058151304P5102500</t>
  </si>
  <si>
    <t>พุกพลาสติก สีขาว + สกรูกลียวเหล็ก P # 5 (10 ชุด)</t>
  </si>
  <si>
    <t>E058151304P5101020</t>
  </si>
  <si>
    <t>พุกพลาสติก สีขาว + สกรูกลียวเหล็ก F # 5 (10 ชุด)</t>
  </si>
  <si>
    <t>E058151304P5101010</t>
  </si>
  <si>
    <t>สายรัดสายไฟ 3.6 x 200 มม.(100 เส้น)</t>
  </si>
  <si>
    <t>E058151304P2010036</t>
  </si>
  <si>
    <t>สายรัดสายไฟ 3.6 x 150 มม.(100 เส้น)</t>
  </si>
  <si>
    <t>E058151304P1510036</t>
  </si>
  <si>
    <t>พุกพลาสติก สีขาว#10 (25 ตัว)</t>
  </si>
  <si>
    <t>E058151304P1102500</t>
  </si>
  <si>
    <t>พุกพลาสติก สีขาว + สกรูกลียวเหล็ก P # 10 (10 ชุด)</t>
  </si>
  <si>
    <t>E058151304P1101020</t>
  </si>
  <si>
    <t>พุกพลาสติก สีขาว + สกรูกลียวเหล็ก F # 10 (10 ชุด)</t>
  </si>
  <si>
    <t>E058151304P1101010</t>
  </si>
  <si>
    <t>สายรัดสายไฟ 2.5 x 100 มม.(100 เส้น)</t>
  </si>
  <si>
    <t>E058151304P1010025</t>
  </si>
  <si>
    <t>สายรัดสายไฟ 2.5 x 80 มม.(100 เส้น)</t>
  </si>
  <si>
    <t>E058151304P0810025</t>
  </si>
  <si>
    <t>พุกยึดผนังกลวงรุ่นปีกผีเสื้อ สีขาว (100 ตัว)</t>
  </si>
  <si>
    <t>E058151304P0110000</t>
  </si>
  <si>
    <t>รีเวท 4-6 สีอบขาว ตราคนป่า</t>
  </si>
  <si>
    <t>E056141304N4600000</t>
  </si>
  <si>
    <t>รีเวท 4-4 สีอบขาว ตราคนป่า</t>
  </si>
  <si>
    <t>E056141304N4400000</t>
  </si>
  <si>
    <t>รีเวท 4-3 สีอบขาว ตราคนป่า</t>
  </si>
  <si>
    <t>E056141304N4300000</t>
  </si>
  <si>
    <t>รีเวท 4-2 สีอบขาว ตราคนป่า</t>
  </si>
  <si>
    <t>E056141304N4200000</t>
  </si>
  <si>
    <t>เทปโฟมกาว 2 หน้า สีดำ 24 มม.x 10 ม. Armstrong #BF1010 HAVANA</t>
  </si>
  <si>
    <t>E059151303P2401000</t>
  </si>
  <si>
    <t>เทปพันสายไฟ สีดำ 19 มม.x 10 ม.120 Mic (มอก.) Armstrong</t>
  </si>
  <si>
    <t>E059151303P1901000</t>
  </si>
  <si>
    <t>เทปกันลื่น ภายนอกอาคาร สีดำ ขนาด 2.5 ซม. x 2 ม.</t>
  </si>
  <si>
    <t>E058151303P2520002</t>
  </si>
  <si>
    <t>รีเวท 4-6 สีดำ ตราคนป่า</t>
  </si>
  <si>
    <t>E056141303N4600000</t>
  </si>
  <si>
    <t>รีเวท 4-4 สีดำ ตราคนป่า</t>
  </si>
  <si>
    <t>E056141303N4400000</t>
  </si>
  <si>
    <t>รีเวท 4-3 สีดำ ตราคนป่า</t>
  </si>
  <si>
    <t>E056141303N4300000</t>
  </si>
  <si>
    <t>รีเวท 4-2 สีดำ ตราคนป่า</t>
  </si>
  <si>
    <t>E056141303N4200000</t>
  </si>
  <si>
    <t>รีเวท 4-6 สีชา ตราคนป่า</t>
  </si>
  <si>
    <t>E056141302N4600000</t>
  </si>
  <si>
    <t>รีเวท 4-4 สีชา ตราคนป่า</t>
  </si>
  <si>
    <t>E056141302N4400000</t>
  </si>
  <si>
    <t>รีเวท 4-3 สีชา ตราคนป่า</t>
  </si>
  <si>
    <t>E056141302N4300000</t>
  </si>
  <si>
    <t>รีเวท 4-2 สีชา ตราคนป่า</t>
  </si>
  <si>
    <t>E056141302N4200000</t>
  </si>
  <si>
    <t>รีเวท 5-6 สีขาวอลู  PS (25 ตัว)</t>
  </si>
  <si>
    <t>E058151301P5602500</t>
  </si>
  <si>
    <t>รีเวท 5-5 สีขาวอลู  PS (25 ตัว)</t>
  </si>
  <si>
    <t>E058151301P5502500</t>
  </si>
  <si>
    <t>รีเวท 5-4 สีขาวอลู  PS (25 ตัว)</t>
  </si>
  <si>
    <t>E058151301P5402500</t>
  </si>
  <si>
    <t>รีเวท 5-3 สีขาวอลู  PS (25 ตัว)</t>
  </si>
  <si>
    <t>E058151301P5302500</t>
  </si>
  <si>
    <t>รีเวท 4-6 สีขาวอลู  PS (50 ตัว)</t>
  </si>
  <si>
    <t>E058151301P4605000</t>
  </si>
  <si>
    <t>รีเวท 4-6 สีขาวอลู  PS (25 ตัว)</t>
  </si>
  <si>
    <t>E058151301P4602500</t>
  </si>
  <si>
    <t>รีเวท 4-5 สีขาวอลู  PS (50 ตัว)</t>
  </si>
  <si>
    <t>E058151301P4505000</t>
  </si>
  <si>
    <t>รีเวท 4-5 สีขาวอลู  PS (25 ตัว)</t>
  </si>
  <si>
    <t>E058151301P4502500</t>
  </si>
  <si>
    <t>รีเวท 4-4 สีขาวอลู  PS (50 ตัว)</t>
  </si>
  <si>
    <t>E058151301P4405000</t>
  </si>
  <si>
    <t>รีเวท 4-4 สีขาวอลู  PS (25 ตัว)</t>
  </si>
  <si>
    <t>E058151301P4402500</t>
  </si>
  <si>
    <t>รีเวท 4-3 สีขาวอลู PS (25 ตัว)</t>
  </si>
  <si>
    <t>E058151301P4302500</t>
  </si>
  <si>
    <t>รีเวท 4-2 สีขาวอลู PS (25 ตัว)</t>
  </si>
  <si>
    <t>E058151301P4202500</t>
  </si>
  <si>
    <t>รีเวท 4-6สีขาวอลู ตราคนป่า</t>
  </si>
  <si>
    <t>E056141301N4600000</t>
  </si>
  <si>
    <t>รีเวท 4-4 สีขาวอลู ตราคนป่า</t>
  </si>
  <si>
    <t>E056141301N4400000</t>
  </si>
  <si>
    <t>รีเวท 4-3 สีขาวอลู ตราคนป่า</t>
  </si>
  <si>
    <t>E056141301N4300000</t>
  </si>
  <si>
    <t>รีเวท 4-2 สีขาวอลู ตราคนป่า</t>
  </si>
  <si>
    <t>E056141301N4200000</t>
  </si>
  <si>
    <t>สกรูเกลียวเหล็กหัว P # 8 x 2" PS (50 ตัว)</t>
  </si>
  <si>
    <t>E058151300P8605020</t>
  </si>
  <si>
    <t>สกรูเกลียวเหล็กหัว F # 8 x 2" PS (50 ตัว)</t>
  </si>
  <si>
    <t>E058151300P8605010</t>
  </si>
  <si>
    <t>สกรูเกลียวปลายสว่านหัว P # 8 x 2" PS (25 ตัว)</t>
  </si>
  <si>
    <t>E058151300P8602520</t>
  </si>
  <si>
    <t>สกรูเกลียวเหล็กหัว P # 8 x 1-1/2" PS (50 ตัว)</t>
  </si>
  <si>
    <t>E058151300P8505020</t>
  </si>
  <si>
    <t>สกรูเกลียวเหล็กหัว F # 8 x 1-1/2" PS (50 ตัว)</t>
  </si>
  <si>
    <t>E058151300P8505010</t>
  </si>
  <si>
    <t>สกรูเกลียวปลายสว่านหัว P # 8 x 1-1/2" PS (25 ตัว)</t>
  </si>
  <si>
    <t>E058151300P8502520</t>
  </si>
  <si>
    <t>สกรูเกลียวเหล็กหัว P # 8 x 1-1/4" PS (50 ตัว)</t>
  </si>
  <si>
    <t>E058151300P8405020</t>
  </si>
  <si>
    <t>สกรูเกลียวเหล็กหัว F # 8 x 1-1/4" PS (50 ตัว)</t>
  </si>
  <si>
    <t>E058151300P8405010</t>
  </si>
  <si>
    <t>สกรูเกลียวปลายสว่านหัว P # 8 x 1-1/4" PS (25 ตัว)</t>
  </si>
  <si>
    <t>E058151300P8402520</t>
  </si>
  <si>
    <t>สกรูเกลียวเหล็กหัว P # 8 x 1" PS (100 ตัว)</t>
  </si>
  <si>
    <t>E058151300P8310020</t>
  </si>
  <si>
    <t>สกรูเกลียวเหล็กหัว F # 8 x 1" PS (100 ตัว)</t>
  </si>
  <si>
    <t>E058151300P8310010</t>
  </si>
  <si>
    <t>สกรูเกลียวปลายสว่านหัว P # 8 x 1" PS (25 ตัว)</t>
  </si>
  <si>
    <t>E058151300P8302520</t>
  </si>
  <si>
    <t>สกรูเกลียวปลายสว่านหัว P # 8 x 3/4" PS (25 ตัว)</t>
  </si>
  <si>
    <t>E058151300P8202520</t>
  </si>
  <si>
    <t>สกรูเกลียวเหล็กหัว P # 8 x 1/2" PS (100 ตัว)</t>
  </si>
  <si>
    <t>E058151300P8110020</t>
  </si>
  <si>
    <t>สกรูเกลียวเหล็กหัว F # 8 x 1/2" PS (100 ตัว)</t>
  </si>
  <si>
    <t>E058151300P8110010</t>
  </si>
  <si>
    <t>สกรูเกลียวปลายสว่านหัว P # 8 x 1/2" PS (25 ตัว)</t>
  </si>
  <si>
    <t>E058151300P8102520</t>
  </si>
  <si>
    <t>สกรูเกลียวเหล็กหัว F # 7 x 3" PS (100 ตัว)</t>
  </si>
  <si>
    <t>E058151300P7710010</t>
  </si>
  <si>
    <t>สกรูเกลียวเหล็กหัว F # 7 x 3" PS (50 ตัว)</t>
  </si>
  <si>
    <t>E058151300P7705010</t>
  </si>
  <si>
    <t>สกรูเกลียวเหล็กหัว F # 7 x 2" PS (100 ตัว)</t>
  </si>
  <si>
    <t>E058151300P7610010</t>
  </si>
  <si>
    <t>สกรูเกลียวเหล็กหัว F # 7 x 2" PS (50 ตัว)</t>
  </si>
  <si>
    <t>E058151300P7605010</t>
  </si>
  <si>
    <t>สกรูเกลียวเหล็กหัว P # 7 x 1-1/2" PS (100 ตัว)</t>
  </si>
  <si>
    <t>E058151300P7510020</t>
  </si>
  <si>
    <t>สกรูเกลียวเหล็กหัว P # 7 x 1-1/2" PS (50 ตัว)</t>
  </si>
  <si>
    <t>E058151300P7505020</t>
  </si>
  <si>
    <t>สกรูเกลียวเหล็กหัว F # 7 x 1-1/2" PS (50 ตัว)</t>
  </si>
  <si>
    <t>E058151300P7505010</t>
  </si>
  <si>
    <t>สกรูเกลียวเหล็กหัว P # 7 x 1-1/4" PS (50 ตัว)</t>
  </si>
  <si>
    <t>E058151300P7405020</t>
  </si>
  <si>
    <t>สกรูเกลียวเหล็กหัว F # 7 x 1-1/4" PS (50 ตัว)</t>
  </si>
  <si>
    <t>E058151300P7405010</t>
  </si>
  <si>
    <t>สกรูเกลียวเหล็กหัว P # 7 x 1" PS (100 ตัว)</t>
  </si>
  <si>
    <t>E058151300P7310020</t>
  </si>
  <si>
    <t>สกรูเกลียวเหล็กหัว F # 7 x 1" PS (100 ตัว)</t>
  </si>
  <si>
    <t>E058151300P7310010</t>
  </si>
  <si>
    <t>สกรูเกลียวเหล็กหัว P # 7 x 1" PS (50 ตัว)</t>
  </si>
  <si>
    <t>E058151300P7305020</t>
  </si>
  <si>
    <t>สกรูเกลียวเหล็กหัว P # 7 x 3/4" PS (100 ตัว)</t>
  </si>
  <si>
    <t>E058151300P7210020</t>
  </si>
  <si>
    <t>สกรูเกลียวเหล็กหัว F # 7 x 3/4" PS (100 ตัว)</t>
  </si>
  <si>
    <t>E058151300P7210010</t>
  </si>
  <si>
    <t>สกรูเกลียวเหล็กหัว P # 7 x 1/2" PS (100 ตัว)</t>
  </si>
  <si>
    <t>E058151300P7110020</t>
  </si>
  <si>
    <t>สกรูเกลียวเหล็กหัว F # 7 x 1/2" PS (100 ตัว)</t>
  </si>
  <si>
    <t>E058151300P7110010</t>
  </si>
  <si>
    <t>สกรูเกลียวเหล็กหัว P # 6 x 1-1/2" PS (50 ตัว)</t>
  </si>
  <si>
    <t>E058151300P6505020</t>
  </si>
  <si>
    <t>สกรูเกลียวเหล็กหัว F # 6 x 1-1/2" PS (50 ตัว)</t>
  </si>
  <si>
    <t>E058151300P6505010</t>
  </si>
  <si>
    <t>สกรูเกลียวเหล็กหัว P # 6 x 1-1/4" PS (50 ตัว)</t>
  </si>
  <si>
    <t>E058151300P6405020</t>
  </si>
  <si>
    <t>สกรูเกลียวเหล็กหัว F # 6 x 1-1/4" PS (50 ตัว)</t>
  </si>
  <si>
    <t>E058151300P6405010</t>
  </si>
  <si>
    <t>สกรูเกลียวเหล็กหัว P # 6 x 1" PS (100 ตัว)</t>
  </si>
  <si>
    <t>E058151300P6310020</t>
  </si>
  <si>
    <t>สกรูเกลียวเหล็กหัว F # 6 x 1" PS (100 ตัว)</t>
  </si>
  <si>
    <t>E058151300P6310010</t>
  </si>
  <si>
    <t>สกรูเกลียวเหล็กหัว P # 6 x 3/4" PS (100 ตัว)</t>
  </si>
  <si>
    <t>E058151300P6210020</t>
  </si>
  <si>
    <t>สกรูเกลียวเหล็กหัว F # 6 x 3/4" PS (100 ตัว)</t>
  </si>
  <si>
    <t>E058151300P6210010</t>
  </si>
  <si>
    <t>สกรูเกลียวเหล็กหัว P # 6 x 1/2" PS (100 ตัว)</t>
  </si>
  <si>
    <t>E058151300P6110020</t>
  </si>
  <si>
    <t>สกรูเกลียวเหล็กหัว F # 6 x 1/2" PS (100 ตัว)</t>
  </si>
  <si>
    <t>E058151300P6110010</t>
  </si>
  <si>
    <t>ตลับเมตร 5 ม. STANLEY #TYLON 30-696N</t>
  </si>
  <si>
    <t>E057141300N0500000</t>
  </si>
  <si>
    <t>กุญแจล็อค S50L (ซาติน) STANLEY</t>
  </si>
  <si>
    <t>E057130400Z0005000</t>
  </si>
  <si>
    <t>Tools ยี่ห้อคนป่า (กลุ่ม)</t>
  </si>
  <si>
    <t>E05614000000000000</t>
  </si>
  <si>
    <t>แผ่นเจียร์ 4x6 มม. (หนา) MAKITA</t>
  </si>
  <si>
    <t>E055151300P0400600</t>
  </si>
  <si>
    <t>แผ่นเจียร์ 4 นิ้ว 2 มม. อ่อนตัว MAKITA</t>
  </si>
  <si>
    <t>E055151300P0400200</t>
  </si>
  <si>
    <t>ใบเจียร์กระจก/หิน 4 นิ้ว อ่อนตัว MAKITA</t>
  </si>
  <si>
    <t>E055151300P0400000</t>
  </si>
  <si>
    <t>Tools ยี่ห้อ MAKITA (กลุ่ม)</t>
  </si>
  <si>
    <t>E05514000000000000</t>
  </si>
  <si>
    <t>ใบเพชรตัดคอนกรีต 4" ขนาด 105 x 2.0 x 20 มม. มาราธอน</t>
  </si>
  <si>
    <t>E054151300P0402000</t>
  </si>
  <si>
    <t>แผ่นเจียรหนา ขนาด 4"x6 มม. มาราธอน</t>
  </si>
  <si>
    <t>E054151300P0400600</t>
  </si>
  <si>
    <t>แผ่นเจียรบาง ขนาด 4"x3 มม. มาราธอน</t>
  </si>
  <si>
    <t>E054151300P0400300</t>
  </si>
  <si>
    <t>สกรูเกลียวเหล็ก หัวเตเปอร์แฉก F No. 8 x 3 นิ้ว</t>
  </si>
  <si>
    <t>E053141300N8700010</t>
  </si>
  <si>
    <t>สกรูเกลียวเหล็ก หัวเตเปอร์แฉก F No. 8 x 2 นิ้ว</t>
  </si>
  <si>
    <t>E053141300N8600010</t>
  </si>
  <si>
    <t>สกรูเกลียวเหล็ก หัวเตเปอร์แฉก F No. 8 x 1.1/2 นิ้ว</t>
  </si>
  <si>
    <t>E053141300N8500010</t>
  </si>
  <si>
    <t>สกรูเกลียวเหล็ก หัวเตเปอร์แฉก F No. 8 x 1 นิ้ว</t>
  </si>
  <si>
    <t>E053141300N8300010</t>
  </si>
  <si>
    <t>สกรูเกลียวเหล็ก หัวกลมแฉก P No. 7 x 6 หุน</t>
  </si>
  <si>
    <t>E053141300N7800000</t>
  </si>
  <si>
    <t>สกรูเกลียวเหล็ก หัวเตเปอร์แฉก F No.7 x 3 นิ้ว</t>
  </si>
  <si>
    <t>E053141300N7700010</t>
  </si>
  <si>
    <t>สกรูเกลียวเหล็ก หัวเตเปอร์แฉก F No.7 x 2 นิ้ว</t>
  </si>
  <si>
    <t>E053141300N7600010</t>
  </si>
  <si>
    <t>สกรูเกลียวเหล็ก หัวเตเปอร์แฉก F No.7 x 1.1/2 นิ้ว</t>
  </si>
  <si>
    <t>E053141300N7500010</t>
  </si>
  <si>
    <t>สกรูเกลียวเหล็ก หัวเตเปอร์แฉก F No. 7 x 1 นิ้ว</t>
  </si>
  <si>
    <t>E053141300N7300010</t>
  </si>
  <si>
    <t>เครื่องตัดอลูมิเนียมสันติ 12 นิ้ว #ST-12</t>
  </si>
  <si>
    <t>E052141300N0001200</t>
  </si>
  <si>
    <t>เครื่องก๊อปปี้เราเตอร์สันติ (มอเตอร์ใหญ่) รุ่นพัฒนา #ST-11</t>
  </si>
  <si>
    <t>E052141300N0001100</t>
  </si>
  <si>
    <t>เครื่องตัดอลูมิเนียมสันติ 10 นิ้ว #ST-10</t>
  </si>
  <si>
    <t>E052141300N0001000</t>
  </si>
  <si>
    <t>เครื่องเจาะรูสันติ ระบายน้ำฉากกันตก #ST-09</t>
  </si>
  <si>
    <t>E052141300N0000900</t>
  </si>
  <si>
    <t>Tools ยี่ห้อ สันติ (กลุ่ม)</t>
  </si>
  <si>
    <t>E05214000000000000</t>
  </si>
  <si>
    <t>ดอกสว่าน 9/64 นิ้ว (JAPAN) TIGA</t>
  </si>
  <si>
    <t>E051141300N9640000</t>
  </si>
  <si>
    <t>ดอกสว่าน 1 หุน (JAPAN) TIGA</t>
  </si>
  <si>
    <t>E051141300N1000000</t>
  </si>
  <si>
    <t>หินฝนกระจก ขนาด115x32x0  GC100</t>
  </si>
  <si>
    <t>E050131100M0010000</t>
  </si>
  <si>
    <t>เทปกาวย่น 48 มม x 20 หลา Armstrong</t>
  </si>
  <si>
    <t>E059151319P4802000</t>
  </si>
  <si>
    <t>เทปกาวย่น 24 มม x 20 หลา Armstrong</t>
  </si>
  <si>
    <t>E059151319P2402000</t>
  </si>
  <si>
    <t>สักหลาดบานสวิงสีเทา 7x8 Shangjia (100 ม.)</t>
  </si>
  <si>
    <t>E043120305L7081000</t>
  </si>
  <si>
    <t>สักหลาดบานเลื่อนสีเทา 5x6 Shangjia (100 ม.)</t>
  </si>
  <si>
    <t>E043120205L5061000</t>
  </si>
  <si>
    <t>สักหลาดบานสวิงสีเทา 6.7x8 SPECIAL LINE (225 ม.)</t>
  </si>
  <si>
    <t>E042120305L6782200</t>
  </si>
  <si>
    <t>สักหลาดบานสวิงสีเทา 6.7x8 SPECIAL LINE (50 ม.)</t>
  </si>
  <si>
    <t>E042120305L6780500</t>
  </si>
  <si>
    <t>สักหลาดบานเลื่อนสีเทา 4.8x6 SPECIAL LINE (450 ม.)</t>
  </si>
  <si>
    <t>E042120205L4864500</t>
  </si>
  <si>
    <t>สักหลาดบานเลื่อนสีเทา 4.8x6 SPECIAL LINE (100 ม.)</t>
  </si>
  <si>
    <t>E042120205L4861000</t>
  </si>
  <si>
    <t>มือจับกระทุ้งขวา (แปะ) สีอบขาว/หลังดำ TTP</t>
  </si>
  <si>
    <t>E047040104D1000020</t>
  </si>
  <si>
    <t>มือจับกระทุ้งซ้าย (แปะ) สีอบขาว/หลังดำ TTP</t>
  </si>
  <si>
    <t>E047040104D1000010</t>
  </si>
  <si>
    <t>มือจับกระทุ้งขวา (แปะ) สีดำ/หลังขาว TTP</t>
  </si>
  <si>
    <t>E047040103D1000020</t>
  </si>
  <si>
    <t>มือจับกระทุ้งซ้าย (แปะ) สีดำ/หลังขาว TTP</t>
  </si>
  <si>
    <t>E047040103D1000010</t>
  </si>
  <si>
    <t>เทปกาว 2หน้า (SPIDER TAPE) หนา 8 มม. x 8 มม. x 2 ม.</t>
  </si>
  <si>
    <t>E041121103L0808200</t>
  </si>
  <si>
    <t>เทปกาว 2หน้า (SPIDER TAPE)  หนา 6 มม. x 12 มม. x 2 ม.</t>
  </si>
  <si>
    <t>E041121103L0612200</t>
  </si>
  <si>
    <t>เทปกาว 2หน้า (SPIDER TAPE) หนา 6 มม. x 10 มม. x 2 ม.</t>
  </si>
  <si>
    <t>E041121103L0610200</t>
  </si>
  <si>
    <t>เทปกาว 2หน้า (SPIDER TAPE)  หนา 6 มม. x 9 มม. x 2 ม.</t>
  </si>
  <si>
    <t>E041121103L0609200</t>
  </si>
  <si>
    <t>เทปกาว 2หน้า (SPIDER TAPE) หนา 6 มม. x 6 มม. x 2 ม.</t>
  </si>
  <si>
    <t>E041121103L0606200</t>
  </si>
  <si>
    <t>จานฝนริมกระจกไฟเบอร์ 4นิ้ว-เบอร์ 120 KINIK #GC120BFL27</t>
  </si>
  <si>
    <t>E049131100M0012000</t>
  </si>
  <si>
    <t>จานฝนริมกระจกไฟเบอร์ 4นิ้ว-เบอร์ 80 KINIK #GC80BFL27</t>
  </si>
  <si>
    <t>E049131100M0008000</t>
  </si>
  <si>
    <t>มีดตัดพร้อมหัวคาร์ไบค์ K-star #308 B (J)</t>
  </si>
  <si>
    <t>E048131100Z0030800</t>
  </si>
  <si>
    <t>หัวตัด Speed cutter K-star #EC-1902</t>
  </si>
  <si>
    <t>E048131100M0190200</t>
  </si>
  <si>
    <t xml:space="preserve">หัวยางดูดกระจกแผ่น หัวเดียว 8 นิ้ว (ชนิดปั๊มลม) K-Star #RP-808S </t>
  </si>
  <si>
    <t>E048131100M0180800</t>
  </si>
  <si>
    <t>อุปกรณ์กระจก ยี่ห้อ K-STAR (กลุ่ม)</t>
  </si>
  <si>
    <t>E04813000000000000</t>
  </si>
  <si>
    <t>สกรูเกลียวหัวเตเปอร์ (นิเกิ้ล) 3/8 นิ้ว No.7</t>
  </si>
  <si>
    <t>E047141300N7900010</t>
  </si>
  <si>
    <t>แผ่นยางดูดสีดำเยอรมัน (อะไหล่) 4 3/4" 120mm. Bohle #B0 614.1</t>
  </si>
  <si>
    <t>E046131100M0614100</t>
  </si>
  <si>
    <t xml:space="preserve">หัวยางดูดกระจกแผ่น สามหัว-เยอรมัน BOHLE #603 </t>
  </si>
  <si>
    <t>E046131100M0360300</t>
  </si>
  <si>
    <t>หัวตัด Speed cutter KD #BP-19</t>
  </si>
  <si>
    <t>E045131100M1900000</t>
  </si>
  <si>
    <t>ชุดกระบอกหัวตัด Oil Tank KD #BP-13</t>
  </si>
  <si>
    <t>E045131100M1300000</t>
  </si>
  <si>
    <t>Speed Cutter จีน ยาว 1.5 เมตร ยี่ห้อ Eagle</t>
  </si>
  <si>
    <t>E045131100M0015000</t>
  </si>
  <si>
    <t>Speed Cutter จีน ยาว 1.2 เมตร ยี่ห้อ Eagle</t>
  </si>
  <si>
    <t>E045131100M0012000</t>
  </si>
  <si>
    <t>Speed Cutter จีน ยาว 90 ซม. ยี่ห้อ Eagle</t>
  </si>
  <si>
    <t>E045131100M0009000</t>
  </si>
  <si>
    <t>ลูกล้อ Speed cutter KD (Blue)</t>
  </si>
  <si>
    <t>E045131100M0000000</t>
  </si>
  <si>
    <t>อุปกรณ์กระจก ยี่ห้อ KD (กลุ่ม)</t>
  </si>
  <si>
    <t>E04513000000000000</t>
  </si>
  <si>
    <t>มุ้งไฟเบอร์ สีเทา 60 นิ้ว ตราแพนด้า</t>
  </si>
  <si>
    <t>E038090905I3603000</t>
  </si>
  <si>
    <t>มุ้งไฟเบอร์ สีเทา 48 นิ้ว ตราแพนด้า</t>
  </si>
  <si>
    <t>E038090905I3483000</t>
  </si>
  <si>
    <t>มุ้งไฟเบอร์ สีเทา 42 นิ้ว ตราแพนด้า</t>
  </si>
  <si>
    <t>E038090905I3423000</t>
  </si>
  <si>
    <t>มุ้งไฟเบอร์ สีเทา 36 นิ้ว ตราแพนด้า</t>
  </si>
  <si>
    <t>E038090905I3363000</t>
  </si>
  <si>
    <t>มุ้งไฟเบอร์ สีเทา 32 นิ้ว ตราแพนด้า</t>
  </si>
  <si>
    <t>E038090905I3323000</t>
  </si>
  <si>
    <t>มุ้งไฟเบอร์ สีเทา 30 นิ้ว ตราแพนด้า</t>
  </si>
  <si>
    <t>E038090905I3303000</t>
  </si>
  <si>
    <t>มุ้งไฟเบอร์ สีเทา 28 นิ้ว ตราแพนด้า</t>
  </si>
  <si>
    <t>E038090905I3283000</t>
  </si>
  <si>
    <t>มุ้งไนลอน สีเทา 48 นิ้ว ตรานกเพนกวิน</t>
  </si>
  <si>
    <t>E037090905I2483000</t>
  </si>
  <si>
    <t>มุ้งไนลอน สีเทา 42 นิ้ว ตรานกเพนกวิน</t>
  </si>
  <si>
    <t>E037090905I2423000</t>
  </si>
  <si>
    <t>มุ้งไนลอน สีเทา 40 นิ้ว ตรานกเพนกวิน</t>
  </si>
  <si>
    <t>E037090905I2403000</t>
  </si>
  <si>
    <t>มุ้งไนลอน สีเทา 36 นิ้ว ตรานกเพนกวิน</t>
  </si>
  <si>
    <t>E037090905I2363000</t>
  </si>
  <si>
    <t>มุ้งไนลอน สีเทา 32 นิ้ว ตรานกเพนกวิน</t>
  </si>
  <si>
    <t>E037090905I2323000</t>
  </si>
  <si>
    <t>มุ้งไนลอน สีเทา 30 นิ้ว ตรานกเพนกวิน</t>
  </si>
  <si>
    <t>E037090905I2303000</t>
  </si>
  <si>
    <t>มุ้งไนลอน สีเทา 28 นิ้ว ตรานกเพนกวิน</t>
  </si>
  <si>
    <t>E037090905I2283000</t>
  </si>
  <si>
    <t>มุ้งไนลอน สีเทา 48 นิ้ว ตรานกแก้ว</t>
  </si>
  <si>
    <t>E036090905I2483000</t>
  </si>
  <si>
    <t>มุ้งไนลอน สีเทา 42 นิ้ว ตรานกแก้ว</t>
  </si>
  <si>
    <t>E036090905I2423000</t>
  </si>
  <si>
    <t>มุ้งไนลอน สีเทา 36 นิ้ว ตรานกแก้ว</t>
  </si>
  <si>
    <t>E036090905I2363000</t>
  </si>
  <si>
    <t>มุ้งไนลอน สีเทา 32 นิ้ว ตรานกแก้ว</t>
  </si>
  <si>
    <t>E036090905I2323000</t>
  </si>
  <si>
    <t>มุ้งไนลอน สีเทา 30 นิ้ว ตรานกแก้ว</t>
  </si>
  <si>
    <t>E036090905I2303000</t>
  </si>
  <si>
    <t>มุ้งไนลอน สีเทา 28 นิ้ว ตรานกแก้ว</t>
  </si>
  <si>
    <t>E036090905I2283000</t>
  </si>
  <si>
    <t>มุ้งไฟเบอร์ สีอบขาว 48 นิ้ว ตราแพนด้า</t>
  </si>
  <si>
    <t>E038090904I3483000</t>
  </si>
  <si>
    <t>มุ้งไฟเบอร์ สีอบขาว 42 นิ้ว ตราแพนด้า</t>
  </si>
  <si>
    <t>E038090904I3423000</t>
  </si>
  <si>
    <t>มุ้งไฟเบอร์ สีอบขาว 36 นิ้ว ตราแพนด้า</t>
  </si>
  <si>
    <t>E038090904I3363000</t>
  </si>
  <si>
    <t>รีเวท สีอบขาว 4-4 ตรา TL</t>
  </si>
  <si>
    <t>E035141304N4400000</t>
  </si>
  <si>
    <t>มือจับเรียบไม่มีรู (เหลี่ยม) สีอบขาว TL-03B</t>
  </si>
  <si>
    <t>E035040204D2400300</t>
  </si>
  <si>
    <t>มือจับเรียบมีรู (เหลี่ยม) สีอบขาว TL-02B</t>
  </si>
  <si>
    <t>E035040204D2300200</t>
  </si>
  <si>
    <t>มือจับล็อคกุญแจ ตัวใหญ่ (เหลี่ยม) สีอบขาว TL-04B</t>
  </si>
  <si>
    <t>E035040204D2200400</t>
  </si>
  <si>
    <t>มือจับล็อค ตัวเล็ก  สีอบขาว TL-01S</t>
  </si>
  <si>
    <t>E035040204D2100101</t>
  </si>
  <si>
    <t>มือจับล็อค ตัวใหญ่ (เหลี่ยม) สีอบขาว TL-01B</t>
  </si>
  <si>
    <t>E035040204D2100100</t>
  </si>
  <si>
    <t>BI-FOLD บานพับมือดึงบานเฟี้ยม สีอบขาว KL #FXZ12</t>
  </si>
  <si>
    <t>E033080604H0001200</t>
  </si>
  <si>
    <t>BI-FOLD บานพับข้างบานเฟี้ยม สีอบขาว KL #FXZ11</t>
  </si>
  <si>
    <t>E033080604H0001100</t>
  </si>
  <si>
    <t>BI-FOLD บานพับล้อล่างบานเฟี้ยมข้าง สีอบขาว KL #FXZ5B-I</t>
  </si>
  <si>
    <t>E033080604H0000402</t>
  </si>
  <si>
    <t>BI-FOLD บานพับล้อบนบานเฟี้ยมข้าง สีอบขาว KL #FXZ1B-I</t>
  </si>
  <si>
    <t>E033080604H0000301</t>
  </si>
  <si>
    <t>BI-FOLD บานพับล้อล่างบานเฟี้ยม สีอบขาว KL #FXZ5B</t>
  </si>
  <si>
    <t>E033080604H0000200</t>
  </si>
  <si>
    <t>BI-FOLD บานพับล้อบนบานเฟี้ยม สีอบขาว KL #FXZ1B</t>
  </si>
  <si>
    <t>E033080604H0000100</t>
  </si>
  <si>
    <t>EURO บานพับประตู สีอบขาว KL #MJ17</t>
  </si>
  <si>
    <t>E033080104H0001700</t>
  </si>
  <si>
    <t>EURO บานพับหน้าต่าง สีอบขาว KL #N4B</t>
  </si>
  <si>
    <t>E033080104H0000400</t>
  </si>
  <si>
    <t>BI-FOLD กลอนบานเฟี้ยม สีอบขาว ยาว 50cm. KL #SCX500</t>
  </si>
  <si>
    <t>E033050604E0050000</t>
  </si>
  <si>
    <t>E033040604D0283200</t>
  </si>
  <si>
    <t>EURO มือจับก้านโยกดัมมี่ สีอบขาว KL #MZS320 พร้อมแกนเหลี่ยม 1 ตัว, น็อต 2 ตัว</t>
  </si>
  <si>
    <t>E033040104D0032001</t>
  </si>
  <si>
    <t>EURO มือจับก้านโยกดัมมี่ สีอบขาว KL #MZS320 (ซื้อ)</t>
  </si>
  <si>
    <t>E033040104D0032000</t>
  </si>
  <si>
    <t>EURO มือจับก้านโยกกุญแจ สีอบขาว KL #MZS20 พร้อมแกนเหลี่ยม 1 ตัว, น็อต 2 ตัว</t>
  </si>
  <si>
    <t>E033040104D0002001</t>
  </si>
  <si>
    <t>EURO มือจับก้านโยกกุญแจ สีอบขาว KL #MZS20 (ซื้อ)</t>
  </si>
  <si>
    <t>E033040104D0002000</t>
  </si>
  <si>
    <t>ชุดขาเกล็ด สามศร สีอบขาว 4x12</t>
  </si>
  <si>
    <t>E032070504G3401200</t>
  </si>
  <si>
    <t>ชุดขาเกล็ด สามศร สีอบขาว 4x11</t>
  </si>
  <si>
    <t>E032070504G3401100</t>
  </si>
  <si>
    <t>มุ้งไฟเบอร์ สีดำ 48 นิ้ว ตราม้าบิน</t>
  </si>
  <si>
    <t>E039090903I3483000</t>
  </si>
  <si>
    <t>มุ้งไฟเบอร์ สีดำ 42 นิ้ว ตราม้าบิน</t>
  </si>
  <si>
    <t>E039090903I3423000</t>
  </si>
  <si>
    <t>มุ้งไฟเบอร์ สีดำ 36 นิ้ว ตราม้าบิน</t>
  </si>
  <si>
    <t>E039090903I3363000</t>
  </si>
  <si>
    <t>มุ้งไฟเบอร์ สีดำ 32 นิ้ว ตราม้าบิน</t>
  </si>
  <si>
    <t>E039090903I3323000</t>
  </si>
  <si>
    <t>มุ้งลวด สีดำ 48 นิ้ว ตราม้าบิน</t>
  </si>
  <si>
    <t>E039090903I1483000</t>
  </si>
  <si>
    <t>มุ้งลวด สีดำ 42 นิ้ว ตราม้าบิน</t>
  </si>
  <si>
    <t>E039090903I1423000</t>
  </si>
  <si>
    <t>มุ้งลวด สีดำ 40 นิ้ว ตราม้าบิน</t>
  </si>
  <si>
    <t>E039090903I1403000</t>
  </si>
  <si>
    <t>มุ้งลวด สีดำ 36 นิ้ว ตราม้าบิน</t>
  </si>
  <si>
    <t>E039090903I1363000</t>
  </si>
  <si>
    <t>มุ้งลวด สีดำ 34 นิ้ว ตราม้าบิน</t>
  </si>
  <si>
    <t>E039090903I1343000</t>
  </si>
  <si>
    <t>มุ้งลวด สีดำ 32 นิ้ว ตราม้าบิน</t>
  </si>
  <si>
    <t>E039090903I1323000</t>
  </si>
  <si>
    <t>มุ้งลวด สีดำ 30 นิ้ว ตราม้าบิน</t>
  </si>
  <si>
    <t>E039090903I1303000</t>
  </si>
  <si>
    <t>มุ้งลวด สีดำ 28 นิ้ว ตราม้าบิน</t>
  </si>
  <si>
    <t>E039090903I1283000</t>
  </si>
  <si>
    <t>มุ้งไฟเบอร์ สีดำ 60 นิ้ว ตราแพนด้า</t>
  </si>
  <si>
    <t>E038090903I3603000</t>
  </si>
  <si>
    <t>มุ้งไฟเบอร์ สีดำ 48 นิ้ว ตราแพนด้า</t>
  </si>
  <si>
    <t>E038090903I3483000</t>
  </si>
  <si>
    <t>มุ้งไฟเบอร์ สีดำ 42 นิ้ว ตราแพนด้า</t>
  </si>
  <si>
    <t>E038090903I3423000</t>
  </si>
  <si>
    <t>มุ้งไฟเบอร์ สีดำ 36 นิ้ว ตราแพนด้า</t>
  </si>
  <si>
    <t>E038090903I3363000</t>
  </si>
  <si>
    <t>มุ้งไฟเบอร์ สีดำ 32 นิ้ว ตราแพนด้า</t>
  </si>
  <si>
    <t>E038090903I3323000</t>
  </si>
  <si>
    <t>มุ้งไฟเบอร์ สีดำ 30 นิ้ว ตราแพนด้า</t>
  </si>
  <si>
    <t>E038090903I3303000</t>
  </si>
  <si>
    <t>มุ้งไฟเบอร์ สีดำ 28 นิ้ว ตราแพนด้า</t>
  </si>
  <si>
    <t>E038090903I3283000</t>
  </si>
  <si>
    <t>มุ้งไนลอน สีดำ 48 นิ้ว ตรานกเพนกวิน</t>
  </si>
  <si>
    <t>E037090903I2483000</t>
  </si>
  <si>
    <t>มุ้งไนลอน สีดำ 42 นิ้ว ตรานกเพนกวิน</t>
  </si>
  <si>
    <t>E037090903I2423000</t>
  </si>
  <si>
    <t>มุ้งไนลอน สีดำ 36 นิ้ว ตรานกเพนกวิน</t>
  </si>
  <si>
    <t>E037090903I2363000</t>
  </si>
  <si>
    <t>มุ้งไนลอน สีดำ 48 นิ้ว ตรานกแก้ว</t>
  </si>
  <si>
    <t>E036090903I2483000</t>
  </si>
  <si>
    <t>มุ้งไนลอน สีดำ 42 นิ้ว ตรานกแก้ว</t>
  </si>
  <si>
    <t>E036090903I2423000</t>
  </si>
  <si>
    <t>มุ้งไนลอน สีดำ 36 นิ้ว ตรานกแก้ว</t>
  </si>
  <si>
    <t>E036090903I2363000</t>
  </si>
  <si>
    <t>รีเวท สีดำ 4-4  ตรา TL</t>
  </si>
  <si>
    <t>E035141303N4400000</t>
  </si>
  <si>
    <t xml:space="preserve">มือจับสแตนเลสสี่สหาย (คาดดำ) TS-1904A ขนาด 400x305x25  </t>
  </si>
  <si>
    <t>E035040303D3190400</t>
  </si>
  <si>
    <t>EURO ยางกันขโมย สีดำ KL #T-FDK01</t>
  </si>
  <si>
    <t>E033120203L0000100</t>
  </si>
  <si>
    <t>EURO ยางกันชนคอม้า สีดำ KL #T-FK-D</t>
  </si>
  <si>
    <t>E033120203L0000000</t>
  </si>
  <si>
    <t>BI-FOLD บานพับมือดึงบานเฟี้ยม สีดำ KL #FXZ12</t>
  </si>
  <si>
    <t>E033080603H0001200</t>
  </si>
  <si>
    <t>BI-FOLD บานพับข้างบานเฟี้ยม สีดำ KL #FXZ11</t>
  </si>
  <si>
    <t>E033080603H0001100</t>
  </si>
  <si>
    <t>BI-FOLD บานพับล้อล่างบานเฟี้ยมข้าง สีดำ KL #FXZ5B-I</t>
  </si>
  <si>
    <t>E033080603H0000402</t>
  </si>
  <si>
    <t>BI-FOLD บานพับล้อบนบานเฟี้ยมข้าง สีดำ KL #FXZ1B-I</t>
  </si>
  <si>
    <t>E033080603H0000301</t>
  </si>
  <si>
    <t>BI-FOLD บานพับล้อล่างบานเฟี้ยม สีดำ KL #FXZ5B</t>
  </si>
  <si>
    <t>E033080603H0000200</t>
  </si>
  <si>
    <t>BI-FOLD บานพับล้อบนบานเฟี้ยม สีดำ KL #FXZ1B</t>
  </si>
  <si>
    <t>E033080603H0000100</t>
  </si>
  <si>
    <t>EURO บานพับประตู สีดำ KL #MJ17</t>
  </si>
  <si>
    <t>E033080103H0001700</t>
  </si>
  <si>
    <t>EURO บานพับหน้าต่าง สีดำ KL #N4B</t>
  </si>
  <si>
    <t>E033080103H0000400</t>
  </si>
  <si>
    <t>E033050603E0050000</t>
  </si>
  <si>
    <t>E033040603D0283200</t>
  </si>
  <si>
    <t>EURO มือจับก้านโยกดัมมี่ สีดำ KL #MZS320 พร้อมแกนเหลี่ยม 1 ตัว, น็อต 2 ตัว</t>
  </si>
  <si>
    <t>E033040103D0032001</t>
  </si>
  <si>
    <t>EURO มือจับก้านโยกดัมมี่ สีดำ KL #MZS320 (ซื้อ)</t>
  </si>
  <si>
    <t>E033040103D0032000</t>
  </si>
  <si>
    <t>EURO มือจับก้านโยกกุญแจ สีดำ KL #MZS20 พร้อมแกนเหลี่ยม 1 ตัว, น็อต 2 ตัว</t>
  </si>
  <si>
    <t>E033040103D0002001</t>
  </si>
  <si>
    <t>EURO มือจับก้านโยกกุญแจ สีดำ KL #MZS20 (ซื้อ)</t>
  </si>
  <si>
    <t>E033040103D0002000</t>
  </si>
  <si>
    <t>ชุดขาเกล็ด สามศร สีดำ 4x12</t>
  </si>
  <si>
    <t>E032070503G3401200</t>
  </si>
  <si>
    <t>ชุดขาเกล็ด สามศร สีดำ 4x11</t>
  </si>
  <si>
    <t>E032070503G3401100</t>
  </si>
  <si>
    <t>มุ้งลวด สีชา 48 นิ้ว ตราม้าบิน</t>
  </si>
  <si>
    <t>E039090902I1483000</t>
  </si>
  <si>
    <t>มุ้งลวด สีชา 42 นิ้ว ตราม้าบิน</t>
  </si>
  <si>
    <t>E039090902I1423000</t>
  </si>
  <si>
    <t>มุ้งลวด สีชา 40 นิ้ว ตราม้าบิน</t>
  </si>
  <si>
    <t>E039090902I1403000</t>
  </si>
  <si>
    <t>มุ้งลวด สีชา 36 นิ้ว ตราม้าบิน</t>
  </si>
  <si>
    <t>E039090902I1363000</t>
  </si>
  <si>
    <t>มุ้งลวด สีชา 32 นิ้ว ตราม้าบิน</t>
  </si>
  <si>
    <t>E039090902I1323000</t>
  </si>
  <si>
    <t>มุ้งลวด สีชา 30 นิ้ว ตราม้าบิน</t>
  </si>
  <si>
    <t>E039090902I1303000</t>
  </si>
  <si>
    <t>มุ้งลวด สีชา 28 นิ้ว ตราม้าบิน</t>
  </si>
  <si>
    <t>E039090902I1283000</t>
  </si>
  <si>
    <t>E032070502G4000000</t>
  </si>
  <si>
    <t>ชุดขาเกล็ด สามศร สีชา 4x15</t>
  </si>
  <si>
    <t>E032070502G3401500</t>
  </si>
  <si>
    <t>ชุดขาเกล็ด สามศร สีชา 4x12</t>
  </si>
  <si>
    <t>E032070502G3401200</t>
  </si>
  <si>
    <t>ชุดขาเกล็ด สามศร สีชา 4x11</t>
  </si>
  <si>
    <t>E032070502G3401100</t>
  </si>
  <si>
    <t>ชุดขาเกล็ด สามศร สีชา 4x10</t>
  </si>
  <si>
    <t>E032070502G3401000</t>
  </si>
  <si>
    <t>ขาเกล็ดไทยกล้า สีชา 4x12</t>
  </si>
  <si>
    <t>E030070502Z1401200</t>
  </si>
  <si>
    <t>ขาเกล็ดไทยกล้า สีชา 4x11</t>
  </si>
  <si>
    <t>E030070502Z1401100</t>
  </si>
  <si>
    <t>มุ้งลวด สีขาวอลู 48 นิ้ว ตราม้าบิน</t>
  </si>
  <si>
    <t>E039090901I1483000</t>
  </si>
  <si>
    <t>มุ้งลวด สีขาวอลู 42 นิ้ว ตราม้าบิน</t>
  </si>
  <si>
    <t>E039090901I1423000</t>
  </si>
  <si>
    <t>มุ้งลวด สีขาวอลู 40 นิ้ว ตราม้าบิน</t>
  </si>
  <si>
    <t>E039090901I1403000</t>
  </si>
  <si>
    <t>มุ้งลวด สีขาวอลู 36 นิ้ว ตราม้าบิน</t>
  </si>
  <si>
    <t>E039090901I1363000</t>
  </si>
  <si>
    <t>มุ้งลวด สีขาวอลู 48 นิ้ว ตราแพนด้า</t>
  </si>
  <si>
    <t>E038090901I1483000</t>
  </si>
  <si>
    <t>มุ้งลวด สีขาวอลู 42 นิ้ว ตราแพนด้า</t>
  </si>
  <si>
    <t>E038090901I1423000</t>
  </si>
  <si>
    <t>มุ้งลวด สีขาวอลู 36 นิ้ว ตราแพนด้า</t>
  </si>
  <si>
    <t>E038090901I1363000</t>
  </si>
  <si>
    <t>รีเวท สีขาวอลู 4-4  ตรา TL</t>
  </si>
  <si>
    <t>E035141301N4400000</t>
  </si>
  <si>
    <t>ชุดขาเกล็ดสามศร สีขาวอลู 4 1/2x10</t>
  </si>
  <si>
    <t>E032070501Z3451000</t>
  </si>
  <si>
    <t>E032070501G4000000</t>
  </si>
  <si>
    <t>ชุดขาเกล็ดสามศร สีขาวอลู 4x12</t>
  </si>
  <si>
    <t>E032070501G3401200</t>
  </si>
  <si>
    <t>ชุดขาเกล็ดสามศร สีขาวอลู 4x11</t>
  </si>
  <si>
    <t>E032070501G3401100</t>
  </si>
  <si>
    <t>มือหมุน สีขาวอลู ก.ไก่</t>
  </si>
  <si>
    <t>E031070501G4000000</t>
  </si>
  <si>
    <t>ขาเกล็ด ไทยกล้า สีขาวอลู 4 1/2x10</t>
  </si>
  <si>
    <t>E030070501Z1451000</t>
  </si>
  <si>
    <t>มือหมุน สีขาวอลู ไทยกล้า</t>
  </si>
  <si>
    <t>E030070501G4000000</t>
  </si>
  <si>
    <t>ขาเกล็ดไทยกล้า สีขาวอลู 4x12</t>
  </si>
  <si>
    <t>E030070501G1401200</t>
  </si>
  <si>
    <t xml:space="preserve">ขาเกล็ดไทยกล้า สีขาวอลู 4x11 </t>
  </si>
  <si>
    <t>E030070501G1401100</t>
  </si>
  <si>
    <t>มุ้ง ยี่ห้อแพนด้า (กลุ่ม)</t>
  </si>
  <si>
    <t>E03809000000000000</t>
  </si>
  <si>
    <t>มีดตัดกระจกใหญ่ 6-12 มม. TL #T-7102 (ใช้น้ำมัน)</t>
  </si>
  <si>
    <t>E035131100M0061202</t>
  </si>
  <si>
    <t>มือจับสแตนเลสสี่สหาย TS-1902A ขนาด 400x305x25</t>
  </si>
  <si>
    <t>E035040300D3190200</t>
  </si>
  <si>
    <t>มือจับสแตนเลสสี่สหาย TS-1901A ขนาด 400x305x25</t>
  </si>
  <si>
    <t>E035040300D3190100</t>
  </si>
  <si>
    <t>EURO หมุดล็อคบานเปิด KL #N39</t>
  </si>
  <si>
    <t>E033120700L0003900</t>
  </si>
  <si>
    <t>EURO รับล็อคบานเปิด KL #ZA1-6A</t>
  </si>
  <si>
    <t>E033120700L0001600</t>
  </si>
  <si>
    <t>EURO ตัวที KL #ZCD-08</t>
  </si>
  <si>
    <t>E033120700L0000800</t>
  </si>
  <si>
    <t>EURO หมุดล็อคบานเปิด KL #HDS7</t>
  </si>
  <si>
    <t>E033120700L0000700</t>
  </si>
  <si>
    <t>EURO หมุดล็อคบานเปิด KL #HDS6</t>
  </si>
  <si>
    <t>E033120700L0000600</t>
  </si>
  <si>
    <t>BI-FOLD ฝารับล็อคกุญแจประตู (DMS20A)</t>
  </si>
  <si>
    <t>E033120600L0002000</t>
  </si>
  <si>
    <t>EURO ฉากประคอง KL #FCJ-A</t>
  </si>
  <si>
    <t>E033120300L0000000</t>
  </si>
  <si>
    <t>EURO หมุดล็อคบานเลื่อน KL #ZGB14M</t>
  </si>
  <si>
    <t>E033120200L0001400</t>
  </si>
  <si>
    <t>EURO รับล็อคบานเลื่อน KL #U05</t>
  </si>
  <si>
    <t>E033120200L0000500</t>
  </si>
  <si>
    <t>BI-FOLD ปลายกลอนบานเปิด KL #CDG10B</t>
  </si>
  <si>
    <t>E033120100L0002000</t>
  </si>
  <si>
    <t>ACC ALU ยี่ห้อ KINLONG (กลุ่ม)</t>
  </si>
  <si>
    <t>E03312000000000000</t>
  </si>
  <si>
    <t>BI-FOLD ไส้กุญแจประตู KL #KIL3737/T</t>
  </si>
  <si>
    <t>E033050600E0373700</t>
  </si>
  <si>
    <t>E033050600E0003201</t>
  </si>
  <si>
    <t>BI-FOLD ตลับกุญแจ Multipoint lock KL #MSC32/I</t>
  </si>
  <si>
    <t>E033050600E0003200</t>
  </si>
  <si>
    <t>BI-FOLD ปลายกลอนบานเฟี้ยม KL #CDG30</t>
  </si>
  <si>
    <t>E033050600E0003000</t>
  </si>
  <si>
    <t>E033050600E0002001</t>
  </si>
  <si>
    <t>BI-FOLD ตลับกุญแจ CDQ KL #CDQ20</t>
  </si>
  <si>
    <t>E033050600E0002000</t>
  </si>
  <si>
    <t>BI-FOLD Transmission latch ตัวย้อนกลอน KL  #SCQ10</t>
  </si>
  <si>
    <t>E033050600E0001001</t>
  </si>
  <si>
    <t>BI-FOLD รับล็อคกลอนบานเฟี้ยม KL #SK10</t>
  </si>
  <si>
    <t>E033050600E0001000</t>
  </si>
  <si>
    <t>BI-FOLD เพลทรับล็อค KL #DMS20C</t>
  </si>
  <si>
    <t>E033050100E0002000</t>
  </si>
  <si>
    <t>แกนเหลี่ยม 8x8x100 mm. KL (ของแถม 1:1 ตัว) ใช้กับมือจับ MZS20,MZS320 (แถม)</t>
  </si>
  <si>
    <t>E033040100D8810000</t>
  </si>
  <si>
    <t>น็อต M5x75 mm. KL (ของแถม 2:1 ตัว) ใช้กับมือจับ MZS20,MZS320 (แถม)</t>
  </si>
  <si>
    <t>E033040100D0057500</t>
  </si>
  <si>
    <t>ขาเกล็ด ยี่ห้อ สามศร (กลุ่ม)</t>
  </si>
  <si>
    <t>E03207000000000000</t>
  </si>
  <si>
    <t>มือจับสแตนเลสสี่สหาย (คาดแดง) TS-1903A ขนาด 400x305x25</t>
  </si>
  <si>
    <t>E035040313D3190300</t>
  </si>
  <si>
    <t>มือจับล็อค รุ่นใหญ่ สีเทาซาฮาร่า HUSZA #SE340</t>
  </si>
  <si>
    <t>E022040206D2109800</t>
  </si>
  <si>
    <t>มือจับสแตนเลส RP รุ่น 712 ขนาด 305x25x25 สีเทาซาฮาร่า</t>
  </si>
  <si>
    <t>E021040306D3071200</t>
  </si>
  <si>
    <t xml:space="preserve">มือหมุน สีอบขาว บาร์โก้ </t>
  </si>
  <si>
    <t>E028070504G4000000</t>
  </si>
  <si>
    <t>ฉากบน-ล่าง สีอบขาว 36 นิ้ว รุ่นหนา</t>
  </si>
  <si>
    <t>E028070504G2360002</t>
  </si>
  <si>
    <t>ฉากบน-ล่าง สีอบขาว 30 นิ้ว รุ่นหนา</t>
  </si>
  <si>
    <t>E028070504G2300002</t>
  </si>
  <si>
    <t>ขาเกล็ดบาร์โก้ สีอบขาว 4x12 (ป้ายเขียว)</t>
  </si>
  <si>
    <t>E028070504G1401200</t>
  </si>
  <si>
    <t>ขาเกล็ดบาร์โก้ สีอบขาว 4x11 (ป้ายเขียว)</t>
  </si>
  <si>
    <t>E028070504G1401100</t>
  </si>
  <si>
    <t>กุญแจสวิงลูกบิด สีอบขาว HERO</t>
  </si>
  <si>
    <t>E025050304E0200000</t>
  </si>
  <si>
    <t>กุญแจเกี่ยวลูกบิด สีอบขาว HERO</t>
  </si>
  <si>
    <t>E025050204E0100000</t>
  </si>
  <si>
    <t>มือจับเรียบไม่มีรู รุ่นใหญ่ สีอบขาว CCC</t>
  </si>
  <si>
    <t>E024040204D2409800</t>
  </si>
  <si>
    <t>มือจับเรียบมีรู รุ่นใหญ่ สีอบขาว CCC</t>
  </si>
  <si>
    <t>E024040204D2309800</t>
  </si>
  <si>
    <t>มือจับล็อคกุญแจ รุ่นใหญ่ สีอบขาว CCC</t>
  </si>
  <si>
    <t>E024040204D2209800</t>
  </si>
  <si>
    <t>มือจับล็อค รุ่นใหญ่ สีอบขาว CCC</t>
  </si>
  <si>
    <t>E024040204D2109800</t>
  </si>
  <si>
    <t>กุญแจลูกบิดบานเลื่อนคอม้า (ดอกแบน) สีอบขาว HUSZA</t>
  </si>
  <si>
    <t>E022050204E0100000</t>
  </si>
  <si>
    <t>มือจับเรียบไม่มีรู สีอบขาว HUSZA MHZ-101</t>
  </si>
  <si>
    <t>E022040204D2410100</t>
  </si>
  <si>
    <t>มือจับเรียบไม่มีรู รุ่นใหญ่ สีอบขาว HUSZA #SE330-2</t>
  </si>
  <si>
    <t>E022040204D2409800</t>
  </si>
  <si>
    <t>มือจับเรียบมีรู สีอบขาว HUSZA MHZ-100</t>
  </si>
  <si>
    <t>E022040204D2310000</t>
  </si>
  <si>
    <t>มือจับเรียบมีรู รุ่นใหญ่ สีอบขาว HUSZA #SE330-1</t>
  </si>
  <si>
    <t>E022040204D2309800</t>
  </si>
  <si>
    <t>มือจับกุญแจ สีอบขาว HUSZA MHZ-103</t>
  </si>
  <si>
    <t>E022040204D2210300</t>
  </si>
  <si>
    <t>มือจับกุญแจ รุ่นใหญ่ สีอบขาว HUSZA #SE380</t>
  </si>
  <si>
    <t>E022040204D2209800</t>
  </si>
  <si>
    <t>มือจับล็อค สีอบขาว HUSZA  MHZ-102</t>
  </si>
  <si>
    <t>E022040204D2110200</t>
  </si>
  <si>
    <t>มือจับล็อค รุ่นใหญ่ สีอบขาว HUSZA #SE340</t>
  </si>
  <si>
    <t>E022040204D2109800</t>
  </si>
  <si>
    <t>E028070503G4000000</t>
  </si>
  <si>
    <t>ฉากบน-ล่าง 36 นิ้ว สีดำ หนา</t>
  </si>
  <si>
    <t>E028070503G2360002</t>
  </si>
  <si>
    <t>ขาเกล็ดบาร์โก้ 4x12 สีดำ (ป้ายเขียว)</t>
  </si>
  <si>
    <t>E028070503G1401200</t>
  </si>
  <si>
    <t>กุญแจสวิงลูกบิด สีดำ HERO</t>
  </si>
  <si>
    <t>E025050303E0200000</t>
  </si>
  <si>
    <t>กุญแจเกี่ยวลูกบิด สีดำ HERO</t>
  </si>
  <si>
    <t>E025050203E0100000</t>
  </si>
  <si>
    <t>มือจับเรียบไม่มีรู รุ่นใหญ่ สีดำ CCC</t>
  </si>
  <si>
    <t>E024040203D2409800</t>
  </si>
  <si>
    <t>มือจับเรียบมีรู รุ่นใหญ่ สีดำ CCC</t>
  </si>
  <si>
    <t>E024040203D2309800</t>
  </si>
  <si>
    <t>มือจับกุญแจ รุ่นใหญ่ สีดำ CCC</t>
  </si>
  <si>
    <t>E024040203D2209800</t>
  </si>
  <si>
    <t>มือจับล็อค รุ่นใหญ่ สีดำ CCC</t>
  </si>
  <si>
    <t>E024040203D2109800</t>
  </si>
  <si>
    <t>กุญแจลูกบิดบานเลื่อนคอม้า (ดอกแบน) สีดำ HUSZA</t>
  </si>
  <si>
    <t>E022050203E0100000</t>
  </si>
  <si>
    <t>มือจับเรียบไม่มีรู สีดำ HUSZA  MHZ-101</t>
  </si>
  <si>
    <t>E022040203D2410100</t>
  </si>
  <si>
    <t>มือจับเรียบไม่มีรู รุ่นใหญ่ สีดำ HUSZA #SE330-2</t>
  </si>
  <si>
    <t>E022040203D2409800</t>
  </si>
  <si>
    <t>มือจับเรียบมีรู สีดำ HUSZA MHZ-100</t>
  </si>
  <si>
    <t>E022040203D2310000</t>
  </si>
  <si>
    <t>มือจับเรียบมีรู รุ่นใหญ่ สีดำ HUSZA #SE330-1</t>
  </si>
  <si>
    <t>E022040203D2309800</t>
  </si>
  <si>
    <t>มือจับกุญแจ สีดำ HUSZA MHZ-103</t>
  </si>
  <si>
    <t>E022040203D2210300</t>
  </si>
  <si>
    <t>มือจับกุญแจ รุ่นใหญ่ สีดำ HUSZA #SE380</t>
  </si>
  <si>
    <t>E022040203D2209800</t>
  </si>
  <si>
    <t>มือจับล็อค สีดำ HUSZA  MHZ-102</t>
  </si>
  <si>
    <t>E022040203D2110200</t>
  </si>
  <si>
    <t>มือจับล็อค รุ่นใหญ่ สีดำ HUSZA #SE340</t>
  </si>
  <si>
    <t>E022040203D2109800</t>
  </si>
  <si>
    <t>มือจับสแตนเลส RP รุ่น 711 ขนาด 305x25x25 สีอบดำซาติน</t>
  </si>
  <si>
    <t>E021040303D3071100</t>
  </si>
  <si>
    <t>ฉากบน-ล่าง สีชา 36 นิ้ว รุ่นหนา</t>
  </si>
  <si>
    <t>E028070502Z2360002</t>
  </si>
  <si>
    <t>มือหมุน สีชา บาร์โก้</t>
  </si>
  <si>
    <t>E028070502G4000000</t>
  </si>
  <si>
    <t>ฉากบน-ล่าง สีชา 30 นิ้ว รุ่นหนา</t>
  </si>
  <si>
    <t>E028070502G2300002</t>
  </si>
  <si>
    <t>ขาเกล็ดบาร์โก้ สีชา 4x12 (ป้ายเหลือง)</t>
  </si>
  <si>
    <t>E028070502G1401200</t>
  </si>
  <si>
    <t>ขาเกล็ดบาร์โก้ สีชา 4x11 (ป้ายเหลือง)</t>
  </si>
  <si>
    <t>E028070502G1401100</t>
  </si>
  <si>
    <t>ขาเกล็ด 4x12 สีชา (888)</t>
  </si>
  <si>
    <t>E027070502Z1401200</t>
  </si>
  <si>
    <t>ขาเกล็ด 4x11 สีชา (888)</t>
  </si>
  <si>
    <t>E027070502Z1401100</t>
  </si>
  <si>
    <t>กุญแจสวิงลูกบิด สีชา HERO</t>
  </si>
  <si>
    <t>E025050302E0200000</t>
  </si>
  <si>
    <t>กุญแจเกี่ยวลูกบิด สีชา HERO</t>
  </si>
  <si>
    <t>E025050202E0100000</t>
  </si>
  <si>
    <t>กุญแจลูกบิดบานเลื่อนคอม้า (ดอกแบน) สีชา HUSZA</t>
  </si>
  <si>
    <t>E022050202E0100000</t>
  </si>
  <si>
    <t>มือจับเรียบไม่มีรู สีชา HUSZA MHZ-101</t>
  </si>
  <si>
    <t>E022040202D2410100</t>
  </si>
  <si>
    <t>มือจับเรียบไม่มีรู รุ่นใหญ่ สีชา HUSZA #SE330-2</t>
  </si>
  <si>
    <t>E022040202D2409800</t>
  </si>
  <si>
    <t>มือจับเรียบมีรู สีชา HUSZA  MHZ-100</t>
  </si>
  <si>
    <t>E022040202D2310000</t>
  </si>
  <si>
    <t>มือจับเรียบมีรู รุ่นใหญ่ สีชา HUSZA #SE330-1</t>
  </si>
  <si>
    <t>E022040202D2309800</t>
  </si>
  <si>
    <t>มือจับกุญแจ สีชา HUSZA MHZ-103</t>
  </si>
  <si>
    <t>E022040202D2210300</t>
  </si>
  <si>
    <t>มือจับกุญแจ รุ่นใหญ่ สีชา HUSZA #SE380</t>
  </si>
  <si>
    <t>E022040202D2209800</t>
  </si>
  <si>
    <t>มือจับล็อค สีชา HUSZA MHZ-102</t>
  </si>
  <si>
    <t>E022040202D2110200</t>
  </si>
  <si>
    <t>มือจับล็อค รุ่นใหญ่ สีชา HUSZA #SE340</t>
  </si>
  <si>
    <t>E022040202D2109800</t>
  </si>
  <si>
    <t>ก้ามปูสี่เหลี่ยม สีขาวอลู BARCO</t>
  </si>
  <si>
    <t>E028090901I2200000</t>
  </si>
  <si>
    <t>มือหมุน สีขาวอลู บาร์โก้</t>
  </si>
  <si>
    <t>E028070501G4000000</t>
  </si>
  <si>
    <t>ฉากบน-ล่าง สีขาวอลู 36 นิ้ว รุ่นหนา</t>
  </si>
  <si>
    <t>E028070501G2360002</t>
  </si>
  <si>
    <t>ฉากบน-ล่าง สีขาวอลู 36 นิ้ว รุ่นบาง</t>
  </si>
  <si>
    <t>E028070501G2360001</t>
  </si>
  <si>
    <t>ฉากบน-ล่าง สีขาวอลู 30 นิ้ว รุ่นหนา</t>
  </si>
  <si>
    <t>E028070501G2300002</t>
  </si>
  <si>
    <t>ฉากบน-ล่าง สีขาวอลู 30 นิ้ว รุ่นบาง</t>
  </si>
  <si>
    <t>E028070501G2300001</t>
  </si>
  <si>
    <t>ขาเกล็ดบาร์โก้ สีขาวอลู 4x12 (ป้ายเหลือง)</t>
  </si>
  <si>
    <t>E028070501G1401200</t>
  </si>
  <si>
    <t>ขาเกล็ดบาร์โก้ สีขาวอลู 4x11 (ป้ายเหลือง)</t>
  </si>
  <si>
    <t>E028070501G1401100</t>
  </si>
  <si>
    <t>ขาเกล็ด 4x12 สีขาวอลู (888)</t>
  </si>
  <si>
    <t>E027070501G1401200</t>
  </si>
  <si>
    <t>ขาเกล็ด 4x11 สีขาวอลู (888)</t>
  </si>
  <si>
    <t>E027070501G1401100</t>
  </si>
  <si>
    <t>กุญแจสวิงลูกบิด สีขาวอลู HERO</t>
  </si>
  <si>
    <t>E025050301E0200000</t>
  </si>
  <si>
    <t>กุญแจเกี่ยวลูกบิด สีขาวอลู HERO</t>
  </si>
  <si>
    <t>E025050201E0100000</t>
  </si>
  <si>
    <t>กุญแจลูกบิดบานเลื่อนคอม้า (ดอกแบน) สีขาวอลู HUSZA</t>
  </si>
  <si>
    <t>E022050201E0100000</t>
  </si>
  <si>
    <t>มือจับเรียบไม่มีรู สีขาวอลู HUSZA #MHZ-101</t>
  </si>
  <si>
    <t>E022040201D2410100</t>
  </si>
  <si>
    <t>มือจับเรียบไม่มีรู รุ่นใหญ่ สีขาวอลู HUSZA #SE330-2</t>
  </si>
  <si>
    <t>E022040201D2409800</t>
  </si>
  <si>
    <t>มือจับเรียบมีรู สีขาวอลู HUSZA #MHZ-100</t>
  </si>
  <si>
    <t>E022040201D2310000</t>
  </si>
  <si>
    <t>มือจับเรียบมีรู รุ่นใหญ่ สีขาวอลู HUSZA #SE330-1</t>
  </si>
  <si>
    <t>E022040201D2309800</t>
  </si>
  <si>
    <t>E022040201D2209800</t>
  </si>
  <si>
    <t>มือจับกุญแจ สีขาวอลู HUSZA #MHZ-103</t>
  </si>
  <si>
    <t>E022040201D2110300</t>
  </si>
  <si>
    <t>มือจับล็อค สีขาวอลู HUSZA #MHZ-102</t>
  </si>
  <si>
    <t>E022040201D2110200</t>
  </si>
  <si>
    <t>มือจับล็อค รุ่นใหญ่ สีขาวอลู HUSZA #SE340</t>
  </si>
  <si>
    <t>E022040201D2109800</t>
  </si>
  <si>
    <t>กาวร้อน คุณภาพสูง PUMPKIN รุ่น PTT-GIANTBOND #73118</t>
  </si>
  <si>
    <t>E029151300P7311800</t>
  </si>
  <si>
    <t>บ็อกซ์ตัว T ก้านสั้น 14 มม. PUMPKIN #61096</t>
  </si>
  <si>
    <t>E029151300P6109600</t>
  </si>
  <si>
    <t>บ็อกซ์ตัว T ก้านสั้น 13 มม. PUMPKIN #61095</t>
  </si>
  <si>
    <t>E029151300P6109500</t>
  </si>
  <si>
    <t>บ็อกซ์ตัว T ก้านสั้น 12 มม. PUMPKIN #61094</t>
  </si>
  <si>
    <t>E029151300P6109400</t>
  </si>
  <si>
    <t>บ็อกซ์ตัว T ก้านสั้น 10 มม. PUMPKIN #61092</t>
  </si>
  <si>
    <t>E029151300P6109200</t>
  </si>
  <si>
    <t>บ็อกซ์ตัว T ก้านสั้น 8 มม. PUMPKIN #61090</t>
  </si>
  <si>
    <t>E029151300P6109000</t>
  </si>
  <si>
    <t>ดอกไขควงลมโอซาก้า S2 (10 ดอก) PUMPKIN #61040</t>
  </si>
  <si>
    <t>E029151300P6104000</t>
  </si>
  <si>
    <t>ดอกไขควงลมโอซาก้า S2 ลดแรงกระแทก PH265 PTT-IM2-65 (2ดอก/แผง) #61038</t>
  </si>
  <si>
    <t>E029151300P6103800</t>
  </si>
  <si>
    <t>ดอกไขควงลม (คอยาว 13 มม) PH2-65 PUMPKIN #61028</t>
  </si>
  <si>
    <t>E029151300P6102800</t>
  </si>
  <si>
    <t>บ็อกซ์ตัว T Cr-V 13 มม PUMPKIN #61022</t>
  </si>
  <si>
    <t>E029151300P6102200</t>
  </si>
  <si>
    <t>บ็อกซ์ตัว T Cr-V 10 มม PUMPKIN #61019</t>
  </si>
  <si>
    <t>E029151300P6101900</t>
  </si>
  <si>
    <t>บ็อกซ์ตัว T Cr-V 8 มม PUMPKIN #61017</t>
  </si>
  <si>
    <t>E029151300P6101700</t>
  </si>
  <si>
    <t>ตะไบพร้อมด้าม กลม ละเอียด 6 นิ้ว  PUMPKIN #51121</t>
  </si>
  <si>
    <t>E029151300P5112100</t>
  </si>
  <si>
    <t>ตะไบพร้อมด้ามท้องปลิงละเอียด 6 นิ้ว PUMPKIN #51113</t>
  </si>
  <si>
    <t>E029151300P5111300</t>
  </si>
  <si>
    <t>ตะไบพร้อมด้าม แบน ละเอียด 6 นิ้ว  PUMPKIN #51105</t>
  </si>
  <si>
    <t>E029151300P5110500</t>
  </si>
  <si>
    <t>เครื่องยิงรีเวทไร้สาย 20V จับดอก 3.2-5 มม. PUMPKIN #50335</t>
  </si>
  <si>
    <t>E029151300P5033500</t>
  </si>
  <si>
    <t>เครื่องเป่าลม 600 วัตต์ PUMPKIN #50300</t>
  </si>
  <si>
    <t>E029151300P5030000</t>
  </si>
  <si>
    <t>แบตเตอรี่ลิเธียมไอออน 5 Ah (แอมป์อาวว์) P20V-B5A PUMPKIN #50297</t>
  </si>
  <si>
    <t>E029151300P5029700</t>
  </si>
  <si>
    <t>เจียรมือ 4 นิ้ว 800W J-G9531 PUMPKIN #50279</t>
  </si>
  <si>
    <t>E029151300P5027900</t>
  </si>
  <si>
    <t>เจียรมือ 4 นิ้ว J-G4750W PUMPKIN รุ่น J-Series #50277</t>
  </si>
  <si>
    <t>E029151300P5027700</t>
  </si>
  <si>
    <t>เครื่องชาร์จแบต XPLUS P20V (ใช้กับเครื่องมือไร้สาย) PUMPKIN #50265</t>
  </si>
  <si>
    <t>E029151300P5026500</t>
  </si>
  <si>
    <t>แบตเตอรี่ลิเธียมไอออน 20V 2.0Ah (ใช้กับเครื่องมือไร้สาย) PUMPKIN #50263</t>
  </si>
  <si>
    <t>E029151300P5026300</t>
  </si>
  <si>
    <t>สว่านไขควงกระแทกไร้สาย (ไร้แปรงถ่าน) 1/4 นิ้ว 20V PUMPKIN #50261</t>
  </si>
  <si>
    <t>E029151300P5026100</t>
  </si>
  <si>
    <t>สว่านโรตารี่ไร้สาย ไร้แปรงถ่าน 26 มม. 20V Li-ion INFINITY POWER PUMPKIN #50258</t>
  </si>
  <si>
    <t>E029151300P5025800</t>
  </si>
  <si>
    <t xml:space="preserve">สว่านไฟฟ้ากระแทกพร้อมชุดเครื่องมือ 16 มม.710W (97ชิ้น) PUMPKIN #50236 </t>
  </si>
  <si>
    <t>E029151300P5023600</t>
  </si>
  <si>
    <t>สว่านไร้สาย 12V  PUMPKIN รุ่น J-Series #50214-15B2</t>
  </si>
  <si>
    <t>E029151300P5021415</t>
  </si>
  <si>
    <t>สว่านไฟฟ้า 2 หุน 65 มม.450W J-D6538 PUMPKIN #50211</t>
  </si>
  <si>
    <t>E029151300P5021100</t>
  </si>
  <si>
    <t>สว่านกระแทกไร้สาย ไร้แปรงถ่าน 12V PUMPKIN รุ่น J-Series #50210</t>
  </si>
  <si>
    <t>E029151300P5021000</t>
  </si>
  <si>
    <t>สว่านกระแทกไร้สาย 12V PUMPKIN รุ่น J-Series #50208</t>
  </si>
  <si>
    <t>E029151300P5020800</t>
  </si>
  <si>
    <t>แท่นไฟเบอร์ตัดเหล็ก 14 นิ้ว PUMPKIN รุ่น J-Series #50165</t>
  </si>
  <si>
    <t>E029151300P5016500</t>
  </si>
  <si>
    <t>เครื่องเลื่อยองศา 10 นิ้ว PUMPKIN รุ่น J-Series #50115</t>
  </si>
  <si>
    <t>E029151300P5011500</t>
  </si>
  <si>
    <t>สว่านโรตารี่ 26 มม. PUMPKIN รุ่น HOME #45040</t>
  </si>
  <si>
    <t>E029151300P4504000</t>
  </si>
  <si>
    <t>ประแจแหวนข้างปากตายยาวพิเศษ 14 มม. PUMPKIN #44659</t>
  </si>
  <si>
    <t>E029151300P4465900</t>
  </si>
  <si>
    <t>ประแจแหวนข้างปากตายยาวพิเศษ 13 มม. PUMPKIN #44658</t>
  </si>
  <si>
    <t>E029151300P4465800</t>
  </si>
  <si>
    <t>ประแจแหวนข้างปากตายยาวพิเศษ 12 มม. PUMPKIN #44657</t>
  </si>
  <si>
    <t>E029151300P4465700</t>
  </si>
  <si>
    <t>ประแจแหวนข้างปากตายยาวพิเศษ 10 มม. PUMPKIN #44655</t>
  </si>
  <si>
    <t>E029151300P4465500</t>
  </si>
  <si>
    <t>ประแจแหวนข้างปากตายยาวพิเศษ 8 มม. PUMPKIN #44653</t>
  </si>
  <si>
    <t>E029151300P4465300</t>
  </si>
  <si>
    <t>เครื่องเจียรมือ 4 นิ้ว H-G954 PUMPKIN #44341</t>
  </si>
  <si>
    <t>E029151300P4434100</t>
  </si>
  <si>
    <t>โฮลซอเจาะเหล็ก 25 มม. PUMPKIN #44246</t>
  </si>
  <si>
    <t>E029151300P4424600</t>
  </si>
  <si>
    <t>โฮลซอเจาะเหล็ก 21 มม. PUMPKIN #44244</t>
  </si>
  <si>
    <t>E029151300P4424400</t>
  </si>
  <si>
    <t>โฮลซอเจาะเหล็ก 20 มม. PUMPKIN #44243</t>
  </si>
  <si>
    <t>E029151300P4424300</t>
  </si>
  <si>
    <t>โฮลซอเจาะเหล็ก 19 มม. PUMPKIN #44242</t>
  </si>
  <si>
    <t>E029151300P4424200</t>
  </si>
  <si>
    <t>โฮลซอเจาะเหล็ก 16 มม. PUMPKIN #44241</t>
  </si>
  <si>
    <t>E029151300P4424100</t>
  </si>
  <si>
    <t>เวอร์เนียร์พลาสติก 6 นิ้ว 150-PTTVCP PUMPKIN #35215</t>
  </si>
  <si>
    <t>E029151300P3521500</t>
  </si>
  <si>
    <t>กรรไกรตัดอเนกประสงค์ 10 นิ้ว ปากเฉียง PRO-21MS PUMPKIN #33640</t>
  </si>
  <si>
    <t>E029151300P3364000</t>
  </si>
  <si>
    <t>โครงเลื่อยตัดเหล็ก 12 นิ้ว PUMPKIN #32103</t>
  </si>
  <si>
    <t>E029151300P3210300</t>
  </si>
  <si>
    <t>คีมย้ำลดแรง 8 นิ้ว PUMPKIN #31206</t>
  </si>
  <si>
    <t>E029151300P3120600</t>
  </si>
  <si>
    <t>ค้อนไม้ 60 มม.PUMPKIN #29760</t>
  </si>
  <si>
    <t>E029151300P2976000</t>
  </si>
  <si>
    <t>กรรไกรตัดเหล็ก/สังกะสี ทรงอังกฤษ 14 นิ้ว PUMPKIN #29531</t>
  </si>
  <si>
    <t>E029151300P2953100</t>
  </si>
  <si>
    <t>กรรไกรตัดเหล็ก/สังกะสี ทรงอังกฤษ 12 นิ้ว  PUMPKIN#29530</t>
  </si>
  <si>
    <t>E029151300P2953000</t>
  </si>
  <si>
    <t>กรรไกรตัดเหล็ก/สังกะสี ทรงอังกฤษ 10 นิ้ว PUMPKIN #29529</t>
  </si>
  <si>
    <t>E029151300P2952900</t>
  </si>
  <si>
    <t>กรรไกรตัดเหล็กแผ่นปากตรง 10 นิ้ว PUMPKIN #29524</t>
  </si>
  <si>
    <t>E029151300P2952400</t>
  </si>
  <si>
    <t>กรรไกรตัดเหล็กอเนกประสงค์ สแตนเลส PTT-08USS PUMPKIN #29516</t>
  </si>
  <si>
    <t>E029151300P2951600</t>
  </si>
  <si>
    <t>ค้อนหงอน 27 mm. ด้ามไฟเบอร์ PUMPKIN #29133</t>
  </si>
  <si>
    <t>E029151300P2913300</t>
  </si>
  <si>
    <t>บักเต้าใหญ่ตีเส้น-F PUMPKIN #28401-F</t>
  </si>
  <si>
    <t>E029151300P2840100</t>
  </si>
  <si>
    <t>เครื่องวัดระยะเลเซอร์ 40 เมตร PUMPKIN #28363</t>
  </si>
  <si>
    <t>E029151300P2836300</t>
  </si>
  <si>
    <t>เครื่องวัดระดับเลเซอร์ 5 เส้น PTT-H-LSR5L พร้อมขาตั้ง PUMPKIN #28269</t>
  </si>
  <si>
    <t>E029151300P2826900</t>
  </si>
  <si>
    <t>เครื่องวัดระดับเลเซอร์ แบตในตัวแสงเขียวx พร้อมขาตั้งx PUMPKIN #28259</t>
  </si>
  <si>
    <t>E029151300P2825900</t>
  </si>
  <si>
    <t>ขาตั้ง 3 ขาสีส้ม 1.5 M PTT-TP150 PUMPKIN #28254</t>
  </si>
  <si>
    <t>E029151300P2825400</t>
  </si>
  <si>
    <t>ระดับน้ำ 9 นิ้ว อย่างหนา PUMPKIN #28244</t>
  </si>
  <si>
    <t>E029151300P2824400</t>
  </si>
  <si>
    <t>ระดับน้ำ รุ่นแม่เหล็ก 12 นิ้ว PUMPKIN #28211</t>
  </si>
  <si>
    <t>E029151300P2821100</t>
  </si>
  <si>
    <t>ระดับน้ำ รุ่นแม่เหล็ก 24 นิ้ว PUMPKIN #28205</t>
  </si>
  <si>
    <t>E029151300P2820500</t>
  </si>
  <si>
    <t>อุปกรณ์เพิ่ม/ลดแรงดึงดูดแม่เหล็ก PTT-MN PUMPKIN #26436</t>
  </si>
  <si>
    <t>E029151300P2643600</t>
  </si>
  <si>
    <t>คีมล็อกปากตรง+หัวขันน็อต 10 นิ้ว PUMPKIN #25107</t>
  </si>
  <si>
    <t>E029151300P2510700</t>
  </si>
  <si>
    <t>ใบตัดเพชร/คอนกรีต 4 นิ้ว PUMPKIN #22306</t>
  </si>
  <si>
    <t>E029151300P2230600</t>
  </si>
  <si>
    <t>ใบตัดเพชร  4 นิ้ว SEGMENT TYPE GENERAL PURPOSE PUMPKIN #22305</t>
  </si>
  <si>
    <t>E029151300P2230500</t>
  </si>
  <si>
    <t>ใบตัดเพชร บางพิเศษ 4 นิ้ว PUMPKIN #22304</t>
  </si>
  <si>
    <t>E029151300P2230400</t>
  </si>
  <si>
    <t>น้ำมันอเนกประสงค์ หัวสเปรย์ 400 ML PUMPKIN #20018</t>
  </si>
  <si>
    <t>E029151300P2001800</t>
  </si>
  <si>
    <t>น้ำมันอเนกประสงค์ หัวสเปรย์ 200 ML PUMPKIN #20017</t>
  </si>
  <si>
    <t>E029151300P2001700</t>
  </si>
  <si>
    <t>ไขควงลองไฟ AC100-500V PUMPKIN #17880</t>
  </si>
  <si>
    <t>E029151300P1788000</t>
  </si>
  <si>
    <t>ไขควงสลับ S2 PH2x6.35x100 PUMPKIN รุ่น FRANKEN-PLUS  #17202</t>
  </si>
  <si>
    <t>E029151300P1720200</t>
  </si>
  <si>
    <t>ไขควงสลับ S2 PH2x6.35x40 PUMPKIN รุ่น FRANKEN-PLUS #17201</t>
  </si>
  <si>
    <t>E029151300P1720100</t>
  </si>
  <si>
    <t>ชุดดอกสว่านPilot Tip (mm.) PTT-M2/13M Xtrerme (13ชิ้น/ชุด) #16135</t>
  </si>
  <si>
    <t>E029151300P1613500</t>
  </si>
  <si>
    <t>ชุดดอกสว่านเจาะเหล็ก 21pcs/set PTT-DS21IN PUMPKIN #16133</t>
  </si>
  <si>
    <t>E029151300P1613300</t>
  </si>
  <si>
    <t>ดอกสว่านเจาะกระจก 5/16"x70 มม. PUMPKIN #15702</t>
  </si>
  <si>
    <t>E029151300P1570200</t>
  </si>
  <si>
    <t>ดอกสว่านเจาะกระจก 1/4"x65 มม. PUMPKIN #15701</t>
  </si>
  <si>
    <t>E029151300P1570100</t>
  </si>
  <si>
    <t>ดอกสว่านโรตารี่ หัวแฉก 5.5 x 110 มม.PUMPKIN #15565</t>
  </si>
  <si>
    <t>E029151300P1556500</t>
  </si>
  <si>
    <t>ดอกสว่านโรตารี่ หัวแฉก 8 x 160 มม.PUMPKIN #15557</t>
  </si>
  <si>
    <t>E029151300P1555700</t>
  </si>
  <si>
    <t>ดอกสว่านโรตารี่ หัวแฉก 7 x 110 มม.PUMPKIN #15555</t>
  </si>
  <si>
    <t>E029151300P1555500</t>
  </si>
  <si>
    <t>ดอกสว่านโรตารี่ หัวแฉก 6.5 x 160 มม.PUMPKIN #15554</t>
  </si>
  <si>
    <t>E029151300P1555400</t>
  </si>
  <si>
    <t>ดอกสว่านโรตารี่ หัวแฉก 6.5 x 110 มม.PUMPKIN #15553</t>
  </si>
  <si>
    <t>E029151300P1555300</t>
  </si>
  <si>
    <t>ดอกสว่านโรตารี่ หัวแฉก 5.5 x 160 มม.PUMPKIN #15551</t>
  </si>
  <si>
    <t>E029151300P1555100</t>
  </si>
  <si>
    <t>ดอกสว่านโรตารี่ 6.5x160 mm PUMPKIN #15508</t>
  </si>
  <si>
    <t>E029151300P1550800</t>
  </si>
  <si>
    <t>ดอกสว่านโรตารี่ 6.5x110 mm PUMPKIN #15507</t>
  </si>
  <si>
    <t>E029151300P1550700</t>
  </si>
  <si>
    <t>ดอกสว่านโคบอลต์ 3/8" PUMPKIN-PRO #15322</t>
  </si>
  <si>
    <t>E029151300P1532200</t>
  </si>
  <si>
    <t>ดอกสว่านโคบอลต์ 5/16 PUMPKIN-PRO #15318</t>
  </si>
  <si>
    <t>E029151300P1531800</t>
  </si>
  <si>
    <t>ดอกสว่านโคบอลต์ 1/4" PUMPKIN-PRO #15314</t>
  </si>
  <si>
    <t>E029151300P1531400</t>
  </si>
  <si>
    <t>ดอกสว่านโคบอลต์ 3/16" PUMPKIN-PRO #15310</t>
  </si>
  <si>
    <t>E029151300P1531000</t>
  </si>
  <si>
    <t>ดอกสว่านโคบอลต์ 5/32" PUMPKIN-PRO #15308</t>
  </si>
  <si>
    <t>E029151300P1530800</t>
  </si>
  <si>
    <t>ดอกสว่านโคบอลต์ 9/64" PUMPKIN-PRO #15307</t>
  </si>
  <si>
    <t>E029151300P1530700</t>
  </si>
  <si>
    <t>ดอกสว่านโคบอลต์ 1/8" PUMPKIN-PRO #15306</t>
  </si>
  <si>
    <t>E029151300P1530600</t>
  </si>
  <si>
    <t>ดอกสว่านโคบอลต์ 3/32" PUMPKIN-PRO #15304</t>
  </si>
  <si>
    <t>E029151300P1530400</t>
  </si>
  <si>
    <t>ดอกสว่านเจาะสแตนเลส 3/8 PUMPKIN #15121</t>
  </si>
  <si>
    <t>E029151300P1512100</t>
  </si>
  <si>
    <t>ดอกสว่านเจาะสแตนเลส 5/16 PUMPKIN #15117</t>
  </si>
  <si>
    <t>E029151300P1511700</t>
  </si>
  <si>
    <t>ดอกสว่านเจาะสแตนเลส 1/4 PUMPKIN #15113</t>
  </si>
  <si>
    <t>E029151300P1511300</t>
  </si>
  <si>
    <t>ดอกสว่านเจาะสแตนเลส 3/16 PUMPKIN #15109</t>
  </si>
  <si>
    <t>E029151300P1510900</t>
  </si>
  <si>
    <t>ดอกสว่านเจาะสแตนเลส 9/64 PUMPKIN #15106</t>
  </si>
  <si>
    <t>E029151300P1510600</t>
  </si>
  <si>
    <t>ดอกสว่านเจาะสแตนเลส 1/8 PUMPKIN #15105</t>
  </si>
  <si>
    <t>E029151300P1510500</t>
  </si>
  <si>
    <t>คีมปากเฉียง 6 นิ้ว PUMPKIN #14456</t>
  </si>
  <si>
    <t>E029151300P1445600</t>
  </si>
  <si>
    <t>คีมปากแหลม 6 นิ้ว PUMPKIN #14454</t>
  </si>
  <si>
    <t>E029151300P1445400</t>
  </si>
  <si>
    <t>คีมปากจิ้งจก 7 นิ้ว PUMPKIN #14452</t>
  </si>
  <si>
    <t>E029151300P1445200</t>
  </si>
  <si>
    <t>ตลับเมตร 5 ม.x 25 มม.  PUMPKIN รุ่น ANTZ-MAN #13153</t>
  </si>
  <si>
    <t>E029151300P1315300</t>
  </si>
  <si>
    <t>ดอกไขควงลมโอซาก้า S2 PH2-65 แพ็คคู่ 2 ดอก PUMPKIN #13149</t>
  </si>
  <si>
    <t>E029151300P1314900</t>
  </si>
  <si>
    <t>ใบมีดคัตเตอร์เล็ก 9 มม. (6 ใบ:หลอด) PUMPKIN #13106</t>
  </si>
  <si>
    <t>E029151300P1310600</t>
  </si>
  <si>
    <t>มีดคัตเตอร์สแตนเลสเล็ก (รองรับใบ 9 มม.) PUMPKIN #12405</t>
  </si>
  <si>
    <t>E029151300P1240500</t>
  </si>
  <si>
    <t>มีดคัตเตอร์ ตัวล็อคแบบหมุน (รองรับใบ 19 มม.) PUMPKIN #12117</t>
  </si>
  <si>
    <t>E029151300P1211700</t>
  </si>
  <si>
    <t>มีดคัตเตอร์เล็ก (รองรับใบ 9 มม.) PUMPKIN #12110</t>
  </si>
  <si>
    <t>E029151300P1211000</t>
  </si>
  <si>
    <t>ตลับเมตร 5 ม.x 25 มม. PUMPKIN #10217</t>
  </si>
  <si>
    <t>E029151300P1021700</t>
  </si>
  <si>
    <t>ตลับเมตร 3.5 ม.x 16 มม. PUMPKIN #10216</t>
  </si>
  <si>
    <t>E029151300P1021600</t>
  </si>
  <si>
    <t>ค้อนช่างทองด้ามไม้ 300G PUMPKIN TX-MH300W</t>
  </si>
  <si>
    <t>E029151300P0030000</t>
  </si>
  <si>
    <t>มีดคัตเตอร์ ขนาด 18 มม. PUMPKIN #12201</t>
  </si>
  <si>
    <t>E029141300Z1800002</t>
  </si>
  <si>
    <t>มีดคัตเตอร์ใหญ่สปริง 18 มม. 2in1 PUMPKIN #13211</t>
  </si>
  <si>
    <t>E029141300N1800003</t>
  </si>
  <si>
    <t>ใบมีดคัตเตอร์ใหญ่ 18 มม. (6 ใบ:หลอด) PUMPKIN #13101</t>
  </si>
  <si>
    <t>E029141300N1800001</t>
  </si>
  <si>
    <t>ใบตัดอลูมิเนียม (JAPAN) ขนาด 12x120T PUMPKIN #38160</t>
  </si>
  <si>
    <t>E029141300N1212000</t>
  </si>
  <si>
    <t>ใบตัดอลูมิเนียม (JAPAN) ขนาด10x120T PUMPKIN #38158</t>
  </si>
  <si>
    <t>E029141300N1012000</t>
  </si>
  <si>
    <t>ตลับเมตร 5 ม.x19มม. PUMPKIN #ND-5019</t>
  </si>
  <si>
    <t>E029141300N0500000</t>
  </si>
  <si>
    <t>Tools ยี่ห้อ พัมคิน (กลุ่ม)</t>
  </si>
  <si>
    <t>E02914000000000000</t>
  </si>
  <si>
    <t xml:space="preserve">หัวยางดูดกระจก 118 มม. ก้านยาว สองหัว 60 กก. PUMPKIN #27311 </t>
  </si>
  <si>
    <t>E029131100M0206000</t>
  </si>
  <si>
    <t>หัวยางดูดกระจก 118 มม. หัวเดียว 35 กก. PUMPKIN #27310</t>
  </si>
  <si>
    <t>E029131100M0103500</t>
  </si>
  <si>
    <t>บันได BARCO รุ่นหนา 9 ขั้น</t>
  </si>
  <si>
    <t>E028151300P9000000</t>
  </si>
  <si>
    <t>บันได BARCO รุ่นหนา 7 ขั้น</t>
  </si>
  <si>
    <t>E028151300P7000000</t>
  </si>
  <si>
    <t>บันได BARCO รุ่นหนา 5 ขั้น</t>
  </si>
  <si>
    <t>E028151300P5000000</t>
  </si>
  <si>
    <t>บันได BARCO รุ่นหนา 3 ขั้น</t>
  </si>
  <si>
    <t>E028151300P3000000</t>
  </si>
  <si>
    <t>บานพับกระทุ้งสี่แขน 24 นิ้ว HUSZA</t>
  </si>
  <si>
    <t>E022080100H0002400</t>
  </si>
  <si>
    <t>บานพับกระทุ้งสี่แขน 20 นิ้ว HUSZA</t>
  </si>
  <si>
    <t>E022080100H0002000</t>
  </si>
  <si>
    <t>บานพับกระทุ้งสี่แขน 18 นิ้ว HUSZA</t>
  </si>
  <si>
    <t>E022080100H0001800</t>
  </si>
  <si>
    <t>บานพับกระทุ้งสี่แขน 16 นิ้ว HUSZA</t>
  </si>
  <si>
    <t>E022080100H0001600</t>
  </si>
  <si>
    <t>บานพับกระทุ้งสี่แขน 14 นิ้ว HUSZA</t>
  </si>
  <si>
    <t>E022080100H0001400</t>
  </si>
  <si>
    <t>บานพับกระทุ้งสี่แขน 12 นิ้ว HUSZA</t>
  </si>
  <si>
    <t>E022080100H0001200</t>
  </si>
  <si>
    <t>บานพับกระทุ้งสี่แขน 10 นิ้ว HUSZA</t>
  </si>
  <si>
    <t>E022080100H0001000</t>
  </si>
  <si>
    <t>บานพับกระทุ้งสี่แขน 8 นิ้ว HUSZA</t>
  </si>
  <si>
    <t>E022080100H0000800</t>
  </si>
  <si>
    <t>อุปกรณ์กระจก ยี่ห้อ RP (กลุ่ม)</t>
  </si>
  <si>
    <t>E02113000000000000</t>
  </si>
  <si>
    <t>มือจับ ยี่ห้อ RP (กลุ่ม)</t>
  </si>
  <si>
    <t>E02104000000000000</t>
  </si>
  <si>
    <t>โช้ค ยี่ห้อRP (กลุ่ม)</t>
  </si>
  <si>
    <t>E02102000000000000</t>
  </si>
  <si>
    <t>บานพับกระทุ้งสี่แขน 16 นิ้ว DEE-P</t>
  </si>
  <si>
    <t>E020080100H0001600</t>
  </si>
  <si>
    <t>บานพับกระทุ้งสี่แขน 14 นิ้ว DEE-P</t>
  </si>
  <si>
    <t>E020080100H0001400</t>
  </si>
  <si>
    <t>บานพับกระทุ้งสี่แขน 12 นิ้ว DEE-P</t>
  </si>
  <si>
    <t>E020080100H0001200</t>
  </si>
  <si>
    <t>บานพับกระทุ้งสี่แขน 10 นิ้ว DEE-P</t>
  </si>
  <si>
    <t>E020080100H0001000</t>
  </si>
  <si>
    <t>บานพับกระทุ้งสี่แขน 8 นิ้ว DEE-P</t>
  </si>
  <si>
    <t>E020080100H0000800</t>
  </si>
  <si>
    <t>มือจับ ยี่ห้อ DEE-P (กลุ่ม)</t>
  </si>
  <si>
    <t>E02004000000000000</t>
  </si>
  <si>
    <t>ใบตัดเพชร 4 นิ้ว เทอร์โบบาง สีส้ม PUMPKIN #23116</t>
  </si>
  <si>
    <t>E029151316P2311600</t>
  </si>
  <si>
    <t>มือจับสแตนเลส RP รุ่น 713 SS ขนาด 305x25x25 (แฮร์ไลน์)</t>
  </si>
  <si>
    <t>E021040315D0071300</t>
  </si>
  <si>
    <t>ตัวหนีบกระจกห้องน้ำรุ่นเล็ก RP #BL-262</t>
  </si>
  <si>
    <t>E021131114M0026200</t>
  </si>
  <si>
    <t>มือจับสแตนเลส DEE-P รุ่น 117 PS ขนาด 305x25x75</t>
  </si>
  <si>
    <t>E020040314D3011700</t>
  </si>
  <si>
    <t>ยางอัดหน้าต่าง ชา/ดำ (ตราหมี)</t>
  </si>
  <si>
    <t>E012010909A2601801</t>
  </si>
  <si>
    <t>ยางอัดหน้าต่าง ชา/ดำ (ตราช้าง)</t>
  </si>
  <si>
    <t>E011010909A2601801</t>
  </si>
  <si>
    <t>ยางอัดหน้าต่าง เทา/ดำ (ตราหมี)</t>
  </si>
  <si>
    <t>E012010907A2601801</t>
  </si>
  <si>
    <t>ยางอัดหน้าต่าง เทา/ดำ (ตราช้าง)</t>
  </si>
  <si>
    <t>E011010907A2601801</t>
  </si>
  <si>
    <t>พลาสติกปิดหัวน็อต สีเทา PBM #EPM</t>
  </si>
  <si>
    <t>E017141305N0000000</t>
  </si>
  <si>
    <t>สักหลาดบานสวิงสีเทา 7x8 PBM #100-78050 (50 ม.)</t>
  </si>
  <si>
    <t>E017120305L7080500</t>
  </si>
  <si>
    <t>สักหลาดบานเลื่อนสีเทา 5x6 PBM #100-56100 (100 ม.)</t>
  </si>
  <si>
    <t>E017120205L5061000</t>
  </si>
  <si>
    <t>สักหลาดบานเลื่อนสีเทา 5*4 PBM #100-54450 (450 ม.)</t>
  </si>
  <si>
    <t>E017120205L5040500</t>
  </si>
  <si>
    <t>มุ้งไฟเบอร์ สีเทา 60 นิ้ว PBM</t>
  </si>
  <si>
    <t>E017090905I3603000</t>
  </si>
  <si>
    <t>มุ้งไฟเบอร์ สีเทา 48 นิ้ว PBM</t>
  </si>
  <si>
    <t>E017090905I3483000</t>
  </si>
  <si>
    <t>มุ้งไฟเบอร์ สีเทา 42 นิ้ว PBM</t>
  </si>
  <si>
    <t>E017090905I3423000</t>
  </si>
  <si>
    <t>มุ้งไฟเบอร์ สีเทา 36 นิ้ว PBM</t>
  </si>
  <si>
    <t>E017090905I3363000</t>
  </si>
  <si>
    <t>มุ้งไฟเบอร์ สีเทา 30 นิ้ว PBM</t>
  </si>
  <si>
    <t>E017090905I3303000</t>
  </si>
  <si>
    <t>พลาสติกปิดหัวน็อต สีอบขาว PBM #EPM</t>
  </si>
  <si>
    <t>E017141304N0000000</t>
  </si>
  <si>
    <t>บานพับบานเปิด แบบหลบติ่ง สีอบขาว PBM #Hinge-07.1</t>
  </si>
  <si>
    <t>E017080104H0007102</t>
  </si>
  <si>
    <t>บานพับข้อเสือ ข้างซ้าย-L สีอบขาว PBM #040</t>
  </si>
  <si>
    <t>E017080104H0004006</t>
  </si>
  <si>
    <t>บานพับข้อเสือ ข้างขวา-R สีอบขาว PBM #040</t>
  </si>
  <si>
    <t>E017080104H0004005</t>
  </si>
  <si>
    <t>บานพับบานเปิด เรียบ สีอบขาว PBM #Hinge-07</t>
  </si>
  <si>
    <t>E017080104H0000702</t>
  </si>
  <si>
    <t>กุญแจสวิงลูกบิด PBM สีอบขาว #5168-02</t>
  </si>
  <si>
    <t>E017050304E0516800</t>
  </si>
  <si>
    <t>กุญแจเกี่ยวลูกบิด PBM สีอบขาว #5168-01</t>
  </si>
  <si>
    <t>E017050204E0516800</t>
  </si>
  <si>
    <t>มือจับเรียบไม่มีรู รุ่นเล็ก สีอบขาว PBM #201-04</t>
  </si>
  <si>
    <t>E017040204D2420100</t>
  </si>
  <si>
    <t>มือจับเรียบมีรู รุ่นเล็ก สีอบขาว PBM #201-03</t>
  </si>
  <si>
    <t>E017040204D2320100</t>
  </si>
  <si>
    <t>มือจับล็อค รุ่นเล็ก สีอบขาว PBM #201</t>
  </si>
  <si>
    <t>E017040204D2120100</t>
  </si>
  <si>
    <t>มือจับบานเปิดดัมมี่ สีอบขาว PBM #030-W0-02</t>
  </si>
  <si>
    <t>E017040104D1503003</t>
  </si>
  <si>
    <t>มือจับบานเปิด สีอบขาว PBM #030-W-02</t>
  </si>
  <si>
    <t>E017040104D1503000</t>
  </si>
  <si>
    <t>มือจับกระทุ้งขวา (แปะ/ลูกกลิ้ง) สีอบขาว PBM #019</t>
  </si>
  <si>
    <t>E017040104D1001920</t>
  </si>
  <si>
    <t xml:space="preserve">มือจับกระทุ้งซ้าย (แปะ/ลูกกลิ้ง) สีอบขาว PBM #019 </t>
  </si>
  <si>
    <t>E017040104D1001910</t>
  </si>
  <si>
    <t>มือจับกระทุ้งขวา (แปะ) สีอบขาว/หลังขาว PBM #012</t>
  </si>
  <si>
    <t>E017040104D1001222</t>
  </si>
  <si>
    <t>มือจับกระทุ้งขวา (แปะ) สีอบขาว/หลังดำ PBM #012</t>
  </si>
  <si>
    <t>E017040104D1001221</t>
  </si>
  <si>
    <t>มือจับกระทุ้งซ้าย (แปะ) สีอบขาว/หลังขาว PBM #012</t>
  </si>
  <si>
    <t>E017040104D1001212</t>
  </si>
  <si>
    <t>มือจับกระทุ้งซ้าย (แปะ) สีอบขาว/หลังดำ PBM #012</t>
  </si>
  <si>
    <t>E017040104D1001211</t>
  </si>
  <si>
    <t>มือจับประตูมุ้ง สีอบขาว HOYA</t>
  </si>
  <si>
    <t>E015090904I8100000</t>
  </si>
  <si>
    <t>แผ่นมือจับมุ้ง สีอบขาว HOYA รุ่นเหลี่ยม</t>
  </si>
  <si>
    <t>E015090904I7100000</t>
  </si>
  <si>
    <t>มือจับมุ้งแม่เหล็ก สีอบขาว บานคู่</t>
  </si>
  <si>
    <t>E015090904I6200000</t>
  </si>
  <si>
    <t>มือจับมุ้งแม่เหล็ก สีอบขาว บานเดี่ยว</t>
  </si>
  <si>
    <t>E015090904I6100000</t>
  </si>
  <si>
    <t xml:space="preserve">บานพับหน้าต่างมุ้ง อย่างดี สีอบขาว HOYA </t>
  </si>
  <si>
    <t>E015090904I1210000</t>
  </si>
  <si>
    <t>บานพับประตูมุ้ง อย่างดี สีอบขาว HOYA</t>
  </si>
  <si>
    <t>E015090904I1110000</t>
  </si>
  <si>
    <t>กุญแจสวิงลูกบิด สีอบขาว HOYA</t>
  </si>
  <si>
    <t>E015050304E0200000</t>
  </si>
  <si>
    <t>กุญแจเกี่ยวลูกบิด สีอบขาว HOYA</t>
  </si>
  <si>
    <t>E015050204E0100000</t>
  </si>
  <si>
    <t>มือจับรางแขวน สีอบขาว (คู่) HOYA</t>
  </si>
  <si>
    <t>E015040804D8000000</t>
  </si>
  <si>
    <t>กุญแจสวิงลูกบิด สีอบขาว SPP</t>
  </si>
  <si>
    <t>E010050304E0200000</t>
  </si>
  <si>
    <t>กลอนประตูสวิง สีอบขาว SPP</t>
  </si>
  <si>
    <t>E010050304E0000200</t>
  </si>
  <si>
    <t>กุญแจเกี่ยวลูกบิด สีอบขาว SPP</t>
  </si>
  <si>
    <t>E010050204E0100000</t>
  </si>
  <si>
    <t>พลาสติกปิดหัวน็อต สีดำ PBM #EPM</t>
  </si>
  <si>
    <t>E017141303N0000000</t>
  </si>
  <si>
    <t>EURO เส้นอลูมิเนียม C 19.5 mm. สีดำ PBM #0202-300B (ยาว 3เมตร)</t>
  </si>
  <si>
    <t>E017120703L0230000</t>
  </si>
  <si>
    <t>มุ้งไฟเบอร์ สีดำ 48 นิ้ว PBM</t>
  </si>
  <si>
    <t>E017090903I3483000</t>
  </si>
  <si>
    <t>บานพับบานเปิด แบบหลบติ่ง สีดำ PBM #Hinge-07.1</t>
  </si>
  <si>
    <t>E017080103H0007101</t>
  </si>
  <si>
    <t>บานพับข้อเสือ ข้างซ้าย-L สีดำ PBM #040</t>
  </si>
  <si>
    <t>E017080103H0004004</t>
  </si>
  <si>
    <t>บานพับข้อเสือ ข้างขวา-R สีดำ PBM #040</t>
  </si>
  <si>
    <t>E017080103H0004003</t>
  </si>
  <si>
    <t>บานพับบานเปิด เรียบ สีดำ PBM #Hinge-07</t>
  </si>
  <si>
    <t>E017080103H0000701</t>
  </si>
  <si>
    <t>กุญแจสวิงลูกบิด PBM สีดำ #5168-02</t>
  </si>
  <si>
    <t>E017050303E0516800</t>
  </si>
  <si>
    <t>กุญแจเกี่ยวลูกบิด PBM สีดำ #5168-01</t>
  </si>
  <si>
    <t>E017050203E0516800</t>
  </si>
  <si>
    <t>มือจับบานเปิดดัมมี่ สีดำ PBM #030-B0-02</t>
  </si>
  <si>
    <t>E017040103D1503003</t>
  </si>
  <si>
    <t>มือจับบานเปิด สีดำ PBM #030-B-02</t>
  </si>
  <si>
    <t>E017040103D1503000</t>
  </si>
  <si>
    <t>มือจับกระทุ้งขวา (แปะ/ลูกกลิ้ง) สีดำ PBM #019</t>
  </si>
  <si>
    <t>E017040103D1001920</t>
  </si>
  <si>
    <t>มือจับกระทุ้งซ้าย (แปะ/ลูกกลิ้ง) สีดำ PBM #019</t>
  </si>
  <si>
    <t>E017040103D1001910</t>
  </si>
  <si>
    <t>มือจับกระทุ้งขวา (แปะ/หางกลม) สีดำ #014 PBM</t>
  </si>
  <si>
    <t>E017040103D1001402</t>
  </si>
  <si>
    <t>มือจับกระทุ้งซ้าย (แปะ/หางกลม) สีดำ #014 PBM</t>
  </si>
  <si>
    <t>E017040103D1001401</t>
  </si>
  <si>
    <t>มือจับกระทุ้งขวา (แปะ) สีดำ/หลังขาว PBM #012</t>
  </si>
  <si>
    <t>E017040103D1001222</t>
  </si>
  <si>
    <t>มือจับกระทุ้งขวา (แปะ) สีดำ/หลังดำ PBM #012</t>
  </si>
  <si>
    <t>E017040103D1001221</t>
  </si>
  <si>
    <t>มือจับกระทุ้งซ้าย (แปะ) สีดำ/หลังขาว PBM #012</t>
  </si>
  <si>
    <t>E017040103D1001212</t>
  </si>
  <si>
    <t>มือจับกระทุ้งซ้าย (แปะ) สีดำ/หลังดำ PBM #012</t>
  </si>
  <si>
    <t>E017040103D1001211</t>
  </si>
  <si>
    <t>BI-FOLD ยางลูกโป่งฐานแข็งใส 5มม. (50ม.) PBM #015-12PB50</t>
  </si>
  <si>
    <t>E017010603A1205000</t>
  </si>
  <si>
    <t>มือจับประตูมุ้ง สีดำ HOYA</t>
  </si>
  <si>
    <t>E015090903I8100000</t>
  </si>
  <si>
    <t>แผ่นมือจับมุ้ง สีดำ HOYA รุ่นเหลี่ยม</t>
  </si>
  <si>
    <t>E015090903I7100000</t>
  </si>
  <si>
    <t>มือจับมุ้งแม่เหล็ก สีดำ บานคู่</t>
  </si>
  <si>
    <t>E015090903I6200000</t>
  </si>
  <si>
    <t>มือจับมุ้งแม่เหล็ก สีดำ บานเดี่ยว</t>
  </si>
  <si>
    <t>E015090903I6100000</t>
  </si>
  <si>
    <t>ยางไกด์รางแขวน สีดำ</t>
  </si>
  <si>
    <t>E015060203F4000000</t>
  </si>
  <si>
    <t>กุญแจสวิงลูกบิด สีดำ HOYA</t>
  </si>
  <si>
    <t>E015050303E0200000</t>
  </si>
  <si>
    <t>กุญแจเกี่ยวลูกบิด สีดำ HOYA</t>
  </si>
  <si>
    <t>E015050203E0100000</t>
  </si>
  <si>
    <t>มือจับรางแขวน สีดำ (คู่) HOYA</t>
  </si>
  <si>
    <t>E015040803D8000000</t>
  </si>
  <si>
    <t>มือจับสแตนเลส HOYA รุ่น 102 สีพ่นดำ ขนาด 305*25*75</t>
  </si>
  <si>
    <t>E015040303D3010200</t>
  </si>
  <si>
    <t>ยางกด 18 อรหันต์ (ยูโร และยูเนี่ยน) สีดำ 50เมตร/ม้วน</t>
  </si>
  <si>
    <t>E013010103A1805000</t>
  </si>
  <si>
    <t>ยางปีศาจ สีดำ MWS ยาว 50 เมตร/ม้วน</t>
  </si>
  <si>
    <t>E013010103A0005000</t>
  </si>
  <si>
    <t>กุญแจสวิงลูกบิด สีดำ SPP</t>
  </si>
  <si>
    <t>E010050303E0200000</t>
  </si>
  <si>
    <t>กลอนประตูสวิง สีดำ SPP</t>
  </si>
  <si>
    <t>E010050303E0000200</t>
  </si>
  <si>
    <t>กุญแจเกี่ยวลูกบิด สีดำ SPP</t>
  </si>
  <si>
    <t>E010050203E0100000</t>
  </si>
  <si>
    <t>ยางกันยุง 10 สีดำ SPP</t>
  </si>
  <si>
    <t>E010010903A1001301</t>
  </si>
  <si>
    <t>ยางอัดมุ้ง-เล็ก 07 สีดำ SPP</t>
  </si>
  <si>
    <t>E010010903A0702601</t>
  </si>
  <si>
    <t>ยางอัดลูกโป่งฐานแข็ง #12 (ปีกขาว) สีดำ SPP</t>
  </si>
  <si>
    <t>E010010603Z1202501</t>
  </si>
  <si>
    <t>ยางลูกโป่งฐานนิ่ม 12  สีดำ SPP</t>
  </si>
  <si>
    <t>E010010603A1202601</t>
  </si>
  <si>
    <t>ยางบานเลื่อน 1 1/2 หุน 02 สีดำ SPP</t>
  </si>
  <si>
    <t>E010010203A0202501</t>
  </si>
  <si>
    <t>ยางบานเลื่อน 2 หุน 01 สีดำ SPP</t>
  </si>
  <si>
    <t>E010010203A0102501</t>
  </si>
  <si>
    <t>ยางอัดยักษ์ 1.25 หุน 15 สีดำ SPP</t>
  </si>
  <si>
    <t>E010010003A1502301</t>
  </si>
  <si>
    <t>ยางอัดจิ๋ว 13  สีดำ  SPP</t>
  </si>
  <si>
    <t>E010010003A1302101</t>
  </si>
  <si>
    <t>ยางอัดเล็ก 06 สีดำ SPP</t>
  </si>
  <si>
    <t>E010010003A0602301</t>
  </si>
  <si>
    <t>ยางอัดใหญ่ 05 สีดำ SPP</t>
  </si>
  <si>
    <t>E010010003A0502501</t>
  </si>
  <si>
    <t>ยางเดิน 04 สีดำ SPP</t>
  </si>
  <si>
    <t>E010010003A0402501</t>
  </si>
  <si>
    <t>กุญแจสวิงลูกบิด PBM สีชา #5168-02</t>
  </si>
  <si>
    <t>E017050302E0516800</t>
  </si>
  <si>
    <t>มือจับล็อค รุ่นเล็ก สีชา PBM #201</t>
  </si>
  <si>
    <t>E017040202D2120100</t>
  </si>
  <si>
    <t xml:space="preserve">มือจับประตูมุ้ง สีชา HOYA </t>
  </si>
  <si>
    <t>E015090902I8100000</t>
  </si>
  <si>
    <t>บานพับหน้าต่างมุ้ง อย่างดี สีชา HOYA</t>
  </si>
  <si>
    <t>E015090902I1210000</t>
  </si>
  <si>
    <t>บานพับประตูมุ้ง อย่างดี สีชา HOYA</t>
  </si>
  <si>
    <t>E015090902I1110000</t>
  </si>
  <si>
    <t>มือจับรางแขวน สีชา (คู่) HOYA</t>
  </si>
  <si>
    <t>E015040802D8000000</t>
  </si>
  <si>
    <t>โช้คอัพบานเลื่อนรางแขวน สีชา ขนาด 120ซม. HOYA</t>
  </si>
  <si>
    <t>E015020202B0120000</t>
  </si>
  <si>
    <t>โช้คอัพบานเลื่อนรางแขวน สีชา ขนาด 100 ซม. HOYA</t>
  </si>
  <si>
    <t>E015020202B0100000</t>
  </si>
  <si>
    <t>กุญแจสวิงลูกบิด สีชา SPP</t>
  </si>
  <si>
    <t>E010050302E0200000</t>
  </si>
  <si>
    <t>กลอนประตูสวิง สีชา SPP</t>
  </si>
  <si>
    <t>E010050302E0000200</t>
  </si>
  <si>
    <t>กุญแจเกี่ยวลูกบิด สีชา SPP</t>
  </si>
  <si>
    <t>E010050202E0100000</t>
  </si>
  <si>
    <t>EURO เส้นอลูมิเนียม C 19.5 mm. สีขาวอลู PBM #0202-300C (ยาว 3เมตร)</t>
  </si>
  <si>
    <t>E017120701L0230000</t>
  </si>
  <si>
    <t>บานพับข้อเสือ ข้าวซ้าย-L สีขาวอลู PBM #040</t>
  </si>
  <si>
    <t>E017080101H0004002</t>
  </si>
  <si>
    <t>บานพับข้อเสือ ข้างขวา-R สีขาวอลู PBM #040</t>
  </si>
  <si>
    <t>E017080101H0004001</t>
  </si>
  <si>
    <t>กุญแจสวิงลูกบิด สีขาวอลู PBM #5168-02</t>
  </si>
  <si>
    <t>E017050301E0516800</t>
  </si>
  <si>
    <t>มือจับบานเปิดดัมมี่ สีขาวอลู PBM #030-S0-02</t>
  </si>
  <si>
    <t>E017040101D1503003</t>
  </si>
  <si>
    <t>มือจับบานเปิด สีขาวอลู PBM #030-S-02</t>
  </si>
  <si>
    <t>E017040101D1503000</t>
  </si>
  <si>
    <t>มือจับกระทุ้งขวา (แปะ/ลูกกลิ้ง) สีขาวอลู PBM #019</t>
  </si>
  <si>
    <t>E017040101D1001920</t>
  </si>
  <si>
    <t>มือจับกระทุ้งซ้าย (แปะ/ลูกกลิ้ง) สีขาวอลู PBM #019</t>
  </si>
  <si>
    <t>E017040101D1001910</t>
  </si>
  <si>
    <t>มือจับกระทุ้งขวา (แปะ) สีขาวอลู/หลังดำ PBM #012</t>
  </si>
  <si>
    <t>E017040101D1001220</t>
  </si>
  <si>
    <t>มือจับกระทุ้งซ้าย (แปะ) สีขาวอลู/หลังดำ PBM #012</t>
  </si>
  <si>
    <t>E017040101D1001210</t>
  </si>
  <si>
    <t>มือจับประตูมุ้ง สีขาวอลู HOYA</t>
  </si>
  <si>
    <t>E015090901I8100000</t>
  </si>
  <si>
    <t xml:space="preserve">บานพับหน้าต่างมุ้ง อย่างดี สีขาวอลู HOYA </t>
  </si>
  <si>
    <t>E015090901I1210000</t>
  </si>
  <si>
    <t>บานพับประตูมุ้ง อย่างดี สีขาวอลู HOYA</t>
  </si>
  <si>
    <t>E015090901I1110000</t>
  </si>
  <si>
    <t>มือจับรางแขวน สีขาวอลู (คู่) HOYA</t>
  </si>
  <si>
    <t>E015040801D8000000</t>
  </si>
  <si>
    <t>โช้คอัพบานเลื่อนรางแขวน สีขาวอลู ขนาด 120 ซม. HOYA</t>
  </si>
  <si>
    <t>E015020201B0120000</t>
  </si>
  <si>
    <t>โช้คอัพบานเลื่อนรางแขวน สีขาวอลู ขนาด 100 ซม. HOYA</t>
  </si>
  <si>
    <t>E015020201B0100000</t>
  </si>
  <si>
    <t>กุญแจสวิงลูกบิด สีขาวอลู SPP</t>
  </si>
  <si>
    <t>E010050301E0200000</t>
  </si>
  <si>
    <t>กลอนประตูสวิง สีขาวอลู SPP</t>
  </si>
  <si>
    <t>E010050301E0000200</t>
  </si>
  <si>
    <t>กุญแจเกี่ยวลูกบิด สีขาวอลู SPP</t>
  </si>
  <si>
    <t>E010050201E0100000</t>
  </si>
  <si>
    <t>ลูกล้อมุ้งพลาสติก (ลูกปืน)  MASUTA (รับนน. 4-5Kg.)</t>
  </si>
  <si>
    <t>E018030900C0011200</t>
  </si>
  <si>
    <t>ลูกล้อรางแขวน 4 ล้อ (คู่) MASUTA (รับนน. 120Kg.)</t>
  </si>
  <si>
    <t>E018030800C0010700</t>
  </si>
  <si>
    <t>ACC ALU ยี่ห้อ PBM (กลุ่ม)</t>
  </si>
  <si>
    <t>E01712000000000000</t>
  </si>
  <si>
    <t>มุ้ง ยี่ห้อ PBM (กลุ่ม)</t>
  </si>
  <si>
    <t>E01709000000000000</t>
  </si>
  <si>
    <t>EURO บานพับ 4 Bar 12 นิ้ว PBM #304-13512</t>
  </si>
  <si>
    <t>E017080100H1351200</t>
  </si>
  <si>
    <t>บานพับกระทุ้งสี่แขน 16 นิ้ว PBM #201-16</t>
  </si>
  <si>
    <t>E017080100H0001600</t>
  </si>
  <si>
    <t>บานพับกระทุ้งสี่แขน 14 นิ้ว PBM #201-14</t>
  </si>
  <si>
    <t>E017080100H0001400</t>
  </si>
  <si>
    <t>บานพับกระทุ้งสี่แขน 12 นิ้ว PBM #201-12</t>
  </si>
  <si>
    <t>E017080100H0001200</t>
  </si>
  <si>
    <t>บานพับกระทุ้งสี่แขน 10 นิ้ว PBM #201-10</t>
  </si>
  <si>
    <t>E017080100H0001000</t>
  </si>
  <si>
    <t>บานพับกระทุ้งสี่แขน 8 นิ้ว PBM #201-8</t>
  </si>
  <si>
    <t>E017080100H0000800</t>
  </si>
  <si>
    <t>บานพับ ยี่ห้อ PBM (กลุ่ม)</t>
  </si>
  <si>
    <t>E01708000000000000</t>
  </si>
  <si>
    <t>เสื้อกุญแจบานเปิด PBM #030-3585</t>
  </si>
  <si>
    <t>E017050100E0358500</t>
  </si>
  <si>
    <t>ไส้กุญแจบานเปิด PBM #030-65</t>
  </si>
  <si>
    <t>E017050100E0306500</t>
  </si>
  <si>
    <t>กุญแจ-กลอน ยี่ห้อ PBM (กลุ่ม)</t>
  </si>
  <si>
    <t>E01705000000000000</t>
  </si>
  <si>
    <t>มือจับ ยี่ห้อ PBM (กลุ่ม)</t>
  </si>
  <si>
    <t>E01704000000000000</t>
  </si>
  <si>
    <t>ลูกล้อมุ้งพลาสติก (ลูกปืน) PBM #050-19</t>
  </si>
  <si>
    <t>E017030900C0501900</t>
  </si>
  <si>
    <t>ล้อรางแขวน 4 ล้อ (คู่)  #050-09  PBM พร้อมไกด์กันแกว่ง</t>
  </si>
  <si>
    <t>E017030800C0500901</t>
  </si>
  <si>
    <t>ล้อรางแขวน 4 ล้อ (คู่)  PBM #050-09 (รับนน. 40Kg.)  (ซื้อ)</t>
  </si>
  <si>
    <t>E017030800C0500900</t>
  </si>
  <si>
    <t>ล้อตลับสแตนเลสคู่ PBM #050-1518-2  (รับนน.35-40 kg.)</t>
  </si>
  <si>
    <t>E017030200C1518200</t>
  </si>
  <si>
    <t>ล้อตลับสแตนเลสเดี่ยว PBM #050-05-1518 (รับนน. 25-30 kg.)</t>
  </si>
  <si>
    <t>E017030200C1518100</t>
  </si>
  <si>
    <t>ลูกล้อ ยี่ห้อ PBM (กลุ่ม)</t>
  </si>
  <si>
    <t>E01703000000000000</t>
  </si>
  <si>
    <t>โช้คอัพบานสวิง 2V No.1000  PBM</t>
  </si>
  <si>
    <t>E017020300B1000200</t>
  </si>
  <si>
    <t>โช้คอัพบานสวิง 1V No.1000  PBM</t>
  </si>
  <si>
    <t>E017020300B1000100</t>
  </si>
  <si>
    <t>ยางยี่ห้อ PBM (กลุ่ม)</t>
  </si>
  <si>
    <t>E01701000000000000</t>
  </si>
  <si>
    <t>ตลับเมตร 5 ม.x 6 หุน HOYA #Power Tape</t>
  </si>
  <si>
    <t>E015141300N0500000</t>
  </si>
  <si>
    <t>มุ้ง ยี่ห้อHOYA (กลุ่ม)</t>
  </si>
  <si>
    <t>E01509000000000000</t>
  </si>
  <si>
    <t xml:space="preserve">ลูกล้อมุ้งพลาสติก (มีลูกปืน) HOYA </t>
  </si>
  <si>
    <t>E015030900C0030100</t>
  </si>
  <si>
    <t>โช้ค ยี่ห้อ HOYA (กลุ่ม)</t>
  </si>
  <si>
    <t>E01502000000000000</t>
  </si>
  <si>
    <t>ลูกกลิ้งอัดมุ้ง GETON</t>
  </si>
  <si>
    <t>E014090900I5000000</t>
  </si>
  <si>
    <t>ลูกล้อมุ้งเหล็ก GETON</t>
  </si>
  <si>
    <t>E014030900C0010100</t>
  </si>
  <si>
    <t>ลูกล้อมุ้งพลาสติก GETON</t>
  </si>
  <si>
    <t>E014030900C0000100</t>
  </si>
  <si>
    <t>ลูกล้อรางแขวน 4 ล้อ (เดี่ยว) GETON (รับนน. 80Kg.)</t>
  </si>
  <si>
    <t>E014030800C0010400</t>
  </si>
  <si>
    <t>ลูกล้อไกด์ GETON (กันแกว่งรางแขวน)</t>
  </si>
  <si>
    <t>E014030800C0010100</t>
  </si>
  <si>
    <t>ลูกล้อลูกปืนรางหนีบ GETON (บานเลื่อนล้อตู้)</t>
  </si>
  <si>
    <t>E014030000C0000100</t>
  </si>
  <si>
    <t>ยางยี่ห้อ SPC (กลุ่ม)</t>
  </si>
  <si>
    <t>E01301000000000000</t>
  </si>
  <si>
    <t>ฉากข้อต่อมุ้ง SPP</t>
  </si>
  <si>
    <t>E010090900I9000000</t>
  </si>
  <si>
    <t>มือจับสแตนเลส SUN รุ่น 117 PS ขนาด 305x25x75</t>
  </si>
  <si>
    <t>E019040314D3011700</t>
  </si>
  <si>
    <t>มือจับสแตนเลส HOYA รุ่น 101 PS ขนาด 305x25x75</t>
  </si>
  <si>
    <t>E015040314D3010100</t>
  </si>
  <si>
    <t>ลูกล้อบานเลื่อนเดี่ยว (น้ำเงิน) GETON (รับนน. 25Kg.)</t>
  </si>
  <si>
    <t>E014030212C0010100</t>
  </si>
  <si>
    <t>ลูกล้อบานเลื่อนคู่  MASUTA (รับนน. 100Kg.)</t>
  </si>
  <si>
    <t>E018030211C0010600</t>
  </si>
  <si>
    <t>ลูกล้อบานเลื่อนเดี่ยว (แดง)  MASUTA (รับนน. 70Kg.)</t>
  </si>
  <si>
    <t>E018030211C0010200</t>
  </si>
  <si>
    <t>ลูกล้อบานเลื่อนคู่ PBM #050-04 (รับนน. 60Kg.)</t>
  </si>
  <si>
    <t>E017030211C0500400</t>
  </si>
  <si>
    <t>ลูกล้อบานเลื่อนเดี่ยว (แดง) PBM #050-03 (รับนน. 40Kg.)</t>
  </si>
  <si>
    <t>E017030211C0500300</t>
  </si>
  <si>
    <t>ลูกล้อบานเลื่อนคู่ GETON (รับนน. 70Kg.)</t>
  </si>
  <si>
    <t>E014030211C0010200</t>
  </si>
  <si>
    <t>ลูกล้อบานเลื่อนเดี่ยว (แดง) GETON (รับนน. 50Kg.)</t>
  </si>
  <si>
    <t>E014030211C0010100</t>
  </si>
  <si>
    <t>ลูกล้อบานเลื่อนเดี่ยว (เขียว)  MASUTA (รับนน. 50Kg.)</t>
  </si>
  <si>
    <t>E018030210C0010100</t>
  </si>
  <si>
    <t>ลูกล้อบานเลื่อนเดี่ยว (เขียว) PBM  #050-02 (รับนน. 30Kg.)</t>
  </si>
  <si>
    <t>E017030210C0500200</t>
  </si>
  <si>
    <t>ลูกล้อบานเลื่อนเดี่ยว (เขียว) GETON (รับนน. 30Kg.)</t>
  </si>
  <si>
    <t>E014030210C0010100</t>
  </si>
  <si>
    <t>ยางอัดหน้าต่าง ชา/ดำ SMP-4026</t>
  </si>
  <si>
    <t>E009010909A2601801</t>
  </si>
  <si>
    <t>ยางอัดหน้าต่าง เทา/ดำ SMP-4026</t>
  </si>
  <si>
    <t>E009010907A2601801</t>
  </si>
  <si>
    <t>กุญแจสวิงลูกบิด สีเทาซาฮาร่า TOP</t>
  </si>
  <si>
    <t>E002050306E0200000</t>
  </si>
  <si>
    <t>กุญแจเกี่ยวลูกบิด สีเทาซาฮาร่า TOP</t>
  </si>
  <si>
    <t>E002050206E0100000</t>
  </si>
  <si>
    <t>ยางกันยุง 10 สีเทา SMP</t>
  </si>
  <si>
    <t>E009010905A1001301</t>
  </si>
  <si>
    <t>ยางอัดมุ้งไฟเบอร์ 07 สีเทา SMP</t>
  </si>
  <si>
    <t>E009010905A0702501</t>
  </si>
  <si>
    <t>ยางบานเลื่อน 1 1/2 หุน 02 สีเทา SMP (50 ม.)</t>
  </si>
  <si>
    <t>E009010205A0205001</t>
  </si>
  <si>
    <t>ยางอัดเล็ก 06 สีเทา SMP</t>
  </si>
  <si>
    <t>E009010005A0602501</t>
  </si>
  <si>
    <t>ยางอุดรูบานเลื่อน สีเทา</t>
  </si>
  <si>
    <t>E008060205F6000000</t>
  </si>
  <si>
    <t>ยางล็อคเสาเกี่ยว สีเทา</t>
  </si>
  <si>
    <t>E008060205F5000000</t>
  </si>
  <si>
    <t>ยางกันชนเหลี่ยม 1 นิ้ว สีเทา</t>
  </si>
  <si>
    <t>E008060205F3100000</t>
  </si>
  <si>
    <t>ยางกันชนกลมสั้น 1-1/2 นิ้ว สีเทา</t>
  </si>
  <si>
    <t>E008060205F2150000</t>
  </si>
  <si>
    <t>ยางกันชนกลมยาว 2 นิ้ว สีเทา</t>
  </si>
  <si>
    <t>E008060205F1200000</t>
  </si>
  <si>
    <t>ยางกันยุง 10 สีเทา TOP</t>
  </si>
  <si>
    <t>E002010905A1001201</t>
  </si>
  <si>
    <t>ยางอัดมุ้งไฟเบอร์ 07 สีเทา TOP</t>
  </si>
  <si>
    <t>E002010905A0702501</t>
  </si>
  <si>
    <t>ยางบานเลื่อน 1 1/2 หุน 02 สีเทา TOP (ญ)</t>
  </si>
  <si>
    <t>E002010205Z0202502</t>
  </si>
  <si>
    <t>ยางบานเลื่อน 1 1/2 หุน 02 สีเทา TOP</t>
  </si>
  <si>
    <t>E002010205A0202201</t>
  </si>
  <si>
    <t>ยางบานเลื่อน 2 หุน 01 สีเทา TOP</t>
  </si>
  <si>
    <t>E002010205A0102201</t>
  </si>
  <si>
    <t>ยางอัดใหญ่ 1.25 หุน สีเทา TOP (ญ)</t>
  </si>
  <si>
    <t>E002010005Z1503002</t>
  </si>
  <si>
    <t>ยางอัดจิ๋ว 13 สีเทา TOP (ญ)</t>
  </si>
  <si>
    <t>E002010005Z1303002</t>
  </si>
  <si>
    <t>ยางอัดเล็ก 06 สีเทา TOP (ญ)</t>
  </si>
  <si>
    <t>E002010005Z0603002</t>
  </si>
  <si>
    <t>ยางอัดใหญ่ 05 สีเทา TOP (ญ)</t>
  </si>
  <si>
    <t>E002010005Z0503002</t>
  </si>
  <si>
    <t>ยางอัดใหญ่ 1.25 หุน สีเทา TOP</t>
  </si>
  <si>
    <t>E002010005A1502501</t>
  </si>
  <si>
    <t>ยางอัดจิ๋ว 13 สีเทา TOP</t>
  </si>
  <si>
    <t>E002010005A1302501</t>
  </si>
  <si>
    <t>ยางอัดเล็ก 06 สีเทา TOP</t>
  </si>
  <si>
    <t>E002010005A0602501</t>
  </si>
  <si>
    <t>ยางอัดใหญ่ 05 สีเทา TOP</t>
  </si>
  <si>
    <t>E002010005A0502501</t>
  </si>
  <si>
    <t>ยางเดิน 04 สีเทา TOP</t>
  </si>
  <si>
    <t>E002010005A0402501</t>
  </si>
  <si>
    <t>โฟมเส้น 15 มม. (100 ม.) สีเทา</t>
  </si>
  <si>
    <t>E000140005N1510000</t>
  </si>
  <si>
    <t>โฟมเส้น 13 มม. (100 ม.) สีเทา</t>
  </si>
  <si>
    <t>E000140005N1310000</t>
  </si>
  <si>
    <t>โฟมเส้น 10 มม. (100 ม.) สีเทา</t>
  </si>
  <si>
    <t>E000140005N1010000</t>
  </si>
  <si>
    <t>โฟมเส้น 8 มม. (100 ม.) สีเทา</t>
  </si>
  <si>
    <t>E000140005N0810000</t>
  </si>
  <si>
    <t>โฟมเส้น 6 มม. (100 ม.) สีเทา</t>
  </si>
  <si>
    <t>E000140005N0610000</t>
  </si>
  <si>
    <t>ยางกันยุง 10 สีอบขาว SMP</t>
  </si>
  <si>
    <t>E009010904A1001301</t>
  </si>
  <si>
    <t>ยางอัดมุ้งไฟเบอร์ 07 สีอบขาว SMP</t>
  </si>
  <si>
    <t>E009010904A0702501</t>
  </si>
  <si>
    <t>ยางบานเลื่อน 2 หุน 01 สีอบขาว SMP</t>
  </si>
  <si>
    <t>E009010204A0102501</t>
  </si>
  <si>
    <t>ยางเดิน 04 สีอบขาว SMP</t>
  </si>
  <si>
    <t>E009010004A0402501</t>
  </si>
  <si>
    <t>ยางอุดรูบานเลื่อน สีอบขาว</t>
  </si>
  <si>
    <t>E008060204F6000000</t>
  </si>
  <si>
    <t>ยางล็อคเสาเกี่ยว สีอบขาว</t>
  </si>
  <si>
    <t>E008060204F5000000</t>
  </si>
  <si>
    <t>ยางกันชนเหลี่ยม 1 นิ้ว สีอบขาว</t>
  </si>
  <si>
    <t>E008060204F3100000</t>
  </si>
  <si>
    <t>ยางกันชนกลมสั้น 1-1/2 นิ้ว สีอบขาว</t>
  </si>
  <si>
    <t>E008060204F2150000</t>
  </si>
  <si>
    <t>ยางกันชนกลมยาว 2 นิ้ว สีอบขาว</t>
  </si>
  <si>
    <t>E008060204F1200000</t>
  </si>
  <si>
    <t>กุญแจบานสวิงไขทางเดียว สีอบขาว VVP #V39 SW-1</t>
  </si>
  <si>
    <t>E005050304E0039100</t>
  </si>
  <si>
    <t>กุญแจบานเลื่อนไขทางเดียว สีอบขาว VVP #VL43 HL-1</t>
  </si>
  <si>
    <t>E005050204E0043100</t>
  </si>
  <si>
    <t>กุญแจบานเลื่อนไขทางเดียว สีอบขาว VVP  #V39 SL-1</t>
  </si>
  <si>
    <t>E005050204E0039100</t>
  </si>
  <si>
    <t>มือจับกระทุ้งขวาฐานเตี้ย (แปะ) สีอบขาว VVP #LW-45 02</t>
  </si>
  <si>
    <t>E005040104D1450200</t>
  </si>
  <si>
    <t>ลิ่มหนุนเฟรม สีอบขาว #HD-1065</t>
  </si>
  <si>
    <t>E004120204L0106500</t>
  </si>
  <si>
    <t>มุมมุ้งบานเลื่อน สีอบขาว #HD-232P</t>
  </si>
  <si>
    <t>E004090904I3023200</t>
  </si>
  <si>
    <t>BI-FOLD บานพับไกด์ล่างบานเฟี้ยม สีอบขาว HD-643B (FXZ5B)</t>
  </si>
  <si>
    <t>E004080604H0064302</t>
  </si>
  <si>
    <t>BI-FOLD บานพับมือจับบานเฟี้ยม สีอบขาว HD-642 (FXZ12)</t>
  </si>
  <si>
    <t>E004080604H0064202</t>
  </si>
  <si>
    <t>BI-FOLD บานพับบานเฟี้ยม สีอบขาว HD-641 (FXZ11)</t>
  </si>
  <si>
    <t>E004080604H0064102</t>
  </si>
  <si>
    <t>BI-FOLD บานพับล้อบนบานเฟี้ยม สีอบขาว HD-640B (FXZ1B)</t>
  </si>
  <si>
    <t>E004080604H0064001</t>
  </si>
  <si>
    <t>กุญแจชินโย ล็อคกลาง 2 หน้า สีอบขาว #HD-313DCL</t>
  </si>
  <si>
    <t>E004050204E0031300</t>
  </si>
  <si>
    <t>กุญแจชินโย ล็อคข้าง 2 หน้า สีอบขาว #HD-312DSL</t>
  </si>
  <si>
    <t>E004050204E0031200</t>
  </si>
  <si>
    <t>มือจับรางแขวน สีอบขาว (คู่) HYDA</t>
  </si>
  <si>
    <t>E004040804D8000000</t>
  </si>
  <si>
    <t>BI-FOLD มือจับ Multi Lock สีอบขาว HD-474 (T28A)</t>
  </si>
  <si>
    <t>E004040404D0047400</t>
  </si>
  <si>
    <t>EURO มือจับบานเลื่อนมัลติล็อคหัวตัด (ล็อค+กุญแจ) สีอบขาว  HD-407C</t>
  </si>
  <si>
    <t>E004040204D7640733</t>
  </si>
  <si>
    <t>EURO มือจับบานเลื่อนมัลติล็อคหัวตัด (ดัมมี่+ล็อค) สีอบขาว HD-407B</t>
  </si>
  <si>
    <t>E004040204D7640723</t>
  </si>
  <si>
    <t>EURO มือจับบานเลื่อนมัลติล็อคหัวตัด (ดัมมี่+ดัมมี่) สีอบขาว HD-407A</t>
  </si>
  <si>
    <t>E004040204D7640713</t>
  </si>
  <si>
    <t>EURO มือจับบานเปิดมัลติล็อค สีอบขาว HD-451A</t>
  </si>
  <si>
    <t>E004040104D0054100</t>
  </si>
  <si>
    <t>BI-FOLD มือจับก้านโยกกุญแจ สีอบขาว HD-481A (MZS11)</t>
  </si>
  <si>
    <t>E004040104D0048100</t>
  </si>
  <si>
    <t>มือจับเรียบไม่มีรู รุ่นใหญ่ สีอบขาว TOP X TRA</t>
  </si>
  <si>
    <t>E003040204D2409800</t>
  </si>
  <si>
    <t>มือจับเรียบมีรู รุ่นใหญ่ สีอบขาว TOP X TRA</t>
  </si>
  <si>
    <t>E003040204D2309800</t>
  </si>
  <si>
    <t>มือจับล็อคกุญแจ รุ่นใหญ่ สีอบขาว TOP X TRA</t>
  </si>
  <si>
    <t>E003040204D2209800</t>
  </si>
  <si>
    <t>มือจับล็อค รุ่นใหญ่ สีอบขาว TOP X TRA</t>
  </si>
  <si>
    <t>E003040204D2109800</t>
  </si>
  <si>
    <t>กุญแจสวิงลูกบิด สีอบขาว TOP</t>
  </si>
  <si>
    <t>E002050304E0200000</t>
  </si>
  <si>
    <t>กลอนประตูสวิง สีอบขาว TOP</t>
  </si>
  <si>
    <t>E002050304E0000100</t>
  </si>
  <si>
    <t>กุญแจเกี่ยวลูกบิด สีอบขาว TOP</t>
  </si>
  <si>
    <t>E002050204E0100000</t>
  </si>
  <si>
    <t>มือจับบานเลื่อนออโตล็อคแบบเรียบ สีอบขาว TOP</t>
  </si>
  <si>
    <t>E002040204Z2600000</t>
  </si>
  <si>
    <t>มือจับเรียบไม่มีรู รุ่นใหญ่ สีอบขาว TOP</t>
  </si>
  <si>
    <t>E002040204Z2409800</t>
  </si>
  <si>
    <t>มือจับเรียบมีรู รุ่นใหญ่ สีอบขาว TOP</t>
  </si>
  <si>
    <t>E002040204Z2309800</t>
  </si>
  <si>
    <t>มือจับเรียบมีรู A10 สีอบขาว TOP</t>
  </si>
  <si>
    <t>E002040204Z2301000</t>
  </si>
  <si>
    <t>มือจับล็อคกุญแจ รุ่นใหญ่ สีอบขาว TOP</t>
  </si>
  <si>
    <t>E002040204Z2209800</t>
  </si>
  <si>
    <t>มือจับดับเบิ้ลล็อค สีอบขาว TOP</t>
  </si>
  <si>
    <t>E002040204Z0000020</t>
  </si>
  <si>
    <t>มือจับเรียบไม่มีรู รุ่นใหญ่ สีอบขาว TOP (s)</t>
  </si>
  <si>
    <t>E002040204D2409800</t>
  </si>
  <si>
    <t>มือจับเรียบไม่มีรู A11 สีอบขาว TOP (s)</t>
  </si>
  <si>
    <t>E002040204D2401100</t>
  </si>
  <si>
    <t>มือจับเรียบมีรู รุ่นใหญ่ สีอบขาว TOP (s)</t>
  </si>
  <si>
    <t>E002040204D2309800</t>
  </si>
  <si>
    <t>มือจับเรียบมีรู A10 สีอบขาว TOP (s)</t>
  </si>
  <si>
    <t>E002040204D2301000</t>
  </si>
  <si>
    <t>มือจับล็อคกุญแจ รุ่นใหญ่ สีอบขาว TOP (s)</t>
  </si>
  <si>
    <t>E002040204D2209800</t>
  </si>
  <si>
    <t>มือจับล็อคกุญแจ A4 สีอบขาว TOP (s)</t>
  </si>
  <si>
    <t>E002040204D2200400</t>
  </si>
  <si>
    <t>มือจับล็อค รุ่นใหญ่ สีอบขาว TOP (s)</t>
  </si>
  <si>
    <t>E002040204D2109800</t>
  </si>
  <si>
    <t>มือจับล็อค A2 สีอบขาว TOP (s)</t>
  </si>
  <si>
    <t>E002040204D2100200</t>
  </si>
  <si>
    <t>มือจับล็อคเสาเกี่ยวขวา สีอบขาว TOP</t>
  </si>
  <si>
    <t>E002040204D2100020</t>
  </si>
  <si>
    <t>มือจับล็อคเสาเกี่ยวซ้าย สีอบขาว TOP</t>
  </si>
  <si>
    <t>E002040204D2100010</t>
  </si>
  <si>
    <t>มือจับกระทุ้งขวา (แปะ) สีอบขาว TOP</t>
  </si>
  <si>
    <t>E002040104D1000020</t>
  </si>
  <si>
    <t>มือจับกระทุ้งซ้าย (แปะ) สีอบขาว TOP</t>
  </si>
  <si>
    <t>E002040104D1000010</t>
  </si>
  <si>
    <t>ยางอัดมุ้งไฟเบอร์ 07 สีอบขาว TOP (ญ)</t>
  </si>
  <si>
    <t>E002010904Z0703002</t>
  </si>
  <si>
    <t>ยางกันยุง 10 สีอบขาว TOP</t>
  </si>
  <si>
    <t>E002010904A1001201</t>
  </si>
  <si>
    <t>ยางอัดมุ้งไฟเบอร์ 07 สีอบขาว TOP</t>
  </si>
  <si>
    <t>E002010904A0702501</t>
  </si>
  <si>
    <t>ยางอัดลูกโป่ง 12 สีอบขาว TOP (ญ)</t>
  </si>
  <si>
    <t>E002010604Z1205002</t>
  </si>
  <si>
    <t>ยางบานเลื่อน 1 1/2 หุน 02 สีอบขาว TOP (ญ)</t>
  </si>
  <si>
    <t>E002010204Z0202502</t>
  </si>
  <si>
    <t>ยางบานเลื่อน 2 หุน 01 สีอบขาว TOP (ญ)</t>
  </si>
  <si>
    <t>E002010204Z0102502</t>
  </si>
  <si>
    <t>ยางบานเลื่อน 1 1/2 หุน 02 สีอบขาว TOP</t>
  </si>
  <si>
    <t>E002010204A0202201</t>
  </si>
  <si>
    <t>ยางบานเลื่อน 2 หุน 01 สีอบขาว TOP</t>
  </si>
  <si>
    <t>E002010204A0102201</t>
  </si>
  <si>
    <t>ยางอัดใหญ่ 1.25 หุน สีอบขาว TOP (ญ)</t>
  </si>
  <si>
    <t>E002010004Z1503002</t>
  </si>
  <si>
    <t>ยางอัดจิ๋ว สีอบขาว TOP (ญ)</t>
  </si>
  <si>
    <t>E002010004Z1303002</t>
  </si>
  <si>
    <t>ยางอัดเล็ก 06 สีอบขาว TOP (ญ)</t>
  </si>
  <si>
    <t>E002010004Z0603002</t>
  </si>
  <si>
    <t>ยางอัดใหญ่ 05 สีอบขาว TOP (ญ)</t>
  </si>
  <si>
    <t>E002010004Z0503002</t>
  </si>
  <si>
    <t>ยางอัดใหญ่ 1.25 หุน สีอบขาว TOP</t>
  </si>
  <si>
    <t>E002010004A1502501</t>
  </si>
  <si>
    <t>ยางอัดจิ๋ว 13 สีอบขาว TOP</t>
  </si>
  <si>
    <t>E002010004A1302501</t>
  </si>
  <si>
    <t>ยางอัดเล็ก 06 สีอบขาว TOP</t>
  </si>
  <si>
    <t>E002010004A0602501</t>
  </si>
  <si>
    <t>ยางอัดใหญ่ 05 สีอบขาว TOP</t>
  </si>
  <si>
    <t>E002010004A0502501</t>
  </si>
  <si>
    <t>ยางเดิน 04 สีอบขาว TOP</t>
  </si>
  <si>
    <t>E002010004A0402501</t>
  </si>
  <si>
    <t>บานพับยาว 2 เมตร สีอบขาว</t>
  </si>
  <si>
    <t>E000120104L0100000</t>
  </si>
  <si>
    <t>มือจับหน้าต่างมุ้ง สีอบขาว (คันธนู)</t>
  </si>
  <si>
    <t>E000090904I8200000</t>
  </si>
  <si>
    <t>กันชนแม่เหล็ก สีอบขาว (ใหญ่)</t>
  </si>
  <si>
    <t>E000090904I2100200</t>
  </si>
  <si>
    <t>บานพับหน้าต่างมุ้ง ธรรมดา สีอบขาว</t>
  </si>
  <si>
    <t>E000090904I1220000</t>
  </si>
  <si>
    <t>บานพับประตูมุ้ง ธรรมดา สีอบขาว</t>
  </si>
  <si>
    <t>E000090904I1120000</t>
  </si>
  <si>
    <t>ยางกันยุง 10 สีดำ SMP</t>
  </si>
  <si>
    <t>E009010903A1001301</t>
  </si>
  <si>
    <t>ยางอัดมุ้งไฟเบอร์ 07 สีดำ SMP</t>
  </si>
  <si>
    <t>E009010903A0702501</t>
  </si>
  <si>
    <t>ยางอัดลูกโป่ง 12 สีดำ SMP</t>
  </si>
  <si>
    <t>E009010603A1202501</t>
  </si>
  <si>
    <t>ยางบานเลื่อน 1 1/2 หุน 02 สีดำ SMP (100 ม.)</t>
  </si>
  <si>
    <t>E009010203A0210001</t>
  </si>
  <si>
    <t>ยางบานเลื่อน 1 1/2 หุน 02 สีดำ SMP (50 ม.)</t>
  </si>
  <si>
    <t>E009010203A0205001</t>
  </si>
  <si>
    <t>ยางบานเลื่อน 1 1/2 หุน 02 สีดำ SMP</t>
  </si>
  <si>
    <t>E009010203A0202501</t>
  </si>
  <si>
    <t>ยางบานเลื่อน 2 หุน 01 สีดำ SMP</t>
  </si>
  <si>
    <t>E009010203A0102501</t>
  </si>
  <si>
    <t>ยางอัดใหญ่ 1.25 หุน สีดำ SMP</t>
  </si>
  <si>
    <t>E009010003A1502501</t>
  </si>
  <si>
    <t>ยางอัดจิ๋ว 13 สีดำ SMP</t>
  </si>
  <si>
    <t>E009010003A1302201</t>
  </si>
  <si>
    <t>ยางอัดเล็ก 06 สีดำ SMP</t>
  </si>
  <si>
    <t>E009010003A0602501</t>
  </si>
  <si>
    <t>ยางอัดใหญ่ 05 สีดำ SMP</t>
  </si>
  <si>
    <t>E009010003A0502501</t>
  </si>
  <si>
    <t>ยางเดิน 04 สีดำ SMP</t>
  </si>
  <si>
    <t>E009010003A0402501</t>
  </si>
  <si>
    <t>ยางลูกศรอัดตู้ 03 สีดำ SMP</t>
  </si>
  <si>
    <t>E009010003A0302201</t>
  </si>
  <si>
    <t>ยางอุดรูบานเลื่อน สีดำ</t>
  </si>
  <si>
    <t>E008060203F6000000</t>
  </si>
  <si>
    <t>ยางล็อคเสาเกี่ยว สีดำ</t>
  </si>
  <si>
    <t>E008060203F5000000</t>
  </si>
  <si>
    <t>ยางกันชนเหลี่ยม 1 นิ้ว สีดำ</t>
  </si>
  <si>
    <t>E008060203F3100000</t>
  </si>
  <si>
    <t>ยางกันชนกลมสั้น 1-1/2 นิ้ว สีดำ</t>
  </si>
  <si>
    <t>E008060203F2150000</t>
  </si>
  <si>
    <t>ยางกันชนกลมยาว 2 นิ้ว สีดำ</t>
  </si>
  <si>
    <t>E008060203F1200000</t>
  </si>
  <si>
    <t>ยางอัดหน้าต่าง สีดำ PS</t>
  </si>
  <si>
    <t>E008010903A2601701</t>
  </si>
  <si>
    <t>กุญแจบานสวิงไขทางเดียว สีดำ VVP  #V39 SW-1</t>
  </si>
  <si>
    <t>E005050303E0039100</t>
  </si>
  <si>
    <t>กลอนประตูสวิง VVP  #BS-10 สีดำ</t>
  </si>
  <si>
    <t>E005050303E0001000</t>
  </si>
  <si>
    <t>กุญแจบานเลื่อนไขทางเดียว สีดำ VVP #VL43 HL-1</t>
  </si>
  <si>
    <t>E005050203E0043100</t>
  </si>
  <si>
    <t>กุญแจบานเลื่อนไขทางเดียว สีดำ VVP  #V39 SL-1</t>
  </si>
  <si>
    <t>E005050203E0039100</t>
  </si>
  <si>
    <t>มือจับกระทุ้งขวาฐานสูง (แปะ) สีดำ VVP #LW-45 03</t>
  </si>
  <si>
    <t>E005040103D1450320</t>
  </si>
  <si>
    <t xml:space="preserve">มือจับกระทุ้งซ้ายฐานสูง (แปะ) สีดำ VVP #LW-45 03 </t>
  </si>
  <si>
    <t>E005040103D1450300</t>
  </si>
  <si>
    <t>สต็อปเปอร์รางแขวนใหญ่ 2in1 HD-1071P</t>
  </si>
  <si>
    <t>E004120803L0107100</t>
  </si>
  <si>
    <t>EURO ยางกันชนเม้าส์ สีดำ HD-1015</t>
  </si>
  <si>
    <t>E004120703L0101500</t>
  </si>
  <si>
    <t>EURO ยางกันชนเหลี่ยมยูโร สีดำ HD-1014</t>
  </si>
  <si>
    <t>E004120703L0101400</t>
  </si>
  <si>
    <t>ลิ่มหนุนเฟรม สีดำ #HD-1065</t>
  </si>
  <si>
    <t>E004120203L0106500</t>
  </si>
  <si>
    <t>EURO ฝาปิดเสาบานเลื่อน HD-1031</t>
  </si>
  <si>
    <t>E004120203L0103100</t>
  </si>
  <si>
    <t>EURO ฝาปิดเสาบานเลื่อน HD-1030</t>
  </si>
  <si>
    <t>E004120203L0103000</t>
  </si>
  <si>
    <t>EURO ฝาปิดรูระบายน้ำเข้า ทรงสี่เหลี่ยม #HD-1025A</t>
  </si>
  <si>
    <t>E004120203L0102500</t>
  </si>
  <si>
    <t>EURO ฝาปิดรูระบายน้ำออก ทรงรีกลม #HD-1021</t>
  </si>
  <si>
    <t>E004120203L0102100</t>
  </si>
  <si>
    <t>EURO ยางกันชนคอม้า HD-1016</t>
  </si>
  <si>
    <t>E004120203L0101400</t>
  </si>
  <si>
    <t>มุมมุ้งบานเลื่อน สีดำ #HD-232P</t>
  </si>
  <si>
    <t>E004090903I3023200</t>
  </si>
  <si>
    <t>BI-FOLD บานพับไกด์ล่างบานเฟี้ยม สีดำ HD-643B (FXZ5B)</t>
  </si>
  <si>
    <t>E004080603H0064301</t>
  </si>
  <si>
    <t>BI-FOLD บานพับมือจับบานเฟี้ยม สีดำ HD-642 (FXZ12)</t>
  </si>
  <si>
    <t>E004080603H0064201</t>
  </si>
  <si>
    <t>BI-FOLD บานพับบานเฟี้ยม สีดำ HD-641 (FXZ11)</t>
  </si>
  <si>
    <t>E004080603H0064101</t>
  </si>
  <si>
    <t>BI-FOLD บานพับล้อบนบานเฟี้ยม สีดำ HD-640B (FXZ1B)</t>
  </si>
  <si>
    <t>E004080603H0064001</t>
  </si>
  <si>
    <t>กุญแจชินโย ล็อคกลาง 2 หน้า สีดำ #HD-313DCL</t>
  </si>
  <si>
    <t>E004050203E0031300</t>
  </si>
  <si>
    <t>กุญแจชินโย ล็อคข้าง 2 หน้า สีดำ #HD-312DSL</t>
  </si>
  <si>
    <t>E004050203E0031200</t>
  </si>
  <si>
    <t>มือจับรางแขวน สีดำ (คู่) HYDA</t>
  </si>
  <si>
    <t>E004040803D8000000</t>
  </si>
  <si>
    <t>BI-FOLD มือจับ Multi Lock HD-474 สีดำ (T28A)</t>
  </si>
  <si>
    <t>E004040603D0047401</t>
  </si>
  <si>
    <t>EURO มือจับบานเลื่อนมัลติล็อคหัวตัด (ล็อค+กุญแจ) สีดำ HD-407C</t>
  </si>
  <si>
    <t>E004040203D7640733</t>
  </si>
  <si>
    <t>EURO มือจับบานเลื่อนมัลติล็อคหัวตัด (ดัมมี่+ล็อค) สีดำ  HD-407B</t>
  </si>
  <si>
    <t>E004040203D7640723</t>
  </si>
  <si>
    <t>EURO มือจับบานเลื่อนมัลติล็อคหัวตัด (ดัมมี่+ดัมมี่) สีดำ HD-407A</t>
  </si>
  <si>
    <t>E004040203D7640713</t>
  </si>
  <si>
    <t>EURO มือจับบานเปิดมัลติล็อค สีดำ HD-451A</t>
  </si>
  <si>
    <t>E004040103D0054100</t>
  </si>
  <si>
    <t>BI-FOLD มือจับก้านโยกกุญแจ สีดำ HD-481A (MZS11)</t>
  </si>
  <si>
    <t>E004040103D0048100</t>
  </si>
  <si>
    <t>มือจับเรียบไม่มีรู รุ่นใหญ่ สีดำ TOP X TRA</t>
  </si>
  <si>
    <t>E003040203D2409800</t>
  </si>
  <si>
    <t>มือจับเรียบมีรู รุ่นใหญ่ สีดำ TOP X TRA</t>
  </si>
  <si>
    <t>E003040203D2309800</t>
  </si>
  <si>
    <t>มือจับล็อคกุญแจ รุ่นใหญ่ สีดำ TOP X TRA</t>
  </si>
  <si>
    <t>E003040203D2209800</t>
  </si>
  <si>
    <t>มือจับล็อค รุ่นใหญ่ สีดำ TOP X TRA</t>
  </si>
  <si>
    <t>E003040203D2109800</t>
  </si>
  <si>
    <t>กุญแจสวิงลูกบิด สีดำ TOP</t>
  </si>
  <si>
    <t>E002050303E0200000</t>
  </si>
  <si>
    <t>กลอนประตูสวิง สีดำ TOP</t>
  </si>
  <si>
    <t>E002050303E0000100</t>
  </si>
  <si>
    <t>กุญแจเกี่ยวลูกบิด สีดำ TOP</t>
  </si>
  <si>
    <t>E002050203E0100000</t>
  </si>
  <si>
    <t>มือจับบานเลื่อนออโตล็อค สีดำ TOP</t>
  </si>
  <si>
    <t>E002040203Z2600000</t>
  </si>
  <si>
    <t>มือจับเรียบไม่มีรู รุ่นใหญ่ สีดำ TOP</t>
  </si>
  <si>
    <t>E002040203Z2409800</t>
  </si>
  <si>
    <t>มือจับเรียบมีรู รุ่นใหญ่ สีดำ TOP</t>
  </si>
  <si>
    <t>E002040203Z2309800</t>
  </si>
  <si>
    <t>มือจับเรียบมีรู A10 สีดำ TOP</t>
  </si>
  <si>
    <t>E002040203Z2301000</t>
  </si>
  <si>
    <t>มือจับล็อคกุญแจ รุ่นใหญ่ สีดำ TOP</t>
  </si>
  <si>
    <t>E002040203Z2209800</t>
  </si>
  <si>
    <t>มือจับดับเบิ้ลล็อค สีดำ TOP</t>
  </si>
  <si>
    <t>E002040203Z0000020</t>
  </si>
  <si>
    <t>มือจับเรียบไม่มีรู รุ่นใหญ่ สีดำ TOP (s)</t>
  </si>
  <si>
    <t>E002040203D2409800</t>
  </si>
  <si>
    <t>มือจับเรียบไม่มีรู A11 สีดำ TOP (s)</t>
  </si>
  <si>
    <t>E002040203D2401100</t>
  </si>
  <si>
    <t>มือจับเรียบมีรู รุ่นใหญ่ สีดำ TOP (s)</t>
  </si>
  <si>
    <t>E002040203D2309800</t>
  </si>
  <si>
    <t>มือจับเรียบมีรู A10 สีดำ TOP (s)</t>
  </si>
  <si>
    <t>E002040203D2301000</t>
  </si>
  <si>
    <t>มือจับล็อคกุญแจ รุ่นใหญ่ สีดำ TOP (s)</t>
  </si>
  <si>
    <t>E002040203D2209800</t>
  </si>
  <si>
    <t>มือจับล็อคกุญแจ A4 สีดำ TOP (s)</t>
  </si>
  <si>
    <t>E002040203D2200400</t>
  </si>
  <si>
    <t>มือจับล็อค รุ่นใหญ่ สีดำ TOP (s)</t>
  </si>
  <si>
    <t>E002040203D2109800</t>
  </si>
  <si>
    <t>มือจับล็อค A2 สีดำ TOP (s)</t>
  </si>
  <si>
    <t>E002040203D2100200</t>
  </si>
  <si>
    <t>มือจับล็อคเสาเกี่ยวขวา สีดำ TOP</t>
  </si>
  <si>
    <t>E002040203D2100020</t>
  </si>
  <si>
    <t>มือจับล็อคเสาเกี่ยวซ้าย สีดำ TOP</t>
  </si>
  <si>
    <t>E002040203D2100010</t>
  </si>
  <si>
    <t>มือจับกระทุ้งขวา (แปะ) สีดำ TOP</t>
  </si>
  <si>
    <t>E002040103D1000020</t>
  </si>
  <si>
    <t>มือจับกระทุ้งซ้าย (แปะ) สีดำ TOP</t>
  </si>
  <si>
    <t>E002040103D1000010</t>
  </si>
  <si>
    <t>ยางกันยุง 10 สีดำ TOP</t>
  </si>
  <si>
    <t>E002010903A1001201</t>
  </si>
  <si>
    <t>ยางอัดมุ้งไฟเบอร์ 07 สีดำ TOP</t>
  </si>
  <si>
    <t>E002010903A0702501</t>
  </si>
  <si>
    <t>ยางอัดลูกโป่งฐานนิ่ม 12 สีดำ TOP (50ม.)</t>
  </si>
  <si>
    <t>E002010603A1205002</t>
  </si>
  <si>
    <t>ยางอัดลูกโป่งฐานนิ่ม 12 สีดำ TOP</t>
  </si>
  <si>
    <t>E002010603A1202501</t>
  </si>
  <si>
    <t>ยางอัดลูกโป่งฐานแข็ง 12P (ปีกส้ม) สีดำ TOP</t>
  </si>
  <si>
    <t>E002010603A1202500</t>
  </si>
  <si>
    <t>ยางบานเลื่อน 1 1/2 หุน 02 สีดำ TOP</t>
  </si>
  <si>
    <t>E002010203A0202201</t>
  </si>
  <si>
    <t>ยางบานเลื่อน 2 หุน 01 สีดำ TOP</t>
  </si>
  <si>
    <t>E002010203A0102201</t>
  </si>
  <si>
    <t>ยางอัดใหญ่ 1.25 หุน สีดำ TOP (ญ)</t>
  </si>
  <si>
    <t>E002010003Z1503002</t>
  </si>
  <si>
    <t>ยางอัดจิ๋ว 13 สีดำ TOP (ญ)</t>
  </si>
  <si>
    <t>E002010003Z1303002</t>
  </si>
  <si>
    <t>ยางอัดใหญ่ 05 สีดำ TOP (ญ)</t>
  </si>
  <si>
    <t>E002010003Z0503002</t>
  </si>
  <si>
    <t>ยางอัดใหญ่ 1.25 หุน สีดำ TOP</t>
  </si>
  <si>
    <t>E002010003A1502501</t>
  </si>
  <si>
    <t xml:space="preserve">ยางอัดจิ๋ว 13 สีดำ TOP </t>
  </si>
  <si>
    <t>E002010003A1302501</t>
  </si>
  <si>
    <t>ยางอัดเล็ก 06 สีดำ TOP</t>
  </si>
  <si>
    <t>E002010003A0602501</t>
  </si>
  <si>
    <t>ยางอัดใหญ่ 05 สีดำ TOP</t>
  </si>
  <si>
    <t>E002010003A0502501</t>
  </si>
  <si>
    <t>ยางเดิน 04 สีดำ TOP</t>
  </si>
  <si>
    <t>E002010003A0402501</t>
  </si>
  <si>
    <t>พุกพลาสติก สีดำ No.7 TTP (20กก./กระสอบ)</t>
  </si>
  <si>
    <t>E000141303N0000703</t>
  </si>
  <si>
    <t>พุกพลาสติก สีดำ No.7 (1กก./ถุง) รหัสเพื่อซื้อ</t>
  </si>
  <si>
    <t>E000141303N0000702</t>
  </si>
  <si>
    <t>พุกพลาสติก สีดำ No.7 TTP (100ตัว/ถุง)</t>
  </si>
  <si>
    <t>E000141303N0000701</t>
  </si>
  <si>
    <t>พุกพลาสติก สีดำ No.7 (100ตัว/ถุง)</t>
  </si>
  <si>
    <t>E000141303N0000700</t>
  </si>
  <si>
    <t>มือจับหน้าต่างมุ้ง สีดำ (คันธนู)</t>
  </si>
  <si>
    <t>E000090903I8200000</t>
  </si>
  <si>
    <t xml:space="preserve">ลูกบิดหางปลา สีดำ 1000ตัว/ถุง (ซื้อ) </t>
  </si>
  <si>
    <t>E000090903I4000001</t>
  </si>
  <si>
    <t>ลูกบิดหางปลา สีดำ</t>
  </si>
  <si>
    <t>E000090903I4000000</t>
  </si>
  <si>
    <t>บานพับหน้าต่างมุ้ง ธรรมดา สีดำ</t>
  </si>
  <si>
    <t>E000090903I1220000</t>
  </si>
  <si>
    <t>บานพับประตูมุ้ง ธรรมดา สีดำ</t>
  </si>
  <si>
    <t>E000090903I1120000</t>
  </si>
  <si>
    <t>ยางอุดรูบานเลื่อน สีชา</t>
  </si>
  <si>
    <t>E008060202F6000000</t>
  </si>
  <si>
    <t>ยางล็อคเสาเกี่ยว สีชา</t>
  </si>
  <si>
    <t>E008060202F5000000</t>
  </si>
  <si>
    <t>ยางกันชนเหลี่ยม 1 นิ้ว สีชา</t>
  </si>
  <si>
    <t>E008060202F3100000</t>
  </si>
  <si>
    <t>ยางกันชนกลมสั้น 1-1/2 นิ้ว สีชา</t>
  </si>
  <si>
    <t>E008060202F2150000</t>
  </si>
  <si>
    <t>ยางกันชนกลมยาว 2 นิ้ว สีชา</t>
  </si>
  <si>
    <t>E008060202F1200000</t>
  </si>
  <si>
    <t>กุญแจบานเลื่อนไขทางเดียว สีชา VVP #VL43 HL-1</t>
  </si>
  <si>
    <t>E005050202E0043100</t>
  </si>
  <si>
    <t>มือจับกระทุ้งขวาฐานสูง (แปะ) สีชา VVP #LW-45 03</t>
  </si>
  <si>
    <t>E005040102D1450320</t>
  </si>
  <si>
    <t>มุมมุ้งบานเลื่อน สีชา #HD-232P</t>
  </si>
  <si>
    <t>E004090902I3023200</t>
  </si>
  <si>
    <t>มือจับล็อค รุ่นเล็ก สีชา TOP X TRA</t>
  </si>
  <si>
    <t>E003040202Z0020100</t>
  </si>
  <si>
    <t>มือจับเรียบไม่มีรู รุ่นใหญ่ สีชา TOP X TRA</t>
  </si>
  <si>
    <t>E003040202D2409800</t>
  </si>
  <si>
    <t>มือจับเรียบมีรู รุ่นใหญ่ สีชา TOP X TRA</t>
  </si>
  <si>
    <t>E003040202D2309800</t>
  </si>
  <si>
    <t>มือจับล็อคกุญแจ รุ่นใหญ่ สีชา TOP X TRA</t>
  </si>
  <si>
    <t>E003040202D2209800</t>
  </si>
  <si>
    <t>มือจับล็อค รุ่นใหญ่ สีชา TOP X TRA</t>
  </si>
  <si>
    <t>E003040202D2109800</t>
  </si>
  <si>
    <t>กุญแจสวิงลูกบิด สีชา TOP</t>
  </si>
  <si>
    <t>E002050302E0200000</t>
  </si>
  <si>
    <t>กลอนประตูสวิง สีชา TOP</t>
  </si>
  <si>
    <t>E002050302E0000100</t>
  </si>
  <si>
    <t>กุญแจเกี่ยวสองหน้า สีชา TOP</t>
  </si>
  <si>
    <t>E002050202Z0000000</t>
  </si>
  <si>
    <t>กุญแจเกี่ยวลูกบิด สีชา TOP</t>
  </si>
  <si>
    <t>E002050202E0100000</t>
  </si>
  <si>
    <t>มือจับบานเลื่อนออโตล็อค สีชา TOP</t>
  </si>
  <si>
    <t>E002040202Z2600000</t>
  </si>
  <si>
    <t>มือจับเรียบไม่มีรู รุ่นใหญ่ สีชา TOP</t>
  </si>
  <si>
    <t>E002040202Z2409800</t>
  </si>
  <si>
    <t>มือจับล็อค รุ่นใหญ่ สีชา TOP</t>
  </si>
  <si>
    <t>E002040202Z2109800</t>
  </si>
  <si>
    <t>มือจับดับเบิ้ลล็อค สีชา TOP</t>
  </si>
  <si>
    <t>E002040202Z0000020</t>
  </si>
  <si>
    <t>มือจับเรียบไม่มีรู รุ่นใหญ่ สีชา TOP (s)</t>
  </si>
  <si>
    <t>E002040202D2409800</t>
  </si>
  <si>
    <t>มือจับเรียบไม่มีรู A11 สีชา TOP (s)</t>
  </si>
  <si>
    <t>E002040202D2401100</t>
  </si>
  <si>
    <t>มือจับเรียบมีรู รุ่นใหญ่ สีชา TOP (s)</t>
  </si>
  <si>
    <t>E002040202D2309800</t>
  </si>
  <si>
    <t>มือจับเรียบมีรู A10 สีชา TOP (s)</t>
  </si>
  <si>
    <t>E002040202D2301000</t>
  </si>
  <si>
    <t>มือจับล็อคกุญแจ รุ่นใหญ่ สีชา TOP (s)</t>
  </si>
  <si>
    <t>E002040202D2209800</t>
  </si>
  <si>
    <t>มือจับล็อคกุญแจ A4 สีชา TOP (s)</t>
  </si>
  <si>
    <t>E002040202D2200000</t>
  </si>
  <si>
    <t>มือจับล็อค รุ่นใหญ่ สีชา TOP (s)</t>
  </si>
  <si>
    <t>E002040202D2109800</t>
  </si>
  <si>
    <t>มือจับล็อคเสาเกี่ยวขวา สีชา TOP</t>
  </si>
  <si>
    <t>E002040202D2100020</t>
  </si>
  <si>
    <t>มือจับล็อคเสาเกี่ยวซ้าย สีชา TOP</t>
  </si>
  <si>
    <t>E002040202D2100010</t>
  </si>
  <si>
    <t>มือจับล็อค A2 สีชา TOP (s)</t>
  </si>
  <si>
    <t>E002040202D2100000</t>
  </si>
  <si>
    <t>มือจับกระทุ้งขวา (แปะ) สีชา TOP</t>
  </si>
  <si>
    <t>E002040102D1000020</t>
  </si>
  <si>
    <t>มือจับกระทุ้งซ้าย (แปะ) สีชา TOP</t>
  </si>
  <si>
    <t>E002040102D1000010</t>
  </si>
  <si>
    <t>ยางกันยุง 10 สีชา TOP (ญ)</t>
  </si>
  <si>
    <t>E002010902Z1001502</t>
  </si>
  <si>
    <t>ยางอัดเล็ก 06 สีชา TOP (ญ)</t>
  </si>
  <si>
    <t>E002010002Z0603002</t>
  </si>
  <si>
    <t>E002010002Z0503002</t>
  </si>
  <si>
    <t>ยางเดิน สีชา #04 TOP (ญ)</t>
  </si>
  <si>
    <t>E002010002Z0403002</t>
  </si>
  <si>
    <t>บานพับยาว 2 เมตร สีชา</t>
  </si>
  <si>
    <t>E000120102L0100000</t>
  </si>
  <si>
    <t>มือจับหน้าต่างมุ้ง สีชา (คันธนู)</t>
  </si>
  <si>
    <t>E000090902I8200000</t>
  </si>
  <si>
    <t xml:space="preserve">ลูกบิดหางปลา สีชา 1000ตัว/ถุง (ซื้อ) </t>
  </si>
  <si>
    <t>E000090902I4000001</t>
  </si>
  <si>
    <t>ลูกบิดหางปลา สีชา</t>
  </si>
  <si>
    <t>E000090902I4000000</t>
  </si>
  <si>
    <t>กันชนแม่เหล็ก สีชา (ใหญ่)</t>
  </si>
  <si>
    <t>E000090902I2100200</t>
  </si>
  <si>
    <t>บานพับหน้าต่างมุ้ง ธรรมดา สีชา</t>
  </si>
  <si>
    <t>E000090902I1220000</t>
  </si>
  <si>
    <t>บานพับประตูมุ้ง ธรรมดา สีชา</t>
  </si>
  <si>
    <t>E000090902I1120000</t>
  </si>
  <si>
    <t>กุญแจบานสวิงไขทางเดียว สีขาวอลู VVP  #V39 SW-1</t>
  </si>
  <si>
    <t>E005050301E0039100</t>
  </si>
  <si>
    <t>กุญแจบานเลื่อนไขทางเดียว สีขาวอลู VVP #VL43 HL-1</t>
  </si>
  <si>
    <t>E005050201E0043100</t>
  </si>
  <si>
    <t>กุญแจบานเลื่อนไขทางเดียว สีขาวอลู VVP  #V39 SL-1</t>
  </si>
  <si>
    <t>E005050201E0039100</t>
  </si>
  <si>
    <t>EURO มือจับบานเปิดมัลติล็อค สีขาวอลู HD-451A</t>
  </si>
  <si>
    <t>E004040101D0045100</t>
  </si>
  <si>
    <t>มือจับเรียบไม่มีรู รุ่นใหญ่ สีขาวอลู TOP X TRA</t>
  </si>
  <si>
    <t>E003040201D2409800</t>
  </si>
  <si>
    <t>มือจับเรียบมีรู รุ่นใหญ่ สีขาวอลู TOP X TRA</t>
  </si>
  <si>
    <t>E003040201D2309800</t>
  </si>
  <si>
    <t>มือจับล็อคกุญแจ รุ่นใหญ่ สีขาวอลู TOP X TRA</t>
  </si>
  <si>
    <t>E003040201D2209800</t>
  </si>
  <si>
    <t>มือจับล็อค รุ่นใหญ่ สีขาวอลู TOP X TRA</t>
  </si>
  <si>
    <t>E003040201D2109800</t>
  </si>
  <si>
    <t>กุญแจสวิงลูกบิด สีขาวอลู TOP</t>
  </si>
  <si>
    <t>E002050301E0200000</t>
  </si>
  <si>
    <t>กลอนประตูสวิง สีขาวอลู TOP</t>
  </si>
  <si>
    <t>E002050301E0000100</t>
  </si>
  <si>
    <t>กุญแจเกี่ยวลูกบิด สีขาวอลู TOP</t>
  </si>
  <si>
    <t>E002050201E0100000</t>
  </si>
  <si>
    <t>มือจับล็อค รุ่นใหญ่ สีขาวอลู TOP</t>
  </si>
  <si>
    <t>E002040201Z2109800</t>
  </si>
  <si>
    <t>มือจับดับเบิ้ลล็อค สีขาวอลู TOP</t>
  </si>
  <si>
    <t>E002040201Z2000000</t>
  </si>
  <si>
    <t>มือจับเรียบไม่มีรู รุ่นใหญ่ สีขาวอลู TOP (s)</t>
  </si>
  <si>
    <t>E002040201D2409800</t>
  </si>
  <si>
    <t>มือจับเรียบไม่มีรู A11 สีขาวอลู TOP (s)</t>
  </si>
  <si>
    <t>E002040201D2401100</t>
  </si>
  <si>
    <t>มือจับเรียบมีรู รุ่นใหญ่ สีขาวอลู TOP (s)</t>
  </si>
  <si>
    <t>E002040201D2309800</t>
  </si>
  <si>
    <t>มือจับเรียบมีรู A10 สีขาวอลู TOP (s)</t>
  </si>
  <si>
    <t>E002040201D2301000</t>
  </si>
  <si>
    <t>มือจับล็อคกุญแจ รุ่นใหญ่ สีขาวอลู TOP (s)</t>
  </si>
  <si>
    <t>E002040201D2209800</t>
  </si>
  <si>
    <t>มือจับล็อคกุญแจ A4 สีขาวอลู TOP (s)</t>
  </si>
  <si>
    <t>E002040201D2200000</t>
  </si>
  <si>
    <t>มือจับล็อค รุ่นใหญ่ สีขาวอลู TOP (s)</t>
  </si>
  <si>
    <t>E002040201D2109800</t>
  </si>
  <si>
    <t>มือจับล็อค A2 สีขาวอลู TOP (S)</t>
  </si>
  <si>
    <t>E002040201D2100200</t>
  </si>
  <si>
    <t>มือจับล็อคเสาเกี่ยวขวา สีขาวอลู TOP</t>
  </si>
  <si>
    <t>E002040201D2100020</t>
  </si>
  <si>
    <t>มือจับล็อคเสาเกี่ยวซ้าย สีขาวอลุ TOP</t>
  </si>
  <si>
    <t>E002040201D2100010</t>
  </si>
  <si>
    <t>มือจับกระทุ้งขวา (แปะ) สีขาวอลู TOP</t>
  </si>
  <si>
    <t>E002040101D1000020</t>
  </si>
  <si>
    <t>มือจับกระทุ้งซ้าย (แปะ) สีขาวอลู TOP</t>
  </si>
  <si>
    <t>E002040101D1000010</t>
  </si>
  <si>
    <t>บานพับยาว 2 เมตร สีขาว</t>
  </si>
  <si>
    <t>E000120101L0100000</t>
  </si>
  <si>
    <t>ฉากรับชั้น 16 นิ้ว สีขาวอลู</t>
  </si>
  <si>
    <t>E000120001L1600000</t>
  </si>
  <si>
    <t>ฉากรับชั้น 14 นิ้ว สีขาวอลู</t>
  </si>
  <si>
    <t>E000120001L1400000</t>
  </si>
  <si>
    <t>ฉากรับชั้น 12 นิ้ว สีขาวอลู</t>
  </si>
  <si>
    <t>E000120001L1200000</t>
  </si>
  <si>
    <t>ฉากรับชั้น 10 นิ้ว สีขาวอลู</t>
  </si>
  <si>
    <t>E000120001L1000000</t>
  </si>
  <si>
    <t>มือจับหน้าต่างมุ้ง สีขาวอลู (คันธนู)</t>
  </si>
  <si>
    <t>E000090901I8200000</t>
  </si>
  <si>
    <t xml:space="preserve">ลูกบิดหางปลา สีขาว 1000ตัว/ถุง (ซื้อ) </t>
  </si>
  <si>
    <t>E000090901I4000001</t>
  </si>
  <si>
    <t>ลูกบิดหางปลา สีขาว</t>
  </si>
  <si>
    <t>E000090901I4000000</t>
  </si>
  <si>
    <t>บานพับหน้าต่างมุ้ง ธรรมดา สีขาวอลู</t>
  </si>
  <si>
    <t>E000090901I1220000</t>
  </si>
  <si>
    <t>บานพับประตูมุ้ง ธรรมดา สีขาวอลู</t>
  </si>
  <si>
    <t>E000090901I1120000</t>
  </si>
  <si>
    <t>ยางยี่ห้อ SMP (กลุ่ม)</t>
  </si>
  <si>
    <t>E00901000000000000</t>
  </si>
  <si>
    <t>โช้คอัพบานสวิง 1V No.1000  DORMA #RTS65</t>
  </si>
  <si>
    <t>E007020300B1000100</t>
  </si>
  <si>
    <t>ลูกล้อรางแขวน 4 ล้อ ZEKER #RL-401</t>
  </si>
  <si>
    <t>E006030800C0010400</t>
  </si>
  <si>
    <t>โช้คอัพบานสวิง 1V No.1200  ZEKER ( Z-300 )</t>
  </si>
  <si>
    <t>E006020300B1200100</t>
  </si>
  <si>
    <t>โช้คอัพบานสวิง 2V No.1000  ZEKER ( Z-100 )</t>
  </si>
  <si>
    <t>E006020300B1000200</t>
  </si>
  <si>
    <t>โช้คอัพบานสวิง 1V No.1000  ZEKER ( Z-300 )</t>
  </si>
  <si>
    <t>E006020300B1000100</t>
  </si>
  <si>
    <t>E006020300B0800100</t>
  </si>
  <si>
    <t>ยางกันน้ำ POLYCARBONATE SEAL 14</t>
  </si>
  <si>
    <t>E005131200M1400000</t>
  </si>
  <si>
    <t>ยางกันน้ำ POLYCARBONATE SEAL 12B</t>
  </si>
  <si>
    <t>E005131200M1200002</t>
  </si>
  <si>
    <t>ยางกันน้ำ POLYCARBONATE SEAL 12A</t>
  </si>
  <si>
    <t>E005131200M1200001</t>
  </si>
  <si>
    <t>ยางกันน้ำ POLYCARBONATE SEAL 11</t>
  </si>
  <si>
    <t>E005131200M1100000</t>
  </si>
  <si>
    <t>ยางกันน้ำ POLYCARBONATE SEAL 10</t>
  </si>
  <si>
    <t>E005131200M1000000</t>
  </si>
  <si>
    <t>ตัวยึดกระจกห้องน้ำกันแกว่ง VVP #SB-907</t>
  </si>
  <si>
    <t>E005131100M0090700</t>
  </si>
  <si>
    <t>ตัวยึดกระจกห้องน้ำกันแกว่ง VVP #SER-905</t>
  </si>
  <si>
    <t>E005131100M0090500</t>
  </si>
  <si>
    <t>ตัวยึดกระจกห้องน้ำกันแกว่ง VVP #SB-904</t>
  </si>
  <si>
    <t>E005131100M0090400</t>
  </si>
  <si>
    <t>ตัวยึดกระจกห้องน้ำกันแกว่ง VVP #SBR-903</t>
  </si>
  <si>
    <t>E005131100M0090300</t>
  </si>
  <si>
    <t>ตัวยึดกระจกห้องน้ำกันแกว่ง VVP #SB-902</t>
  </si>
  <si>
    <t>E005131100M0090200</t>
  </si>
  <si>
    <t>ตัวยึดกระจกห้องน้ำกันแกว่ง VVP #SB-901</t>
  </si>
  <si>
    <t>E005131100M0090100</t>
  </si>
  <si>
    <t>ตัวยึดกระจกห้องน้ำกันแกว่ง VVP #SB-900</t>
  </si>
  <si>
    <t>E005131100M0090000</t>
  </si>
  <si>
    <t>ตัวยึดกระจกห้องน้ำกันแกว่ง VVP #SBF-906</t>
  </si>
  <si>
    <t>E005131100M0060900</t>
  </si>
  <si>
    <t>อุปกรณ์กระจก ยี่ห้อ VVP (กลุ่ม)</t>
  </si>
  <si>
    <t>E00513000000000000</t>
  </si>
  <si>
    <t>ACC ALU ยี่ห้อ VVP (กลุ่ม)</t>
  </si>
  <si>
    <t>E00512000000000000</t>
  </si>
  <si>
    <t>กุญแจ-กลอน ยี่ห้อ VVP (กลุ่ม)</t>
  </si>
  <si>
    <t>E00505000000000000</t>
  </si>
  <si>
    <t>มือจับ ยี่ห้อ VVP (กลุ่ม)</t>
  </si>
  <si>
    <t>E00504000000000000</t>
  </si>
  <si>
    <t>ลูกล้อรางแขวน 4 ล้อ (เดี่ยว) VVP #RL-401 (รับนน. 35Kg.)</t>
  </si>
  <si>
    <t>E005030800C0010400</t>
  </si>
  <si>
    <t>โช้คอัพบานสวิง 2V OC-35 15NM VVP</t>
  </si>
  <si>
    <t>E005020300B0800200</t>
  </si>
  <si>
    <t>โช้ค ยี่ห้อVVP (กลุ่ม)</t>
  </si>
  <si>
    <t>E00502000000000000</t>
  </si>
  <si>
    <t>คีมย้ำรีเวท Hyda Reveter #HW-002</t>
  </si>
  <si>
    <t>E004141300N0000100</t>
  </si>
  <si>
    <t>มีดตัดกระจก 6-12 มม. #HD-8213 (ใช้น้ำมัน)</t>
  </si>
  <si>
    <t>E004131100M0061202</t>
  </si>
  <si>
    <t>มีดตัดกระจก 6-12 มม. #HD-8211 (ธรรมดา)</t>
  </si>
  <si>
    <t>E004131100M0061201</t>
  </si>
  <si>
    <t>EURO ก้าน PVC สไลด์ 19.5 mm  HD-1175</t>
  </si>
  <si>
    <t>E004120700L0117500</t>
  </si>
  <si>
    <t>EURO แป้นยูรับล็อค HD-1125</t>
  </si>
  <si>
    <t>E004120700L0112500</t>
  </si>
  <si>
    <t>EURO แป้นยูรับล็อคบานเลื่อน HD-1124</t>
  </si>
  <si>
    <t>E004120700L0112400</t>
  </si>
  <si>
    <t>E004120700L0110300</t>
  </si>
  <si>
    <t>EURO หมุดล็อค HD-1102</t>
  </si>
  <si>
    <t>E004120700L0110200</t>
  </si>
  <si>
    <t>EURO จุดรับล็อครุ่นสกรู HD-1101</t>
  </si>
  <si>
    <t>E004120700L0110100</t>
  </si>
  <si>
    <t>EURO เต้ารับล็อค HD-1061</t>
  </si>
  <si>
    <t>E004120700L0106100</t>
  </si>
  <si>
    <t>EURO เต้ากันตก HD-1050</t>
  </si>
  <si>
    <t>E004120700L0105000</t>
  </si>
  <si>
    <t>EURO ตะขอมัลติพอยท์ล็อค HD-1110</t>
  </si>
  <si>
    <t>E004120700L0054100</t>
  </si>
  <si>
    <t>มุมข้อต่อสวิง HD-205</t>
  </si>
  <si>
    <t>E004120300L0020500</t>
  </si>
  <si>
    <t>ฉากประคอง HYDA #HD-200</t>
  </si>
  <si>
    <t>E004120300L0020000</t>
  </si>
  <si>
    <t>EURO ฉากเข้ามุมปรับได้ #41 HD-214</t>
  </si>
  <si>
    <t>E004120200L4121400</t>
  </si>
  <si>
    <t>EURO ฉากเข้ามุมปรับได้ #24 HD-214</t>
  </si>
  <si>
    <t>E004120200L2421400</t>
  </si>
  <si>
    <t>EURO ฉากเข้ามุมปรับได้ #24 HD-213</t>
  </si>
  <si>
    <t>E004120200L2421300</t>
  </si>
  <si>
    <t>EURO แป้นรับล็อคบานเลื่อน HD-1120</t>
  </si>
  <si>
    <t>E004120200L0112000</t>
  </si>
  <si>
    <t>มุมบานกระทุ้ง #32 HD-210</t>
  </si>
  <si>
    <t>E004120100L3221000</t>
  </si>
  <si>
    <t>ACC ALU ยี่ห้อ HYDA (กลุ่ม)</t>
  </si>
  <si>
    <t>E00412000000000000</t>
  </si>
  <si>
    <t>ฉากข้อต่อมุ้ง #HD-231</t>
  </si>
  <si>
    <t>E004090900I9000000</t>
  </si>
  <si>
    <t>EURO บานพับ 4 บาร์ 16 นิ้ว HD-626</t>
  </si>
  <si>
    <t>E004080400H6261600</t>
  </si>
  <si>
    <t>EURO บานพับ 4 บาร์ 14 นิ้ว HD-626</t>
  </si>
  <si>
    <t>E004080400H6261400</t>
  </si>
  <si>
    <t>E004080100H6202400</t>
  </si>
  <si>
    <t>E004080100H6202000</t>
  </si>
  <si>
    <t>E004080100H6201800</t>
  </si>
  <si>
    <t>E004080100H6201600</t>
  </si>
  <si>
    <t>E004080100H6201400</t>
  </si>
  <si>
    <t>E004080100H6201200</t>
  </si>
  <si>
    <t>E004080100H6201000</t>
  </si>
  <si>
    <t>E004080100H6200800</t>
  </si>
  <si>
    <t>EURO แขนค้ำบานเปิด ขนาด 12" HD-615</t>
  </si>
  <si>
    <t>E004080100H6151200</t>
  </si>
  <si>
    <t>EURO แขนค้ำบานเปิด ขนาด 10" HD-615</t>
  </si>
  <si>
    <t>E004080100H6151000</t>
  </si>
  <si>
    <t>EURO บานพับกระทุ้งยูโร 6นิ้ว HD-625</t>
  </si>
  <si>
    <t>E004080100H0062500</t>
  </si>
  <si>
    <t>E004080100H0061000</t>
  </si>
  <si>
    <t>บานพับ ยี่ห้อ HYDA (กลุ่ม)</t>
  </si>
  <si>
    <t>E00408000000000000</t>
  </si>
  <si>
    <t>EURO ไส้กุญแจบานเปิด 1 หน้า HD-801/L62</t>
  </si>
  <si>
    <t>E004050700E0080100</t>
  </si>
  <si>
    <t>BI-FOLD ก้านกลอน Multi Lock ขนาด 1.5 m HD-1180 (FXZ6)</t>
  </si>
  <si>
    <t>E004050600E0118000</t>
  </si>
  <si>
    <t>BI-FOLD เสื้อกุญแจบานเฟี้ยม Multilock HD-851/L30</t>
  </si>
  <si>
    <t>E004050600E0085100</t>
  </si>
  <si>
    <t>BI-FOLD เสื้อกุญแจบานเฟี้ยม Single lock HD-850/L30 (MSB28/ll)</t>
  </si>
  <si>
    <t>E004050600E0085000</t>
  </si>
  <si>
    <t>BI-FOLD ไส้กุญแจบานเฟี้ยม HD-801/L75 (KIL3636/T)</t>
  </si>
  <si>
    <t>E004050600E0080100</t>
  </si>
  <si>
    <t>BI-FOLD ตลับกลอนก้านโยกมัลติล็อค HD-832 (CDQ20)</t>
  </si>
  <si>
    <t>E004050600E0031200</t>
  </si>
  <si>
    <t>E004050600E0030500</t>
  </si>
  <si>
    <t>BI-FOLD ฝารับล็อคกุญแจประตูบานเปิด HD-1116 (DMS20A)</t>
  </si>
  <si>
    <t>E004050100E0111600</t>
  </si>
  <si>
    <t>EURO แป้นรับล็อคบานเปิด HD-1115</t>
  </si>
  <si>
    <t>E004050100E0111500</t>
  </si>
  <si>
    <t>EURO เสื้อกุญแจบานเปิด Mulitilock HD-851/L35</t>
  </si>
  <si>
    <t>E004050100E0085100</t>
  </si>
  <si>
    <t>EURO เสื้อกุญแจบานเปิด Single lock HD-850/L35</t>
  </si>
  <si>
    <t>E004050100E0085000</t>
  </si>
  <si>
    <t>กุญแจ-กลอน ยี่ห้อ HYDA (กลุ่ม)</t>
  </si>
  <si>
    <t>E00405000000000000</t>
  </si>
  <si>
    <t>มือจับ ยี่ห้อ HYDA (กลุ่ม)</t>
  </si>
  <si>
    <t>E00404000000000000</t>
  </si>
  <si>
    <t>ล้อรางแขวนใหญ่ 4 ล้อ HD-912 (รับนน. 120 kg)</t>
  </si>
  <si>
    <t>E004030800C0091200</t>
  </si>
  <si>
    <t>ล้อตลับบานเลื่อน 4 ล้อ HD-924-4 (รับนน. 200 kg)</t>
  </si>
  <si>
    <t>E004030200C0924400</t>
  </si>
  <si>
    <t>ล้อตลับบานเลื่อนคู่ HD-924-2 (รับนน. 100 kg)</t>
  </si>
  <si>
    <t>E004030200C0924200</t>
  </si>
  <si>
    <t>ล้อตลับบานเลื่อนเดี่ยว HD-924-1 (รับนน. 50 kg)</t>
  </si>
  <si>
    <t>E004030200C0924100</t>
  </si>
  <si>
    <t>ล้อตลับบานเลื่อนคู่ HD-923-2 (รับนน. 100 kg)</t>
  </si>
  <si>
    <t>E004030200C0923200</t>
  </si>
  <si>
    <t>ล้อตลับบานเลื่อนเดี่ยว HD-923-1 (รับนน. 50 kg)</t>
  </si>
  <si>
    <t>E004030200C0923100</t>
  </si>
  <si>
    <t>ลูกล้อบานเลื่อนคู่ HYDA #HD-904 (รับนน. 50 kg)</t>
  </si>
  <si>
    <t>E004030200C0090400</t>
  </si>
  <si>
    <t>ลูกล้อ ยี่ห้อ HYDA (กลุ่ม)</t>
  </si>
  <si>
    <t>E00403000000000000</t>
  </si>
  <si>
    <t>โช้คอัพบานสวิง 2V No.1000 HYDA (Model.85)</t>
  </si>
  <si>
    <t>E004020300B1000200</t>
  </si>
  <si>
    <t>โช้คอัพบานสวิง 1V No.1000 HYDA (Model.85)</t>
  </si>
  <si>
    <t>E004020100B1000100</t>
  </si>
  <si>
    <t>โช้คอัพบานสวิง 1V No.800 HYDA (Model.85)</t>
  </si>
  <si>
    <t>E004020100B0800100</t>
  </si>
  <si>
    <t>ฉากกั้นกระจกเทมเปอร์ TOP Shield แบบมีช่อง รุ่น TS02</t>
  </si>
  <si>
    <t>E002131100M0000201</t>
  </si>
  <si>
    <t>ฉากกั้นกระจกเทมเปอร์ TOP Shield แบบมีช่อง รุ่น TS02 STD.</t>
  </si>
  <si>
    <t>E002131100M0000200</t>
  </si>
  <si>
    <t>ฉากกั้นกระจกเทมเปอร์ TOP Shield แบบไม่มีช่อง รุ่น TS01</t>
  </si>
  <si>
    <t>E002131100M0000101</t>
  </si>
  <si>
    <t>ฉากกั้นกระจกเทมเปอร์ TOP Shield แบบไม่มีช่อง รุ่น TS01 STD.</t>
  </si>
  <si>
    <t>E002131100M0000100</t>
  </si>
  <si>
    <t>อุปกรณ์กระจกยี่ห้อ TOP (กลุ่ม)</t>
  </si>
  <si>
    <t>E00213000000000000</t>
  </si>
  <si>
    <t>ฉากข้อต่อมุ้ง TOP</t>
  </si>
  <si>
    <t>E002090900I9000000</t>
  </si>
  <si>
    <t>ลูกล้อมุ้งพลาสติก (มีลูกปืน) TOP</t>
  </si>
  <si>
    <t>E002030900C0000100</t>
  </si>
  <si>
    <t>ลูกล้อรางแขวน 4 ล้อ (เดี่ยว) TOP (รับนน. 60Kg.)</t>
  </si>
  <si>
    <t>E002030800C0010400</t>
  </si>
  <si>
    <t>โช้คอัพฝังพื้นไม่มีอุปกรณ์ 2V No.1200 TOP (H)</t>
  </si>
  <si>
    <t>E002020400B1200100</t>
  </si>
  <si>
    <t>โช้คอัพฝังพื้นไม่มีอุปกรณ์ 2V No.1000 TOP (H)</t>
  </si>
  <si>
    <t>E002020400B1000100</t>
  </si>
  <si>
    <t>โช้คอัพบานสวิง 1V No.1200 TOP</t>
  </si>
  <si>
    <t>E002020300Z1200100</t>
  </si>
  <si>
    <t>โช้คอัพบานสวิง 1V No.1000  TOP</t>
  </si>
  <si>
    <t>E002020300Z1000100</t>
  </si>
  <si>
    <t>โช้คอัพบานสวิง 1V No.800 TOP</t>
  </si>
  <si>
    <t>E002020300Z0800100</t>
  </si>
  <si>
    <t>โช้คอัพบานสวิง 1V No.1200 TOP (H)</t>
  </si>
  <si>
    <t>E002020300B1200101</t>
  </si>
  <si>
    <t>โช้คอัพบานสวิง 2V No.1000  TOP (H)</t>
  </si>
  <si>
    <t>E002020300B1000200</t>
  </si>
  <si>
    <t>โช้คอัพบานสวิง 1V No.1000 TOP (H)</t>
  </si>
  <si>
    <t>E002020300B1000101</t>
  </si>
  <si>
    <t>โช้คอัพบานสวิง 1V No.800 TOP (H)</t>
  </si>
  <si>
    <t>E002020300B0800101</t>
  </si>
  <si>
    <t>อุปกรณ์กระจกยี่ห้อ Diamond (กลุ่ม)</t>
  </si>
  <si>
    <t>E00113000000000000</t>
  </si>
  <si>
    <t>โช้คอัพบานสวิง 1V No.1500  DIAMOND</t>
  </si>
  <si>
    <t>E001020300B1500100</t>
  </si>
  <si>
    <t>โช้คอัพบานสวิง 1V No.1200  DIAMOND</t>
  </si>
  <si>
    <t>E001020300B1200100</t>
  </si>
  <si>
    <t>โช้คอัพบานสวิง 1V No.1000  DIAMOND</t>
  </si>
  <si>
    <t>E001020300B1000100</t>
  </si>
  <si>
    <t>โช้คอัพบานสวิง 1V No.800  DIAMOND</t>
  </si>
  <si>
    <t>E001020300B0800100</t>
  </si>
  <si>
    <t>โช้คอัพบานสวิง 1V No.600  DIAMOND</t>
  </si>
  <si>
    <t>E001020100B0600100</t>
  </si>
  <si>
    <t>โช้ค ยี่ห้อ Diamond (กลุ่ม)</t>
  </si>
  <si>
    <t>E00102000000000000</t>
  </si>
  <si>
    <t>TNG PRO (กลุ่ม)</t>
  </si>
  <si>
    <t>E00015000000000000</t>
  </si>
  <si>
    <t>น๊อตมือจับสแตนเลส</t>
  </si>
  <si>
    <t>E000140300Z0000000</t>
  </si>
  <si>
    <t>ปากกระบอกคีมย้ำรีเวท แบบยาว 3.2 มม.</t>
  </si>
  <si>
    <t>E000140000Z0000000</t>
  </si>
  <si>
    <t>Tools ไม่มียี่ห้อ (กลุ่ม)</t>
  </si>
  <si>
    <t>E00014000000000000</t>
  </si>
  <si>
    <t>ไม้ตัดกระจก 8 ฟุต</t>
  </si>
  <si>
    <t>E000131100Z0000800</t>
  </si>
  <si>
    <t>ไม้ตัดกระจก 5 ฟุต</t>
  </si>
  <si>
    <t>E000131100Z0000500</t>
  </si>
  <si>
    <t>หัวยางดูดกระจกแผ่น สามหัว-จีน PBM #013-B-2 (รับนน.170 kg.)</t>
  </si>
  <si>
    <t>E000131100M0317000</t>
  </si>
  <si>
    <t>หัวยางดูดกระจกแผ่น - สองหัว จีน</t>
  </si>
  <si>
    <t>E000131100M0200000</t>
  </si>
  <si>
    <t>หัวยางดูดกระจกแผ่น หัวเดียว 8 นิ้ว (ชนิดปั๊มลม) จีน</t>
  </si>
  <si>
    <t>E000131100M0000800</t>
  </si>
  <si>
    <t>แป้นติดหลังกระจก (กะรัต)</t>
  </si>
  <si>
    <t>E000131100M0000000</t>
  </si>
  <si>
    <t>ขาทองเหลือง</t>
  </si>
  <si>
    <t>E000130000M0000000</t>
  </si>
  <si>
    <t>อุปกรณ์กระจกไม่มียี่ห้อ (กลุ่ม)</t>
  </si>
  <si>
    <t>E00013000000000000</t>
  </si>
  <si>
    <t>อุปกรณ์อลูมิเนียมไม่มียี่ห้อ (กลุ่ม)</t>
  </si>
  <si>
    <t>E00012100000000000</t>
  </si>
  <si>
    <t>เหล็กเส้นเกลียวตลอด 200 ซม. (พร้อมน็อต)</t>
  </si>
  <si>
    <t>E000120300L0120000</t>
  </si>
  <si>
    <t>เหล็กเส้นเกลียวตลอด 150 ซม. (พร้อมน็อต)</t>
  </si>
  <si>
    <t>E000120300L0115000</t>
  </si>
  <si>
    <t>เหล็กเส้นเกลียวตลอด 130 ซม. (พร้อมน็อต)</t>
  </si>
  <si>
    <t>E000120300L0113000</t>
  </si>
  <si>
    <t>เหล็กเส้นเกลียวตลอด 120 ซม. (พร้อมน็อต)</t>
  </si>
  <si>
    <t>E000120300L0112000</t>
  </si>
  <si>
    <t>เหล็กเส้นเกลียวตลอด 110 ซม. (พร้อมน็อต)</t>
  </si>
  <si>
    <t>E000120300L0111000</t>
  </si>
  <si>
    <t>เหล็กเส้นเกลียวตลอด 106 ซม. (พร้อมน็อต)</t>
  </si>
  <si>
    <t>E000120300L0110600</t>
  </si>
  <si>
    <t>เหล็กเส้นเกลียวตลอด 96 ซม. (พร้อมน็อต)</t>
  </si>
  <si>
    <t>E000120300L0109600</t>
  </si>
  <si>
    <t>เหล็กเส้นเกลียวตลอด 86 ซม. (พร้อมน็อต)</t>
  </si>
  <si>
    <t>E000120300L0108600</t>
  </si>
  <si>
    <t>เหล็กเส้นเกลียวตลอด 76 ซม. (พร้อมน็อต)</t>
  </si>
  <si>
    <t>E000120300L0107600</t>
  </si>
  <si>
    <t>น็อต+แหวน (เหล็กเส้น)</t>
  </si>
  <si>
    <t>E000120300L0100000</t>
  </si>
  <si>
    <t>เหล็กเส้นเกลียวตลอด (ชุบซิงค์) 200 ซม.</t>
  </si>
  <si>
    <t>E000120300L0020000</t>
  </si>
  <si>
    <t>เหล็กเส้นเกลียวตลอด (ชุบซิงค์) 150 ซม.</t>
  </si>
  <si>
    <t>E000120300L0015000</t>
  </si>
  <si>
    <t>เหล็กเส้นเกลียวตลอด (ชุบซิงค์) 130 ซม.</t>
  </si>
  <si>
    <t>E000120300L0013000</t>
  </si>
  <si>
    <t>เหล็กเส้นเกลียวตลอด (ชุบซิงค์) 120 ซม.</t>
  </si>
  <si>
    <t>E000120300L0012000</t>
  </si>
  <si>
    <t>เหล็กเส้นเกลียวตลอด (ชุบซิงค์) 110 ซม.</t>
  </si>
  <si>
    <t>E000120300L0011000</t>
  </si>
  <si>
    <t>เหล็กเส้นเกลียวตลอด (ชุบซิงค์) 106 ซม.</t>
  </si>
  <si>
    <t>E000120300L0010600</t>
  </si>
  <si>
    <t>เหล็กเส้นเกลียวตลอด (ชุบซิงค์) 96 ซม.</t>
  </si>
  <si>
    <t>E000120300L0009600</t>
  </si>
  <si>
    <t xml:space="preserve">เหล็กเส้นเกลียวตลอด (ชุบซิงค์) 86 ซม. </t>
  </si>
  <si>
    <t>E000120300L0008600</t>
  </si>
  <si>
    <t>เหล็กเส้นเกลียวตลอด (ชุบซิงค์) 76 ซม.</t>
  </si>
  <si>
    <t>E000120300L0007600</t>
  </si>
  <si>
    <t>แหวน (เหล็กเส้น) 50กก./กระสอบ</t>
  </si>
  <si>
    <t>E000120300L0000201</t>
  </si>
  <si>
    <t>แหวน (เหล็กเส้น)</t>
  </si>
  <si>
    <t>E000120300L0000200</t>
  </si>
  <si>
    <t>น็อต (เหล็กเส้น) 50กก./กระสอบ</t>
  </si>
  <si>
    <t>E000120300L0000101</t>
  </si>
  <si>
    <t>น็อต (เหล็กเส้น)</t>
  </si>
  <si>
    <t>E000120300L0000100</t>
  </si>
  <si>
    <t>ACC ALU ไม่มียี่ห้อ (กลุ่ม)</t>
  </si>
  <si>
    <t>E00012000000000000</t>
  </si>
  <si>
    <t>สแตนเลสไม่มียี่ห้อ (กลุ่ม)</t>
  </si>
  <si>
    <t>E00011000000000000</t>
  </si>
  <si>
    <t>บานสำเร็จ (กลุ่ม)</t>
  </si>
  <si>
    <t>E00010070000000000</t>
  </si>
  <si>
    <t>มุมกรอบรูป (7กก./กระสอบ)</t>
  </si>
  <si>
    <t>E000090900I3300001</t>
  </si>
  <si>
    <t>มุมกรอบรูป</t>
  </si>
  <si>
    <t>E000090900I3300000</t>
  </si>
  <si>
    <t>มุมหน้าต่าง (7กก./กระสอบ)</t>
  </si>
  <si>
    <t>E000090900I3200001</t>
  </si>
  <si>
    <t xml:space="preserve">มุมหน้าต่าง </t>
  </si>
  <si>
    <t>E000090900I3200000</t>
  </si>
  <si>
    <t>มุมประตู (7กก./กระสอบ)</t>
  </si>
  <si>
    <t>E000090900I3100001</t>
  </si>
  <si>
    <t>มุมประตู</t>
  </si>
  <si>
    <t>E000090900I3100000</t>
  </si>
  <si>
    <t>มุ้งไม่มียี่ห้อ (กลุ่ม)</t>
  </si>
  <si>
    <t>E00009000000000000</t>
  </si>
  <si>
    <t>บานพับไม่มียี่ห้อ (กลุ่ม)</t>
  </si>
  <si>
    <t>E00008000000000000</t>
  </si>
  <si>
    <t>ขาเกล็ด ไม่ระบุยี่ห้อ (กลุ่ม)</t>
  </si>
  <si>
    <t>E00007000000000000</t>
  </si>
  <si>
    <t>ยางแพ๊ค (กลุ่ม)</t>
  </si>
  <si>
    <t>E00006000000000000</t>
  </si>
  <si>
    <t>กุญแจ-กลอนไม่ระบุยี่ห้อ (กลุ่ม)</t>
  </si>
  <si>
    <t>E00005000000000000</t>
  </si>
  <si>
    <t>มือจับไม่มียี่ห้อ (กลุ่ม)</t>
  </si>
  <si>
    <t>E00004000000000000</t>
  </si>
  <si>
    <t>ลูกล้อ ไม่มียี่ห้อ (กลุ่ม)</t>
  </si>
  <si>
    <t>E00003000000000000</t>
  </si>
  <si>
    <t>โช้ค ไม่มียี่ห้อ (กลุ่ม)</t>
  </si>
  <si>
    <t>E00002000000000000</t>
  </si>
  <si>
    <t>ยางไม่มียี่ห้อ (กลุ่ม)</t>
  </si>
  <si>
    <t>E00001000000000000</t>
  </si>
  <si>
    <t>หมุดติดกระจกสีเงิน #NP000 (1ชุด-4ชิ้น)</t>
  </si>
  <si>
    <t>E000131118M0000000</t>
  </si>
  <si>
    <t>หมุดติดกระจกสีทอง #NP000 (1ชุด-4ชิ้น)</t>
  </si>
  <si>
    <t>E000131117M0000000</t>
  </si>
  <si>
    <t>E000131116M0000000</t>
  </si>
  <si>
    <t>แขนโช้คฝังพื้น VVP #AT-170</t>
  </si>
  <si>
    <t>E005131115M0017000</t>
  </si>
  <si>
    <t>บานพับกระทุ้งสี่แขน 24นิ้ว VVP #FH-24 SS (ชุด)</t>
  </si>
  <si>
    <t>E005080115H0002408</t>
  </si>
  <si>
    <t>บานพับกระทุ้งสี่แขน 20นิ้ว VVP #FH-20 SS (ชุด)</t>
  </si>
  <si>
    <t>E005080115H0002007</t>
  </si>
  <si>
    <t>บานพับกระทุ้งสี่แขน 18 นิ้ว VVP #FH-18 SS (ชุด)</t>
  </si>
  <si>
    <t>E005080115H0001806</t>
  </si>
  <si>
    <t>บานพับกระทุ้งสี่แขน 16 นิ้ว VVP #FH-16 SS (ชุด)</t>
  </si>
  <si>
    <t>E005080115H0001605</t>
  </si>
  <si>
    <t>บานพับกระทุ้งสี่แขน 14 นิ้ว VVP #FH-14 SS (ชุด)</t>
  </si>
  <si>
    <t>E005080115H0001404</t>
  </si>
  <si>
    <t>บานพับกระทุ้งสี่แขน 12 นิ้ว VVP #FH-12 SS (ชุด)</t>
  </si>
  <si>
    <t>E005080115H0001203</t>
  </si>
  <si>
    <t>บานพับกระทุ้งสี่แขน 10 นิ้ว VVP #FH-10 SS (ชุด)</t>
  </si>
  <si>
    <t>E005080115H0001002</t>
  </si>
  <si>
    <t>บานพับกระทุ้งสี่แขน 8 นิ้ว VVP #FH-8 SS (ชุด)</t>
  </si>
  <si>
    <t>E005080115H0000801</t>
  </si>
  <si>
    <t>กุญแจล็อคประตูกับพื้นสีสแตนเลส VVP #FL-50 PS</t>
  </si>
  <si>
    <t>E005131114M5000000</t>
  </si>
  <si>
    <t>ตัวหนีบช่องแสงบนและข้างเล็ก VVP # FT-42 PS</t>
  </si>
  <si>
    <t>E005131114M4200000</t>
  </si>
  <si>
    <t>ตัวหนีบช่องแสงบนและข้าง VVP #FT-40 PS</t>
  </si>
  <si>
    <t>E005131114M4000000</t>
  </si>
  <si>
    <t>ตัวหนีบช่องแสงบน VVP #FT-30 PS</t>
  </si>
  <si>
    <t>E005131114M3000000</t>
  </si>
  <si>
    <t>ตัวหนีบโช้คบน VVP #FT-22 PS</t>
  </si>
  <si>
    <t>E005131114M2200000</t>
  </si>
  <si>
    <t>ตัวหนีบบน VVP #FT-20 PS</t>
  </si>
  <si>
    <t>E005131114M2000000</t>
  </si>
  <si>
    <t>ตัวหนีบล่าง VVP #FT-10 PS</t>
  </si>
  <si>
    <t>E005131114M1000000</t>
  </si>
  <si>
    <t>ตัวหนีบกระจกห้องน้ำรุ่นเล็ก VVP #GC-506 PS (ไม่เจาะ)</t>
  </si>
  <si>
    <t>E005131114M0050600</t>
  </si>
  <si>
    <t>ตัวหนีบกระจกห้องน้ำรุ่นเล็ก VVP #GC-502 PS (เจาะ)</t>
  </si>
  <si>
    <t>E005131114M0050200</t>
  </si>
  <si>
    <t>ตัวหนีบกระจกห้องน้ำรุ่นเล็ก VVP #GC-501 PS (ไม่เจาะ)</t>
  </si>
  <si>
    <t>E005131114M0050100</t>
  </si>
  <si>
    <t>ตัวหนีบกระจกห้องน้ำรุ่นใหญ่ VVP #SF-439</t>
  </si>
  <si>
    <t>E005131114M0043900</t>
  </si>
  <si>
    <t>บานพับประตูกระจกห้องน้ำ VVP #SW-304 PS</t>
  </si>
  <si>
    <t>E005131114M0030400</t>
  </si>
  <si>
    <t>บานพับประตูกระจกห้องน้ำ VVP #SW-303 PS</t>
  </si>
  <si>
    <t>E005131114M0030300</t>
  </si>
  <si>
    <t>เดือยบนปรับไม่ได้ VVP #AT-141</t>
  </si>
  <si>
    <t>E005131114M0014100</t>
  </si>
  <si>
    <t>เดือยบนปรับไม่ได้ VVP #AT-140</t>
  </si>
  <si>
    <t>E005131114M0014000</t>
  </si>
  <si>
    <t>เดือยจุดหมุนบนชนิดปรับได้ VVP #AT-110</t>
  </si>
  <si>
    <t>E005131114M0011000</t>
  </si>
  <si>
    <t>ราวสแตนเลสแบบกลม 6 หุน (19 มม.) VVP</t>
  </si>
  <si>
    <t>E005131114M0000100</t>
  </si>
  <si>
    <t>แขนค้ำบานกระทุ้ง VVP  #SA-14</t>
  </si>
  <si>
    <t>E005080114H0001400</t>
  </si>
  <si>
    <t>แขนค้ำบานกระทุ้ง VVP  #SA-10</t>
  </si>
  <si>
    <t>E005080114H0001000</t>
  </si>
  <si>
    <t>มือจับสแตนเลส VVP HD-188 #2884 ขนาด 32x800x1000 ผิวเงา</t>
  </si>
  <si>
    <t>E005040314Z1018800</t>
  </si>
  <si>
    <t>มือจับสแตนเลส VVP 152 PS ขนาด 25x450 ผิวเงา</t>
  </si>
  <si>
    <t>E005040314Z1015200</t>
  </si>
  <si>
    <t>มือจับสแตนเลส VVP HD-117 #2711 ขนาด 25x305 ผิวเงา</t>
  </si>
  <si>
    <t>E005040314Z1011700</t>
  </si>
  <si>
    <t>มือจับสแตนเลส VVP 110 PS ขนาด 25x305x600</t>
  </si>
  <si>
    <t>E005040314Z1011001</t>
  </si>
  <si>
    <t>มือจับสแตนเลส VVP 103 PS ขนาด 25*350</t>
  </si>
  <si>
    <t>E005040314Z1010303</t>
  </si>
  <si>
    <t>มือจับสแตนเลส VVP 103 PS ขนาด 32x305</t>
  </si>
  <si>
    <t>E005040314Z1010302</t>
  </si>
  <si>
    <t>มือจับสแตนเลส VVP 103 PS ขนาด 25x305</t>
  </si>
  <si>
    <t>E005040314Z1010301</t>
  </si>
  <si>
    <t>มือจับสแตนเลส VVP รุ่น HD-101 #2104 ขนาด 32x350 ผิวเงา</t>
  </si>
  <si>
    <t>E005040314Z1010102</t>
  </si>
  <si>
    <t>E005040314E1011000</t>
  </si>
  <si>
    <t>โช้คอัพฝังพื้นพร้อมอุปกรณ์ 2V FC-34 25 NM  VVP</t>
  </si>
  <si>
    <t>E005020414B1200201</t>
  </si>
  <si>
    <t>โช้คอัพฝังพื้นไม่มีอุปกรณ์ 2V FC-34 25 NM  VVP</t>
  </si>
  <si>
    <t>E005020414B1200200</t>
  </si>
  <si>
    <t>โช้คอัพฝังพื้นพร้อมอุปกรณ์ 2V FC-34 20 NM  VVP</t>
  </si>
  <si>
    <t>E005020414B1000201</t>
  </si>
  <si>
    <t>โช้คอัพฝังพื้นไม่มีอุปกรณ์ 2V FC-34 20 NM  VVP</t>
  </si>
  <si>
    <t>E005020414B1000200</t>
  </si>
  <si>
    <t>โช้คอัพบานสวิง 2V OC-35 20NM VVP</t>
  </si>
  <si>
    <t>E005020314B1000200</t>
  </si>
  <si>
    <t>ตัวหนีบกระจกห้องน้ำรุ่นเล็ก TOP #GC-506 PS (ไม่เจาะ)</t>
  </si>
  <si>
    <t>E002131114M0050600</t>
  </si>
  <si>
    <t>มือจับสแตนเลส TOP รุ่น 117 PS ขนาด 305x25x75</t>
  </si>
  <si>
    <t>E002040314D3011700</t>
  </si>
  <si>
    <t>มือจับสแตนเลส TOP รุ่น 101 PS ขนาด 305x25x75</t>
  </si>
  <si>
    <t>E002040314D3010100</t>
  </si>
  <si>
    <t>ลูกล้อบานเลื่อนคู่ VVP #RL-403 (รับนน. 35Kg.)</t>
  </si>
  <si>
    <t>E005030211C0040300</t>
  </si>
  <si>
    <t>ลูกล้อบานเลื่อนเดี่ยว (แดง) VVP #RL-402 (รับนน. 25Kg.)</t>
  </si>
  <si>
    <t>E005030211C0040200</t>
  </si>
  <si>
    <t>ลูกล้อบานเลื่อนคู่ TOP (รับนน. 50Kg.)</t>
  </si>
  <si>
    <t>E002030211C0010200</t>
  </si>
  <si>
    <t>ลูกล้อบานเลื่อนเดี่ยว (แดง) TOP (รับนน. 35Kg.)</t>
  </si>
  <si>
    <t>E002030211C0010100</t>
  </si>
  <si>
    <t>ลูกล้อบานเลื่อนเดี่ยว (เขียว) VVP #RL-405 (รับนน. 20Kg.)</t>
  </si>
  <si>
    <t>E005030210C0040500</t>
  </si>
  <si>
    <t>ลูกล้อบานเลื่อนเดี่ยว (เขียว) HYDA #HD-900 (รับนน. 15 kg)</t>
  </si>
  <si>
    <t>E004030210C0090000</t>
  </si>
  <si>
    <t>ลูกล้อบานเลื่อนเดี่ยว (เขียว) TOP (รับนน. 25Kg.)</t>
  </si>
  <si>
    <t>E002030210C0010100</t>
  </si>
  <si>
    <t>AlternateName</t>
  </si>
  <si>
    <t>R2</t>
  </si>
  <si>
    <t>R1</t>
  </si>
  <si>
    <t>W2</t>
  </si>
  <si>
    <t>W1</t>
  </si>
  <si>
    <t>SDM</t>
  </si>
  <si>
    <t>SKU</t>
  </si>
  <si>
    <t>E002040314E1011000</t>
  </si>
  <si>
    <t>มือจับสแตนเลส HD-110 #2011 ขนาด 25x305x450 ผิวเงา</t>
  </si>
  <si>
    <t>E002131114M0050700</t>
  </si>
  <si>
    <t>ตัวหนีบกระจกห้องน้ำรุ่นเล็ก TOP #GC-507 PS (ไม่เจาะ)</t>
  </si>
  <si>
    <t>E004040103D0045000</t>
  </si>
  <si>
    <t>EURO มือจับหลบมุ้ง HD-450A สีดำ (แกนฟ็อก)</t>
  </si>
  <si>
    <t>E004040104D0045000</t>
  </si>
  <si>
    <t>EURO มือจับหลบมุ้ง HD-450A สีอบขาว (แกนฟ็อก)</t>
  </si>
  <si>
    <t>BI-FOLD กลอนบานเฟี้ยม สีดำ ยาว 50 ซม. HD-305 (SCX500)</t>
  </si>
  <si>
    <t>E004050600E0032000</t>
  </si>
  <si>
    <t>BI-FOLD ปลายกลอนบานเฟี้ยม HD-320</t>
  </si>
  <si>
    <t>E004050603E0030501</t>
  </si>
  <si>
    <t>BI-FOLD กลอนบานเฟี้ยม สีดำ ยาว 25 ซม. HD-305 (SCX500)</t>
  </si>
  <si>
    <t>E004050603E0030503</t>
  </si>
  <si>
    <t>BI-FOLD กลอนบานเฟี้ยม สีดำ ยาว 75 ซม. HD-305 (SCX500)</t>
  </si>
  <si>
    <t>E004050603E0030504</t>
  </si>
  <si>
    <t>BI-FOLD กลอนบานเฟี้ยม สีดำ ยาว 100 ซม. HD-305 (SCX500)</t>
  </si>
  <si>
    <t>E004050603E0030505</t>
  </si>
  <si>
    <t>BI-FOLD กลอนบานเฟี้ยม สีดำ ยาว 125 ซม. HD-305 (SCX500)</t>
  </si>
  <si>
    <t>แขนค้ำบานเปิด ขนาด 8" HD-610A</t>
  </si>
  <si>
    <t>E004080100H1061000</t>
  </si>
  <si>
    <t>แขนค้ำบานเปิด ขนาด 10" HD-610B</t>
  </si>
  <si>
    <t>E004080100H1261000</t>
  </si>
  <si>
    <t>แขนค้ำบานเปิด ขนาด 12" HD-610C</t>
  </si>
  <si>
    <t>บานพับกระทุ้งสี่แขน 8 นิ้ว HYDA #HD-620</t>
  </si>
  <si>
    <t>บานพับกระทุ้งสี่แขน 10 นิ้ว HYDA #HD-620</t>
  </si>
  <si>
    <t>บานพับกระทุ้งสี่แขน 12 นิ้ว HYDA #HD-620</t>
  </si>
  <si>
    <t>บานพับกระทุ้งสี่แขน 14 นิ้ว HYDA #HD-620</t>
  </si>
  <si>
    <t>บานพับกระทุ้งสี่แขน 16 นิ้ว HYDA #HD-620</t>
  </si>
  <si>
    <t>บานพับกระทุ้งสี่แขน 18 นิ้ว HYDA #HD-620</t>
  </si>
  <si>
    <t>บานพับกระทุ้งสี่แขน 20 นิ้ว HYDA #HD-620</t>
  </si>
  <si>
    <t>บานพับกระทุ้งสี่แขน 24 นิ้ว HYDA #HD-620</t>
  </si>
  <si>
    <t>E004080103H0065500</t>
  </si>
  <si>
    <t>บานพับบานเปิดยูเรเซีย ORM สีดำ HD-655</t>
  </si>
  <si>
    <t>E004080104H0065500</t>
  </si>
  <si>
    <t>บานพับบานเปิดยูเรเซีย ORM สีอบขาว HD-655</t>
  </si>
  <si>
    <t>E004120600L0022602</t>
  </si>
  <si>
    <t>BI-FOLD มุมบานเฟี้ยมยูโร(กัดร่อง) 46.5มม. #HD-226B</t>
  </si>
  <si>
    <t>EURO ตัวที HD-1103</t>
  </si>
  <si>
    <t>E005020300B1500200</t>
  </si>
  <si>
    <t>โช้คอัพบานสวิง 2V OC-35 25NM VVP</t>
  </si>
  <si>
    <t>มือจับสแตนเลส VVP รุ่น HD-110 #2012 ขนาด 32x305x450 ผิวเงา</t>
  </si>
  <si>
    <t>โช๊คอัพบานสวิง 1V No.800  ZEKER ( Z-300 )</t>
  </si>
  <si>
    <t>E006020300B0800200</t>
  </si>
  <si>
    <t>โช้คอัพบานสวิง 2V No.800  ZEKER ( Z-100 )</t>
  </si>
  <si>
    <t>E006020300B1200200</t>
  </si>
  <si>
    <t>โช้คอัพบานสวิง 2V No.1200  ZEKER ( Z-100 )</t>
  </si>
  <si>
    <t>E009010203A0105001</t>
  </si>
  <si>
    <t>ยางบานเลื่อน 2 หุน 01 สีดำ SMP (50 ม.)</t>
  </si>
  <si>
    <t>E010010903A2601801</t>
  </si>
  <si>
    <t>ยางอัดหน้าต่าง เทา/ดำ SPP</t>
  </si>
  <si>
    <t>E015050201E0100000</t>
  </si>
  <si>
    <t>กุญแจเกี่ยวลูกบิด สีขาวอลู HOYA</t>
  </si>
  <si>
    <t>E015050202E0100000</t>
  </si>
  <si>
    <t>กุญแจเกี่ยวลูกบิด สีชา HOYA</t>
  </si>
  <si>
    <t>E015050301E0200000</t>
  </si>
  <si>
    <t>กุญแจสวิงลูกบิด สีขาวอลู HOYA</t>
  </si>
  <si>
    <t>E015050302E0200000</t>
  </si>
  <si>
    <t>กุญแจสวิงลูกบิด สีชา HOYA</t>
  </si>
  <si>
    <t>E017030800C0500902</t>
  </si>
  <si>
    <t>ไกด์กันแกว่ง สีดำ PBM #050-09-2 (ของแถม)</t>
  </si>
  <si>
    <t>E017080103H0000500</t>
  </si>
  <si>
    <t>บานพับบานเปิด ORM สีดำ PBM #Hinge-05</t>
  </si>
  <si>
    <t>E017080104H0000400</t>
  </si>
  <si>
    <t>บานพับบานเปิดยูเนี่ยน สีอบขาว PBM #Hinge-04</t>
  </si>
  <si>
    <t>E017090903I3363000</t>
  </si>
  <si>
    <t>มุ้งไฟเบอร์ สีดำ 36 นิ้ว PBM</t>
  </si>
  <si>
    <t>E017120100L2020900</t>
  </si>
  <si>
    <t>แป้นรับล็อค 09มิล PBM #0202-09</t>
  </si>
  <si>
    <t>มือหมุน สีดำ บาร์โก้</t>
  </si>
  <si>
    <t>มือหมุน สีขาวอลู สามศร</t>
  </si>
  <si>
    <t>มือหมุน สีชา สามศร</t>
  </si>
  <si>
    <t>E032070503G3401500</t>
  </si>
  <si>
    <t>ชุดขาเกล็ด สามศร สีดำ 4x15</t>
  </si>
  <si>
    <t>E033040203D0021101</t>
  </si>
  <si>
    <t>EURO มือจับฝังบานเลื่อนล็อคซีเฟียล Multipoint lock สีดำ KL CIFIAL #ZTS211</t>
  </si>
  <si>
    <t>E033040203D0021102</t>
  </si>
  <si>
    <t>EURO มือจับฝังบานเลื่อนแบบมีกุญแจซีเฟียล Multipoint lock สีดำ KL CIFIAL #ZTS211S</t>
  </si>
  <si>
    <t>E033040203D0021103</t>
  </si>
  <si>
    <t>EURO มือจับฝังบานเลื่อนดัมมี่ซีเฟียล Multipoint lock สีดำ KL CIFIAL #ZTK11</t>
  </si>
  <si>
    <t>E033040204D0021101</t>
  </si>
  <si>
    <t>EURO มือจับฝังบานเลื่อนล็อคซีเฟียล Multipoint lock สีอบขาว KL CIFIAL #ZTS211</t>
  </si>
  <si>
    <t>E033040204D0021102</t>
  </si>
  <si>
    <t>EURO มือจับฝังบานเลื่อนแบบมีกุญแจซีเฟียล Multipoint lock สีอบขาว KL CIFIAL #ZTS211S</t>
  </si>
  <si>
    <t>E033040204D0021103</t>
  </si>
  <si>
    <t>EURO มือจับฝังบานเลื่อนดัมมี่ซีเฟียล Multipoint lock สีอบขาว KL CIFIAL #ZTK11</t>
  </si>
  <si>
    <t>BI-FOLD มือจับปากเป็ดบานเฟี้ยม สีดำ KL #T28D-L32</t>
  </si>
  <si>
    <t>BI-FOLD มือจับปากเป็ดบานเฟี้ยม สีอบขาว KL #T28D-L32</t>
  </si>
  <si>
    <t>E033050100E0018000</t>
  </si>
  <si>
    <t>เพลทรับล็อค KL #KMB180A</t>
  </si>
  <si>
    <t>E033050100E0323200</t>
  </si>
  <si>
    <t>ไส้กุญแจบานเปิด KL #KIL3232/T</t>
  </si>
  <si>
    <t>BI-FOLD รับล็อคกลอนบานเปิดคู่ KL #SK20</t>
  </si>
  <si>
    <t>ตลับกุญแจบานเปิด/บานเฟี้ยม Single lock KL #MSC32/II</t>
  </si>
  <si>
    <t>BI-FOLD กลอนบานเฟี้ยม สีดำ ยาว 50ซม. KL #SCX500</t>
  </si>
  <si>
    <t>E064020201B0120000</t>
  </si>
  <si>
    <t>โช้คอัพบานเลื่อนรางแขวน สีขาวอลู ขนาด 120 ซม. YOMA</t>
  </si>
  <si>
    <t>E064020201B0150000</t>
  </si>
  <si>
    <t>โช้คอัพบานเลื่อนรางแขวน สีขาวอลู ขนาด 150 ซม. YOMA</t>
  </si>
  <si>
    <t>E069141313L0007800</t>
  </si>
  <si>
    <t>สีสเปรย์พ่นอลูมิเนียม ลายไม้ #P78 ไม้สัก (Premier)</t>
  </si>
  <si>
    <t>E069141313L0011900</t>
  </si>
  <si>
    <t>สีสเปรย์พ่นอลูมิเนียม ลายไม้ #119 Light Oat (Premier)</t>
  </si>
  <si>
    <t>E089040204D1001900</t>
  </si>
  <si>
    <t>มือจับฝังมัลติพอยท์ล็อคดัมมี่ สีอบขาว CMECH-E010019-09</t>
  </si>
  <si>
    <t>E089040204D1002500</t>
  </si>
  <si>
    <t>มือจับฝังมัลติพอยท์ล็อคล็อคกุญแจ สีอบขาว CMECH E010025-09</t>
  </si>
  <si>
    <t>E089040204D1002600</t>
  </si>
  <si>
    <t>มือจับฝังมัลติพอยท์ล็อค สีอบขาว CMECH-E010026-09</t>
  </si>
  <si>
    <t>E099090905I3363000</t>
  </si>
  <si>
    <t>มุ้งไฟเบอร์ สีเทา 36 นิ้ว ตรา 3DI</t>
  </si>
  <si>
    <t>E099090905I3423000</t>
  </si>
  <si>
    <t>มุ้งไฟเบอร์ สีเทา 42 นิ้ว ตรา 3DI</t>
  </si>
  <si>
    <t>E099090905I3483000</t>
  </si>
  <si>
    <t>มุ้งไฟเบอร์ สีเทา 48 นิ้ว ตรา 3DI</t>
  </si>
  <si>
    <t>E099141303N4400000</t>
  </si>
  <si>
    <t>รีเวท 4-4 สีดำ ตรา 3DI</t>
  </si>
  <si>
    <t>E099141304N4400000</t>
  </si>
  <si>
    <t>รีเวท 4-4 สีอบขาว ตรา 3DI</t>
  </si>
  <si>
    <t>E099141306N4400000</t>
  </si>
  <si>
    <t>รีเวท 4-4 สีเทาซาฮาร่า ตรา 3DI</t>
  </si>
  <si>
    <t>E099141313N4400001</t>
  </si>
  <si>
    <t>รีเวท 4-4 สีไลท์โอ๊ค ตรา 3DI</t>
  </si>
  <si>
    <t>E099141313N4400002</t>
  </si>
  <si>
    <t>รีเวท 4-4 สีไม้สักทอง ตรา 3DI</t>
  </si>
  <si>
    <t>E099141313N4400003</t>
  </si>
  <si>
    <t>รีเวท 4-4 สีไม้สัก ตรา 3DI</t>
  </si>
  <si>
    <t>คีมย้ำรีเวท SRC รุ่น HR702 (เหล็ก) 3DI</t>
  </si>
  <si>
    <t>คีมย้ำรีเวท SRC รุ่น HR705 (อลูมิเนียม) 3DI</t>
  </si>
  <si>
    <t>E103040314D3011700</t>
  </si>
  <si>
    <t>มือจับสแตนเลส SMA รุ่น 117 (SUS304) ขนาด305*25*75</t>
  </si>
  <si>
    <t>Brand</t>
  </si>
  <si>
    <t>ยางอัดใหญ่ 05 สีชา TOP (ญ)</t>
  </si>
  <si>
    <t>มุมมุ้งประตู</t>
  </si>
  <si>
    <t>ข้อมุมมุ้งหน้าต่าง</t>
  </si>
  <si>
    <t>บานพับมุ้งประตู</t>
  </si>
  <si>
    <t>ลูกบิดมุ้ง</t>
  </si>
  <si>
    <t>แม่เหล็กมุ้งลวด ตัวใหญ่</t>
  </si>
  <si>
    <t>เหล็กในบาน</t>
  </si>
  <si>
    <t>ยางไส้ไก่ ,ยางอัดมุ้งบานเลื่อน</t>
  </si>
  <si>
    <t>ล้อบานเลื่อนรางแขวน</t>
  </si>
  <si>
    <t>ขอบิดบานแขวน , กุญแจรางแขวนขอสับ</t>
  </si>
  <si>
    <t>กุญแจบานสวิง</t>
  </si>
  <si>
    <t>มุมซิงค์ , มุมมุ้งหน้าต่าง</t>
  </si>
  <si>
    <t>4 ล้อเดียว GETON</t>
  </si>
  <si>
    <t>มือจับบานเลื่อนรางแขวน</t>
  </si>
  <si>
    <t>บานพับกระทุ้ง 18 นิ้ว</t>
  </si>
  <si>
    <t>ยางอัดมุ้งลวด</t>
  </si>
  <si>
    <t>กันชนแท่งสั้น</t>
  </si>
  <si>
    <t>ล้อรางหนีบ</t>
  </si>
  <si>
    <t>มือจับมุ้งประตู , มือจับคันธนู</t>
  </si>
  <si>
    <t>มือจับมุ้งบานเลื่อน ,มือจับพลาสติกคู่ ,มือจับแฝงเปล่า</t>
  </si>
  <si>
    <t>ตัวปิดหัวน็อต สีดำ</t>
  </si>
  <si>
    <t>ฉากกันน้ำฝน</t>
  </si>
  <si>
    <t xml:space="preserve">นอร์ตันเทป </t>
  </si>
  <si>
    <t>ใบเจียร</t>
  </si>
  <si>
    <t>น็อต 3 นิ้ว</t>
  </si>
  <si>
    <t>ใบขัดเงา 4นิ้ว , ใบขัดมัน</t>
  </si>
  <si>
    <t>E000</t>
  </si>
  <si>
    <t xml:space="preserve">ตัวหนีบกระจกสีส้ม หน้ากว้างครีบ Body 10" (ใช้กับเครน) </t>
  </si>
  <si>
    <t>E001020300B0000100</t>
  </si>
  <si>
    <t>ADM001 ชุดหางปลา (Diamond)</t>
  </si>
  <si>
    <t>E001020300B0000200</t>
  </si>
  <si>
    <t>ADM002 ชุดเดือยล่าง (Diamond)</t>
  </si>
  <si>
    <t>E001020300B0000300</t>
  </si>
  <si>
    <t>ADM003 ชุดฉาก (Diamond)</t>
  </si>
  <si>
    <t>E001020300B0000400</t>
  </si>
  <si>
    <t>ADM004 จุดหมุนยึดพื้นแบบขาเรียวสี่เหลี่ยม ไม่ใช้ธรณี(Diamond)</t>
  </si>
  <si>
    <t>E001020300B0000500</t>
  </si>
  <si>
    <t>ADM005  จุดหมุนยึดพื้น ทรงสามเหลี่ยม ไม่ใช้ธรณี (Diamond)</t>
  </si>
  <si>
    <t>E001020303B0020200</t>
  </si>
  <si>
    <t>โช๊คอัพประตูแขนสไลด์ 2ระบบ Diamond รุ่น TDM-DC202 รับน้ำหนักไม่เกิน 80-90kg. (ไม่ตั้งค้าง) สีดำด้าน</t>
  </si>
  <si>
    <t>E015020201B0150000</t>
  </si>
  <si>
    <t>โช้คอัพบานเลื่อนรางแขวน สีขาวอลู ขนาด 150 ซม. HOYA</t>
  </si>
  <si>
    <t>E064020201B0090000</t>
  </si>
  <si>
    <t>โช้คอัพบานเลื่อนรางแขวน สีขาวอลู ขนาด 90 ซม. YOMA</t>
  </si>
  <si>
    <t>E099090903I3363000</t>
  </si>
  <si>
    <t>มุ้งไฟเบอร์ สีดำ 36นิ้ว 3DI</t>
  </si>
  <si>
    <t>E099141301N4400000</t>
  </si>
  <si>
    <t>รีเวท 4-4 สีขาวอลู ตรา 3DI</t>
  </si>
  <si>
    <t>E099141302N4400000</t>
  </si>
  <si>
    <t>รีเวท 4-4 สีชา ตรา 3DI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</si>
  <si>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</si>
  <si>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</si>
  <si>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</si>
  <si>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</si>
  <si>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</si>
  <si>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</si>
  <si>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</si>
  <si>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</si>
  <si>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</si>
  <si>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</si>
  <si>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</si>
  <si>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</si>
  <si>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</si>
  <si>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</si>
  <si>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</si>
  <si>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E017</t>
  </si>
  <si>
    <t>E018</t>
  </si>
  <si>
    <t>E019</t>
  </si>
  <si>
    <t>E020</t>
  </si>
  <si>
    <t>E021</t>
  </si>
  <si>
    <t>E022</t>
  </si>
  <si>
    <t>E024</t>
  </si>
  <si>
    <t>E025</t>
  </si>
  <si>
    <t>E027</t>
  </si>
  <si>
    <t>E028</t>
  </si>
  <si>
    <t>E029</t>
  </si>
  <si>
    <t>E030</t>
  </si>
  <si>
    <t>E031</t>
  </si>
  <si>
    <t>E032</t>
  </si>
  <si>
    <t>E033</t>
  </si>
  <si>
    <t>E035</t>
  </si>
  <si>
    <t>E036</t>
  </si>
  <si>
    <t>E037</t>
  </si>
  <si>
    <t>E038</t>
  </si>
  <si>
    <t>E039</t>
  </si>
  <si>
    <t>E041</t>
  </si>
  <si>
    <t>E042</t>
  </si>
  <si>
    <t>E043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</si>
  <si>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</si>
  <si>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</si>
  <si>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</si>
  <si>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</si>
  <si>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</si>
  <si>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</si>
  <si>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</si>
  <si>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</si>
  <si>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</si>
  <si>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</si>
  <si>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</si>
  <si>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</si>
  <si>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</si>
  <si>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</si>
  <si>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</si>
  <si>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</si>
  <si>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</si>
  <si>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</si>
  <si>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</si>
  <si>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</si>
  <si>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</si>
  <si>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</si>
  <si>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</si>
  <si>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</si>
  <si>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</si>
  <si>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</si>
  <si>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</si>
  <si>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</si>
  <si>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</si>
  <si>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</si>
  <si>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</si>
  <si>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E077</t>
  </si>
  <si>
    <t>E079</t>
  </si>
  <si>
    <t>E080</t>
  </si>
  <si>
    <t>E081</t>
  </si>
  <si>
    <t>E082</t>
  </si>
  <si>
    <t>E083</t>
  </si>
  <si>
    <t>E084</t>
  </si>
  <si>
    <t>E085</t>
  </si>
  <si>
    <t>E086</t>
  </si>
  <si>
    <t>E088</t>
  </si>
  <si>
    <t>E089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</si>
  <si>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</si>
  <si>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</si>
  <si>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</si>
  <si>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</si>
  <si>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</si>
  <si>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</si>
  <si>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</si>
  <si>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</si>
  <si>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</si>
  <si>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</si>
  <si>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REก่อนVAT</t>
  </si>
  <si>
    <t>ส่วนลด</t>
  </si>
  <si>
    <t>25ชุด/ลัง</t>
  </si>
  <si>
    <t>ไม่ลงลัง</t>
  </si>
  <si>
    <t>บานพับกระทุ้ง 8 นิ้ว</t>
  </si>
  <si>
    <t>60ชุด/ลัง</t>
  </si>
  <si>
    <t>100ตัว/ถุง</t>
  </si>
  <si>
    <t>7กก./กระสอบ</t>
  </si>
  <si>
    <t>1000ตัว/ถุง</t>
  </si>
  <si>
    <t>Stock</t>
  </si>
  <si>
    <t>12ดอก/ห่อ</t>
  </si>
  <si>
    <t>1000ตัว/กล่อง</t>
  </si>
  <si>
    <t>50ใบ/กล่อง</t>
  </si>
  <si>
    <t>ขายปลีก</t>
  </si>
  <si>
    <t>144โหล/กล่อง</t>
  </si>
  <si>
    <t>ราคาตั้งรวมVAT</t>
  </si>
  <si>
    <t>ราคาตั้งถอดVAT</t>
  </si>
  <si>
    <t>Pakage Size
(ซื้อ)</t>
  </si>
  <si>
    <t>Pakage Size
(ขาย)</t>
  </si>
  <si>
    <t>5ตัว/ลัง</t>
  </si>
  <si>
    <t>10ม้วน/กระสอบ</t>
  </si>
  <si>
    <t>200ตัว/ลัง</t>
  </si>
  <si>
    <t>50ชุด/ลัง</t>
  </si>
  <si>
    <t>ตัวปิดหัวน็อต สีอบขาว</t>
  </si>
  <si>
    <t>ตัวปิดหัวน็อต สีเทk</t>
  </si>
  <si>
    <t xml:space="preserve"> </t>
  </si>
  <si>
    <t>500ตัว/ลัง</t>
  </si>
  <si>
    <t>10ชุด/ลัง</t>
  </si>
  <si>
    <t>12ชุด/ลัง</t>
  </si>
  <si>
    <t xml:space="preserve">Description </t>
  </si>
  <si>
    <t>100ตัว/ลัง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</si>
</sst>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7" formatCode="_-* #,##0.0000_-;\-* #,##0.0000_-;_-* &quot;-&quot;??_-;_-@_-"/>
    <numFmt numFmtId="173" formatCode="0.0000%"/>
  </numFmts>
  <fonts count="5" x14ac:knownFonts="1">
    <font>
      <sz val="1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43" fontId="0" fillId="0" borderId="0" xfId="5" applyFont="1"/>
    <xf numFmtId="0" fontId="0" fillId="0" borderId="0" xfId="5" applyNumberFormat="1" applyFont="1"/>
    <xf numFmtId="0" fontId="0" fillId="0" borderId="0" xfId="0" applyAlignment="1">
      <alignment horizontal="center"/>
    </xf>
    <xf numFmtId="10" fontId="0" fillId="0" borderId="0" xfId="6" applyNumberFormat="1" applyFont="1"/>
    <xf numFmtId="43" fontId="4" fillId="0" borderId="0" xfId="5" applyFont="1"/>
    <xf numFmtId="43" fontId="4" fillId="3" borderId="0" xfId="5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43" fontId="0" fillId="4" borderId="0" xfId="5" applyFont="1" applyFill="1"/>
    <xf numFmtId="0" fontId="0" fillId="4" borderId="0" xfId="5" applyNumberFormat="1" applyFont="1" applyFill="1"/>
    <xf numFmtId="10" fontId="0" fillId="4" borderId="0" xfId="6" applyNumberFormat="1" applyFont="1" applyFill="1"/>
    <xf numFmtId="10" fontId="4" fillId="3" borderId="0" xfId="6" applyNumberFormat="1" applyFont="1" applyFill="1"/>
    <xf numFmtId="10" fontId="0" fillId="3" borderId="0" xfId="6" applyNumberFormat="1" applyFont="1" applyFill="1"/>
    <xf numFmtId="10" fontId="4" fillId="0" borderId="0" xfId="6" applyNumberFormat="1" applyFont="1"/>
    <xf numFmtId="0" fontId="0" fillId="3" borderId="0" xfId="0" applyFill="1"/>
    <xf numFmtId="0" fontId="0" fillId="3" borderId="0" xfId="0" applyFill="1" applyAlignment="1">
      <alignment horizontal="center"/>
    </xf>
    <xf numFmtId="43" fontId="0" fillId="3" borderId="0" xfId="5" applyFont="1" applyFill="1"/>
    <xf numFmtId="167" fontId="0" fillId="0" borderId="0" xfId="5" applyNumberFormat="1" applyFont="1"/>
    <xf numFmtId="43" fontId="0" fillId="0" borderId="0" xfId="5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2" borderId="0" xfId="5" applyFont="1" applyFill="1" applyAlignment="1">
      <alignment horizontal="center" vertical="center"/>
    </xf>
    <xf numFmtId="10" fontId="0" fillId="2" borderId="0" xfId="6" applyNumberFormat="1" applyFont="1" applyFill="1" applyAlignment="1">
      <alignment horizontal="center" vertical="center"/>
    </xf>
    <xf numFmtId="167" fontId="0" fillId="2" borderId="0" xfId="5" applyNumberFormat="1" applyFont="1" applyFill="1" applyAlignment="1">
      <alignment horizontal="center" vertical="center"/>
    </xf>
    <xf numFmtId="43" fontId="0" fillId="0" borderId="0" xfId="5" applyFont="1" applyAlignment="1">
      <alignment horizontal="center" vertical="center"/>
    </xf>
    <xf numFmtId="43" fontId="0" fillId="4" borderId="0" xfId="5" applyFont="1" applyFill="1" applyAlignment="1">
      <alignment horizontal="center"/>
    </xf>
    <xf numFmtId="43" fontId="0" fillId="0" borderId="0" xfId="5" applyFont="1" applyFill="1" applyAlignment="1">
      <alignment horizontal="center"/>
    </xf>
    <xf numFmtId="43" fontId="0" fillId="3" borderId="0" xfId="5" applyFont="1" applyFill="1" applyAlignment="1">
      <alignment horizontal="center"/>
    </xf>
    <xf numFmtId="167" fontId="0" fillId="3" borderId="0" xfId="5" applyNumberFormat="1" applyFont="1" applyFill="1"/>
    <xf numFmtId="43" fontId="4" fillId="3" borderId="0" xfId="5" applyFont="1" applyFill="1" applyAlignment="1">
      <alignment horizontal="center"/>
    </xf>
    <xf numFmtId="0" fontId="0" fillId="3" borderId="0" xfId="5" applyNumberFormat="1" applyFont="1" applyFill="1"/>
    <xf numFmtId="0" fontId="0" fillId="0" borderId="0" xfId="0" applyAlignment="1">
      <alignment horizontal="center" vertical="center" wrapText="1"/>
    </xf>
    <xf numFmtId="49" fontId="0" fillId="0" borderId="0" xfId="5" applyNumberFormat="1" applyFont="1" applyAlignment="1">
      <alignment horizontal="right"/>
    </xf>
    <xf numFmtId="49" fontId="0" fillId="3" borderId="0" xfId="5" applyNumberFormat="1" applyFont="1" applyFill="1" applyAlignment="1">
      <alignment horizontal="right"/>
    </xf>
    <xf numFmtId="173" fontId="0" fillId="0" borderId="0" xfId="6" applyNumberFormat="1" applyFont="1"/>
  </cellXfs>
  <cellStyles count="7">
    <cellStyle name="Comma" xfId="5" builtinId="3"/>
    <cellStyle name="Comma 2" xfId="2" xr:uid="{9834348A-5DB3-4B78-B747-D72D6914CDD0}"/>
    <cellStyle name="Normal" xfId="0" builtinId="0"/>
    <cellStyle name="Normal 2" xfId="1" xr:uid="{5AF57282-B55B-4AFE-8EFB-28EE91567627}"/>
    <cellStyle name="Normal 2 2" xfId="4" xr:uid="{B41F2BC8-E951-47F1-859B-02E8B27611C1}"/>
    <cellStyle name="Percent" xfId="6" builtinId="5"/>
    <cellStyle name="Percent 2" xfId="3" xr:uid="{3B1F0AE1-91BA-4350-AC00-B8A8A0FCE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8/Desktop/&#3619;&#3634;&#3588;&#3634;MEMO/&#3611;&#3637;%202569/5/PM%20NG%20ACC%20Price%205_69%20P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8/Downloads/Invt.%20Analys%20by%20Dim.%20Matrix%20(14-05.69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-5-69%20&#3629;&#3640;&#3611;&#3585;&#3619;&#3603;&#3660;%20Format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แจ้งปรับราคา-เพิ่มสินค้า"/>
      <sheetName val="สรุปโปรโมชั่นเดือน 6"/>
      <sheetName val="สินค้าปรับราคาเดือน 4"/>
      <sheetName val="ACC-NA "/>
      <sheetName val="APN"/>
      <sheetName val="VVP"/>
      <sheetName val="RP"/>
      <sheetName val="PBM"/>
      <sheetName val="Hyda"/>
      <sheetName val="SPP"/>
      <sheetName val="Dee-p"/>
      <sheetName val="ธนัญกรฌ์"/>
      <sheetName val="333"/>
      <sheetName val="SPC"/>
      <sheetName val="555"/>
      <sheetName val="TL"/>
      <sheetName val="JARTON"/>
      <sheetName val="MASUTA"/>
      <sheetName val="TOP-KING"/>
      <sheetName val="Dorma"/>
      <sheetName val="ORM Asian Trop"/>
      <sheetName val="Kinlong"/>
      <sheetName val="Kingbo NS"/>
      <sheetName val="Cmech"/>
      <sheetName val="GSM EXTRA+EURO"/>
      <sheetName val="Inter thai"/>
      <sheetName val="ACC-NT"/>
      <sheetName val="ACC-NG"/>
      <sheetName val="TNG PRO"/>
      <sheetName val="แผ่นพลาสวูด"/>
      <sheetName val="มุ้งจีบ"/>
      <sheetName val="งานPJ"/>
      <sheetName val="Other"/>
      <sheetName val="Online"/>
      <sheetName val="Cenza(แม่น้ำ)"/>
      <sheetName val="EURO (เสนอราคา)"/>
      <sheetName val="EURO Stock"/>
      <sheetName val="GSM-EURO Extra"/>
      <sheetName val="GSM-EURO"/>
      <sheetName val="MT-EURO "/>
      <sheetName val="ก.กิจ HI-P ,LOX, Excel glazer"/>
      <sheetName val="GSM"/>
      <sheetName val="NEW Autodoor"/>
      <sheetName val="New Product SUS"/>
      <sheetName val="G-U"/>
      <sheetName val="VVP PJ"/>
      <sheetName val="บานสำเร็จ"/>
      <sheetName val="NEW ceiling ฝ้า "/>
    </sheetNames>
    <sheetDataSet>
      <sheetData sheetId="0"/>
      <sheetData sheetId="1"/>
      <sheetData sheetId="2"/>
      <sheetData sheetId="3">
        <row r="1">
          <cell r="B1" t="str">
            <v>Internal Memo</v>
          </cell>
          <cell r="D1" t="str">
            <v>สินค้ายกเลิกซื้อเพิ่ม
/ จัดโปรโล๊ะ
(ขายราคาเก่า ห้ามเติมสต็อก)</v>
          </cell>
          <cell r="E1" t="str">
            <v xml:space="preserve">สินค้าปรับราคา </v>
          </cell>
          <cell r="M1" t="str">
            <v>No. PM.E.2026.04.003</v>
          </cell>
        </row>
        <row r="2">
          <cell r="H2">
            <v>0</v>
          </cell>
          <cell r="M2" t="str">
            <v>Date  : 01/05/2569</v>
          </cell>
        </row>
        <row r="3">
          <cell r="B3" t="str">
            <v>To   :    ผู้จัดการเขต / ผู้จัดการสาขา</v>
          </cell>
          <cell r="D3" t="str">
            <v>สินค้า Pre-Order</v>
          </cell>
          <cell r="E3" t="str">
            <v>สินค้าใหม่</v>
          </cell>
        </row>
        <row r="4">
          <cell r="B4" t="str">
            <v>CC   :   ฝ่ายบัญชี / การเงิน  / จัดซื้อ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J5">
            <v>1.0417000000000001</v>
          </cell>
          <cell r="K5">
            <v>1.075234</v>
          </cell>
          <cell r="L5">
            <v>1.1111200000000001</v>
          </cell>
          <cell r="M5">
            <v>1.17652</v>
          </cell>
          <cell r="N5">
            <v>1.25</v>
          </cell>
        </row>
        <row r="6">
          <cell r="J6" t="str">
            <v>ค้าส่งรายใหญ่</v>
          </cell>
          <cell r="K6" t="str">
            <v>ค้าส่งรายใหญ่</v>
          </cell>
          <cell r="L6" t="str">
            <v>ค้าส่งทั่วไป</v>
          </cell>
          <cell r="M6" t="str">
            <v>ร้านค้าทั่วไป</v>
          </cell>
          <cell r="N6" t="str">
            <v>ขายปลีก</v>
          </cell>
        </row>
        <row r="7">
          <cell r="B7" t="str">
            <v>รหัส</v>
          </cell>
          <cell r="C7" t="str">
            <v>รายการ</v>
          </cell>
          <cell r="D7" t="str">
            <v>สี</v>
          </cell>
          <cell r="E7" t="str">
            <v>บรรจุ/หมายเหตุ</v>
          </cell>
          <cell r="F7" t="str">
            <v>ราคาตั้ง</v>
          </cell>
          <cell r="G7" t="str">
            <v>RE 
ก่อนVAT</v>
          </cell>
          <cell r="H7" t="str">
            <v>ทุน
รวม VAT</v>
          </cell>
          <cell r="J7" t="str">
            <v>SDM</v>
          </cell>
          <cell r="K7" t="str">
            <v>W1</v>
          </cell>
          <cell r="L7" t="str">
            <v>W2</v>
          </cell>
          <cell r="M7" t="str">
            <v>R1</v>
          </cell>
          <cell r="N7" t="str">
            <v>R2</v>
          </cell>
        </row>
        <row r="8">
          <cell r="B8" t="str">
            <v>รหัส</v>
          </cell>
          <cell r="C8" t="str">
            <v>ยาง ยี่ห้อ PS</v>
          </cell>
          <cell r="D8" t="str">
            <v>สี</v>
          </cell>
          <cell r="E8" t="str">
            <v>บรรจุ/หมายเหตุ</v>
          </cell>
          <cell r="F8" t="str">
            <v>ราคาตั้ง</v>
          </cell>
          <cell r="G8" t="str">
            <v>RE 
ก่อนVAT</v>
          </cell>
          <cell r="H8" t="str">
            <v>ทุน
รวม VAT</v>
          </cell>
          <cell r="J8" t="str">
            <v>SDM</v>
          </cell>
          <cell r="K8" t="str">
            <v>W1</v>
          </cell>
          <cell r="L8" t="str">
            <v>W2</v>
          </cell>
          <cell r="M8" t="str">
            <v>R1</v>
          </cell>
          <cell r="N8" t="str">
            <v>R2</v>
          </cell>
        </row>
        <row r="9">
          <cell r="B9" t="str">
            <v>E002010203A0102201,
E002010204A0102201,
E002010205A0102201</v>
          </cell>
          <cell r="C9" t="str">
            <v>ยางบานเลื่อน 2 หุน 01 สีดำ TOP</v>
          </cell>
          <cell r="D9" t="str">
            <v>และทุกสี (เน้นขายสีดำ)</v>
          </cell>
          <cell r="E9" t="str">
            <v>ม้วน / 22.5 เมตร</v>
          </cell>
          <cell r="G9">
            <v>89.6</v>
          </cell>
          <cell r="H9">
            <v>95.872</v>
          </cell>
          <cell r="J9">
            <v>100</v>
          </cell>
          <cell r="K9">
            <v>103</v>
          </cell>
          <cell r="L9">
            <v>105</v>
          </cell>
          <cell r="M9">
            <v>110</v>
          </cell>
          <cell r="N9">
            <v>115</v>
          </cell>
        </row>
        <row r="10">
          <cell r="B10" t="str">
            <v>E002010203A0202201,
E002010204A0202201,
E002010205A0202201</v>
          </cell>
          <cell r="C10" t="str">
            <v>ยางบานเลื่อน 1 1/2 หุน 02 สีดำ TOP</v>
          </cell>
          <cell r="D10" t="str">
            <v>และทุกสี (เน้นขายสีดำ)</v>
          </cell>
          <cell r="E10" t="str">
            <v>ม้วน / 22.5 เมตร</v>
          </cell>
          <cell r="G10">
            <v>89.6</v>
          </cell>
          <cell r="H10">
            <v>95.872</v>
          </cell>
          <cell r="J10">
            <v>100</v>
          </cell>
          <cell r="K10">
            <v>103</v>
          </cell>
          <cell r="L10">
            <v>105</v>
          </cell>
          <cell r="M10">
            <v>110</v>
          </cell>
          <cell r="N10">
            <v>115</v>
          </cell>
        </row>
        <row r="11">
          <cell r="B11" t="str">
            <v>E002010003A0402501,
E002010004A0402501,
E002010005A0402501</v>
          </cell>
          <cell r="C11" t="str">
            <v>ยางเดิน 04 สีดำ TOP</v>
          </cell>
          <cell r="D11" t="str">
            <v>และทุกสี (เน้นขายสีดำ)</v>
          </cell>
          <cell r="E11" t="str">
            <v>ม้วน / 25 เมตร</v>
          </cell>
          <cell r="G11">
            <v>84</v>
          </cell>
          <cell r="H11">
            <v>89.88000000000001</v>
          </cell>
          <cell r="J11">
            <v>94</v>
          </cell>
          <cell r="K11">
            <v>96</v>
          </cell>
          <cell r="L11">
            <v>98</v>
          </cell>
          <cell r="M11">
            <v>100</v>
          </cell>
          <cell r="N11">
            <v>105</v>
          </cell>
        </row>
        <row r="12">
          <cell r="B12" t="str">
            <v>E002010003A0502501,
E002010004A0502501,
E002010005A0502501</v>
          </cell>
          <cell r="C12" t="str">
            <v>ยางอัดใหญ่ 05 สีดำ TOP</v>
          </cell>
          <cell r="D12" t="str">
            <v>และทุกสี (เน้นขายสีดำ)</v>
          </cell>
          <cell r="E12" t="str">
            <v>ม้วน / 25 เมตร</v>
          </cell>
          <cell r="G12">
            <v>78.400000000000006</v>
          </cell>
          <cell r="H12">
            <v>83.888000000000005</v>
          </cell>
          <cell r="J12">
            <v>88</v>
          </cell>
          <cell r="K12">
            <v>90</v>
          </cell>
          <cell r="L12">
            <v>92</v>
          </cell>
          <cell r="M12">
            <v>94</v>
          </cell>
          <cell r="N12">
            <v>98</v>
          </cell>
        </row>
        <row r="13">
          <cell r="B13" t="str">
            <v>E002010003A0602501,
E002010004A0602501,
E002010005A0602501</v>
          </cell>
          <cell r="C13" t="str">
            <v>ยางอัดเล็ก 06 สีดำ TOP</v>
          </cell>
          <cell r="D13" t="str">
            <v>และทุกสี (เน้นขายสีดำ)</v>
          </cell>
          <cell r="E13" t="str">
            <v>ม้วน / 25 เมตร</v>
          </cell>
          <cell r="G13">
            <v>61.6</v>
          </cell>
          <cell r="H13">
            <v>65.912000000000006</v>
          </cell>
          <cell r="J13">
            <v>69</v>
          </cell>
          <cell r="K13">
            <v>72</v>
          </cell>
          <cell r="L13">
            <v>74</v>
          </cell>
          <cell r="M13">
            <v>76</v>
          </cell>
          <cell r="N13">
            <v>78</v>
          </cell>
        </row>
        <row r="14">
          <cell r="B14" t="str">
            <v>E002010903A0702501,
E002010904A0702501,
E002010905A0702501</v>
          </cell>
          <cell r="C14" t="str">
            <v>ยางอัดมุ้งไฟเบอร์ 07 สีดำ TOP</v>
          </cell>
          <cell r="D14" t="str">
            <v>และทุกสี (เน้นขายสีดำ)</v>
          </cell>
          <cell r="E14" t="str">
            <v>ม้วน / 25 เมตร</v>
          </cell>
          <cell r="G14">
            <v>28</v>
          </cell>
          <cell r="H14">
            <v>29.96</v>
          </cell>
          <cell r="J14">
            <v>31.5</v>
          </cell>
          <cell r="K14">
            <v>32</v>
          </cell>
          <cell r="L14">
            <v>34</v>
          </cell>
          <cell r="M14">
            <v>36</v>
          </cell>
          <cell r="N14">
            <v>36.5</v>
          </cell>
        </row>
        <row r="15">
          <cell r="B15" t="str">
            <v>E002010003A1302501,
E002010004A1302501,
E002010005A1302501</v>
          </cell>
          <cell r="C15" t="str">
            <v xml:space="preserve">ยางอัดจิ๋ว 13 สีดำ TOP </v>
          </cell>
          <cell r="D15" t="str">
            <v>และทุกสี (เน้นขายสีดำ)</v>
          </cell>
          <cell r="E15" t="str">
            <v>ม้วน / 25 เมตร</v>
          </cell>
          <cell r="G15">
            <v>56</v>
          </cell>
          <cell r="H15">
            <v>59.92</v>
          </cell>
          <cell r="J15">
            <v>62.5</v>
          </cell>
          <cell r="K15">
            <v>64</v>
          </cell>
          <cell r="L15">
            <v>66</v>
          </cell>
          <cell r="M15">
            <v>68</v>
          </cell>
          <cell r="N15">
            <v>70</v>
          </cell>
        </row>
        <row r="16">
          <cell r="B16" t="str">
            <v>E002010903A1001201,
E002010904A1001201,
E002010905A1001201</v>
          </cell>
          <cell r="C16" t="str">
            <v>ยางกันยุง 10 สีดำ TOP</v>
          </cell>
          <cell r="D16" t="str">
            <v>และทุกสี (เน้นขายสีดำ)</v>
          </cell>
          <cell r="E16" t="str">
            <v>ม้วน / 12.5 เมตร</v>
          </cell>
          <cell r="G16">
            <v>70</v>
          </cell>
          <cell r="H16">
            <v>74.900000000000006</v>
          </cell>
          <cell r="J16">
            <v>79</v>
          </cell>
          <cell r="K16">
            <v>81</v>
          </cell>
          <cell r="L16">
            <v>82</v>
          </cell>
          <cell r="M16">
            <v>85</v>
          </cell>
          <cell r="N16">
            <v>88</v>
          </cell>
        </row>
        <row r="17">
          <cell r="B17" t="str">
            <v>E002010003A1502501,
E002010004A1502501,
E002010005A1502501</v>
          </cell>
          <cell r="C17" t="str">
            <v>ยางอัดใหญ่ 1.25 หุน 15 สีดำ TOP</v>
          </cell>
          <cell r="D17" t="str">
            <v>และทุกสี (เน้นขายสีดำ)</v>
          </cell>
          <cell r="E17" t="str">
            <v>ม้วน / 25 เมตร</v>
          </cell>
          <cell r="G17">
            <v>112</v>
          </cell>
          <cell r="H17">
            <v>119.84</v>
          </cell>
          <cell r="J17">
            <v>125</v>
          </cell>
          <cell r="K17">
            <v>130</v>
          </cell>
          <cell r="L17">
            <v>133</v>
          </cell>
          <cell r="M17">
            <v>135</v>
          </cell>
          <cell r="N17">
            <v>140</v>
          </cell>
        </row>
        <row r="18">
          <cell r="B18" t="str">
            <v>E002010603A1202501</v>
          </cell>
          <cell r="C18" t="str">
            <v>ยางอัดลูกโป่งฐานนิ่ม 12 สีดำ TOP ฐาน 5.1 มิล โป่ง 6มิล</v>
          </cell>
          <cell r="D18" t="str">
            <v>และทุกสี (เน้นขายสีดำ)</v>
          </cell>
          <cell r="E18" t="str">
            <v>ม้วน / 25 เมตร</v>
          </cell>
          <cell r="G18">
            <v>95</v>
          </cell>
          <cell r="H18">
            <v>101.65</v>
          </cell>
          <cell r="J18">
            <v>106</v>
          </cell>
          <cell r="K18">
            <v>110</v>
          </cell>
          <cell r="L18">
            <v>112</v>
          </cell>
          <cell r="M18">
            <v>115</v>
          </cell>
          <cell r="N18">
            <v>120</v>
          </cell>
        </row>
        <row r="19">
          <cell r="B19" t="str">
            <v>E002010603A1202500</v>
          </cell>
          <cell r="C19" t="str">
            <v>ยางอัดลูกโป่งฐานแข็ง 12P (ปีกส้ม) สีดำ TOP ฐาน 4.9มิล โป่ง6.5</v>
          </cell>
          <cell r="D19" t="str">
            <v>สีดำ</v>
          </cell>
          <cell r="E19" t="str">
            <v>ม้วน / 25 เมตร</v>
          </cell>
          <cell r="G19">
            <v>105</v>
          </cell>
          <cell r="H19">
            <v>112.35000000000001</v>
          </cell>
          <cell r="J19">
            <v>118</v>
          </cell>
          <cell r="K19">
            <v>123</v>
          </cell>
          <cell r="L19">
            <v>125</v>
          </cell>
          <cell r="M19">
            <v>128</v>
          </cell>
          <cell r="N19">
            <v>130</v>
          </cell>
        </row>
        <row r="20">
          <cell r="B20" t="str">
            <v>รหัส</v>
          </cell>
          <cell r="C20" t="str">
            <v>ยางอัดแข็ง</v>
          </cell>
          <cell r="D20" t="str">
            <v>สี</v>
          </cell>
          <cell r="E20" t="str">
            <v>บรรจุ/หมายเหตุ</v>
          </cell>
          <cell r="F20" t="str">
            <v>ราคาตั้ง</v>
          </cell>
          <cell r="G20" t="str">
            <v>RE 
ก่อนVAT</v>
          </cell>
          <cell r="H20" t="str">
            <v>ทุน
รวม VAT</v>
          </cell>
          <cell r="J20" t="str">
            <v>SDM</v>
          </cell>
          <cell r="K20" t="str">
            <v>W1</v>
          </cell>
          <cell r="L20" t="str">
            <v>W2</v>
          </cell>
          <cell r="M20" t="str">
            <v>R1</v>
          </cell>
          <cell r="N20" t="str">
            <v>R2</v>
          </cell>
        </row>
        <row r="21">
          <cell r="B21" t="str">
            <v>E008010903A2601701</v>
          </cell>
          <cell r="C21" t="str">
            <v>ยางอัดหน้าต่าง สีดำ PS</v>
          </cell>
          <cell r="D21" t="str">
            <v>สีดำ</v>
          </cell>
          <cell r="E21" t="str">
            <v>ม้วน / 17 เมตร</v>
          </cell>
          <cell r="G21">
            <v>37</v>
          </cell>
          <cell r="H21">
            <v>39.590000000000003</v>
          </cell>
          <cell r="J21">
            <v>42</v>
          </cell>
          <cell r="K21">
            <v>43</v>
          </cell>
          <cell r="L21">
            <v>45</v>
          </cell>
          <cell r="M21">
            <v>47</v>
          </cell>
          <cell r="N21">
            <v>50</v>
          </cell>
        </row>
        <row r="22">
          <cell r="B22" t="str">
            <v>E011010907A2601801</v>
          </cell>
          <cell r="C22" t="str">
            <v>ยางอัดหน้าต่าง เทา/ดำ (ตราช้าง)</v>
          </cell>
          <cell r="D22" t="str">
            <v xml:space="preserve"> เทา/ดำ</v>
          </cell>
          <cell r="E22" t="str">
            <v>ม้วน /18 เมตร</v>
          </cell>
          <cell r="G22">
            <v>31</v>
          </cell>
          <cell r="H22">
            <v>33.17</v>
          </cell>
          <cell r="J22">
            <v>35</v>
          </cell>
          <cell r="K22">
            <v>36</v>
          </cell>
          <cell r="L22">
            <v>37</v>
          </cell>
          <cell r="M22">
            <v>40</v>
          </cell>
          <cell r="N22">
            <v>42</v>
          </cell>
        </row>
        <row r="23">
          <cell r="B23" t="str">
            <v>E011010909A2601801</v>
          </cell>
          <cell r="C23" t="str">
            <v>ยางอัดหน้าต่าง ชา/ดำ (ตราช้าง)</v>
          </cell>
          <cell r="D23" t="str">
            <v xml:space="preserve"> สีชา/ดำ</v>
          </cell>
          <cell r="E23" t="str">
            <v>ม้วน /18 เมตร</v>
          </cell>
          <cell r="G23">
            <v>31</v>
          </cell>
          <cell r="H23">
            <v>33.17</v>
          </cell>
          <cell r="J23">
            <v>35</v>
          </cell>
          <cell r="K23">
            <v>36</v>
          </cell>
          <cell r="L23">
            <v>37</v>
          </cell>
          <cell r="M23">
            <v>40</v>
          </cell>
          <cell r="N23">
            <v>42</v>
          </cell>
        </row>
        <row r="24">
          <cell r="B24" t="str">
            <v>E012010907A2601801</v>
          </cell>
          <cell r="C24" t="str">
            <v>ยางอัดหน้าต่าง เทา/ดำ (ตราหมี)</v>
          </cell>
          <cell r="D24" t="str">
            <v xml:space="preserve"> เทา/ดำ</v>
          </cell>
          <cell r="E24" t="str">
            <v>ม้วน /17.5 เมตร</v>
          </cell>
          <cell r="G24">
            <v>39</v>
          </cell>
          <cell r="H24">
            <v>41.730000000000004</v>
          </cell>
          <cell r="J24">
            <v>44</v>
          </cell>
          <cell r="K24">
            <v>45</v>
          </cell>
          <cell r="L24">
            <v>47</v>
          </cell>
          <cell r="M24">
            <v>50</v>
          </cell>
          <cell r="N24">
            <v>53</v>
          </cell>
        </row>
        <row r="25">
          <cell r="B25" t="str">
            <v>E012010909A2601801</v>
          </cell>
          <cell r="C25" t="str">
            <v>ยางอัดหน้าต่าง ชา/ดำ (ตราหมี)</v>
          </cell>
          <cell r="D25" t="str">
            <v xml:space="preserve"> สีชา/ดำ</v>
          </cell>
          <cell r="E25" t="str">
            <v>ม้วน /17.5 เมตร</v>
          </cell>
          <cell r="G25">
            <v>39</v>
          </cell>
          <cell r="H25">
            <v>41.730000000000004</v>
          </cell>
          <cell r="J25">
            <v>44</v>
          </cell>
          <cell r="K25">
            <v>45</v>
          </cell>
          <cell r="L25">
            <v>47</v>
          </cell>
          <cell r="M25">
            <v>50</v>
          </cell>
          <cell r="N25">
            <v>53</v>
          </cell>
        </row>
        <row r="26">
          <cell r="B26" t="str">
            <v>N/A</v>
          </cell>
          <cell r="C26" t="str">
            <v>ยางอัดหน้าต่าง ดำล้วน (SMA)</v>
          </cell>
          <cell r="D26" t="str">
            <v>ดำล้วน (คละ500ม้วนส่งBS)</v>
          </cell>
          <cell r="E26" t="str">
            <v>ม้วน/20เมตร</v>
          </cell>
          <cell r="G26">
            <v>23</v>
          </cell>
          <cell r="H26">
            <v>24.610000000000003</v>
          </cell>
          <cell r="J26">
            <v>26</v>
          </cell>
          <cell r="K26">
            <v>28</v>
          </cell>
          <cell r="L26">
            <v>30</v>
          </cell>
          <cell r="M26">
            <v>35</v>
          </cell>
          <cell r="N26">
            <v>38</v>
          </cell>
        </row>
        <row r="27">
          <cell r="B27" t="str">
            <v>N/A</v>
          </cell>
          <cell r="C27" t="str">
            <v>ยางอัดหน้าต่าง เทา/ดำ (SMA)</v>
          </cell>
          <cell r="D27" t="str">
            <v xml:space="preserve"> เทา/ดำ (คละ500ม้วนส่งBS)</v>
          </cell>
          <cell r="E27" t="str">
            <v>ม้วน/20เมตร</v>
          </cell>
          <cell r="G27">
            <v>23</v>
          </cell>
          <cell r="H27">
            <v>24.610000000000003</v>
          </cell>
          <cell r="J27">
            <v>26</v>
          </cell>
          <cell r="K27">
            <v>28</v>
          </cell>
          <cell r="L27">
            <v>30</v>
          </cell>
          <cell r="M27">
            <v>35</v>
          </cell>
          <cell r="N27">
            <v>38</v>
          </cell>
        </row>
        <row r="28">
          <cell r="B28" t="str">
            <v>N/A</v>
          </cell>
          <cell r="C28" t="str">
            <v>ยางอัดหน้าต่าง ชา/ดำ (SMA)</v>
          </cell>
          <cell r="D28" t="str">
            <v xml:space="preserve"> ชา/ดำ (คละ500ม้วนส่งBS)</v>
          </cell>
          <cell r="E28" t="str">
            <v>ม้วน/20เมตร</v>
          </cell>
          <cell r="G28">
            <v>23</v>
          </cell>
          <cell r="H28">
            <v>24.610000000000003</v>
          </cell>
          <cell r="J28">
            <v>26</v>
          </cell>
          <cell r="K28">
            <v>28</v>
          </cell>
          <cell r="L28">
            <v>30</v>
          </cell>
          <cell r="M28">
            <v>35</v>
          </cell>
          <cell r="N28">
            <v>38</v>
          </cell>
        </row>
        <row r="29">
          <cell r="B29" t="str">
            <v>รหัส</v>
          </cell>
          <cell r="C29" t="str">
            <v>ยางแพ๊ค ( Re-Pack)</v>
          </cell>
          <cell r="D29" t="str">
            <v>สี</v>
          </cell>
          <cell r="E29" t="str">
            <v>บรรจุ/หมายเหตุ</v>
          </cell>
          <cell r="F29" t="str">
            <v>ราคาตั้ง</v>
          </cell>
          <cell r="G29" t="str">
            <v>RE 
ก่อนVAT</v>
          </cell>
          <cell r="H29" t="str">
            <v>ทุน
รวม VAT</v>
          </cell>
          <cell r="J29" t="str">
            <v>SDM</v>
          </cell>
          <cell r="K29" t="str">
            <v>W1</v>
          </cell>
          <cell r="L29" t="str">
            <v>W2</v>
          </cell>
          <cell r="M29" t="str">
            <v>R1</v>
          </cell>
          <cell r="N29" t="str">
            <v>R2</v>
          </cell>
        </row>
        <row r="30">
          <cell r="B30" t="str">
            <v>E008060203F6000000</v>
          </cell>
          <cell r="C30" t="str">
            <v>ยางอุดรูบานเลื่อน สีดำ                                         (RE-PACK 100ตัว/ถุง)</v>
          </cell>
          <cell r="D30" t="str">
            <v>ชา/ดำ/เทา</v>
          </cell>
          <cell r="E30" t="str">
            <v>1,000ตัว/ถุง  (ราคา/ตัว)</v>
          </cell>
          <cell r="G30">
            <v>0.2</v>
          </cell>
          <cell r="H30">
            <v>0.21400000000000002</v>
          </cell>
          <cell r="J30">
            <v>0.25</v>
          </cell>
          <cell r="K30">
            <v>0.28000000000000003</v>
          </cell>
          <cell r="L30">
            <v>0.3</v>
          </cell>
          <cell r="M30">
            <v>0.35</v>
          </cell>
          <cell r="N30">
            <v>0.4</v>
          </cell>
        </row>
        <row r="31">
          <cell r="B31" t="str">
            <v>E008060204F6000000</v>
          </cell>
          <cell r="C31" t="str">
            <v>ยางอุดรูบานเลื่อน สีอบขาว                                   (RE-PACK 100ตัว/ถุง)</v>
          </cell>
          <cell r="D31" t="str">
            <v>อบขาว</v>
          </cell>
          <cell r="E31" t="str">
            <v>1,000ตัว/ถุง (ราคา/ตัว)</v>
          </cell>
          <cell r="G31">
            <v>0.21</v>
          </cell>
          <cell r="H31">
            <v>0.22470000000000001</v>
          </cell>
          <cell r="J31">
            <v>0.25</v>
          </cell>
          <cell r="K31">
            <v>0.28000000000000003</v>
          </cell>
          <cell r="L31">
            <v>0.3</v>
          </cell>
          <cell r="M31">
            <v>0.35</v>
          </cell>
          <cell r="N31">
            <v>0.4</v>
          </cell>
        </row>
        <row r="32">
          <cell r="B32" t="str">
            <v>E008060203F3100000</v>
          </cell>
          <cell r="C32" t="str">
            <v>ยางกันชนเหลี่ยม 1 นิ้ว สีดำ                                 (RE-PACK 10ตัว/ถุง)</v>
          </cell>
          <cell r="D32" t="str">
            <v>ชา/ดำ/เทา</v>
          </cell>
          <cell r="E32" t="str">
            <v>100ตัว/ถุง (ราคา/ตัว)</v>
          </cell>
          <cell r="G32">
            <v>1.4</v>
          </cell>
          <cell r="H32">
            <v>1.498</v>
          </cell>
          <cell r="J32">
            <v>1.7</v>
          </cell>
          <cell r="K32">
            <v>1.8</v>
          </cell>
          <cell r="L32">
            <v>2</v>
          </cell>
          <cell r="M32">
            <v>2.25</v>
          </cell>
          <cell r="N32">
            <v>2.5</v>
          </cell>
        </row>
        <row r="33">
          <cell r="B33" t="str">
            <v>E008060204F3100000</v>
          </cell>
          <cell r="C33" t="str">
            <v>ยางกันชนเหลี่ยม 1 นิ้ว สีอบขาว                           (RE-PACK 10ตัว/ถุง)</v>
          </cell>
          <cell r="D33" t="str">
            <v>อบขาว</v>
          </cell>
          <cell r="E33" t="str">
            <v>100ตัว/ถุง (ราคา/ตัว)</v>
          </cell>
          <cell r="G33">
            <v>1.9</v>
          </cell>
          <cell r="H33">
            <v>2.0329999999999999</v>
          </cell>
          <cell r="J33">
            <v>2.25</v>
          </cell>
          <cell r="K33">
            <v>2.5</v>
          </cell>
          <cell r="L33">
            <v>2.75</v>
          </cell>
          <cell r="M33">
            <v>3</v>
          </cell>
          <cell r="N33">
            <v>3.5</v>
          </cell>
        </row>
        <row r="34">
          <cell r="B34" t="str">
            <v>E008060203F2150000</v>
          </cell>
          <cell r="C34" t="str">
            <v>ยางกันชนกลมสั้น 1-1/2 นิ้ว สีดำ</v>
          </cell>
          <cell r="D34" t="str">
            <v>ชา/ดำ/เทา</v>
          </cell>
          <cell r="E34" t="str">
            <v>100ตัว/ถุง (ราคา/ตัว)</v>
          </cell>
          <cell r="G34">
            <v>1.4</v>
          </cell>
          <cell r="H34">
            <v>1.498</v>
          </cell>
          <cell r="J34">
            <v>1.75</v>
          </cell>
          <cell r="K34">
            <v>1.85</v>
          </cell>
          <cell r="L34">
            <v>2</v>
          </cell>
          <cell r="M34">
            <v>2.25</v>
          </cell>
          <cell r="N34">
            <v>2.5</v>
          </cell>
        </row>
        <row r="35">
          <cell r="B35" t="str">
            <v>E008060204F2150000</v>
          </cell>
          <cell r="C35" t="str">
            <v>ยางกันชนกลมสั้น 1-1/2 นิ้ว สีอบขาว                     (RE-PACK 10ตัว/ถุง)</v>
          </cell>
          <cell r="D35" t="str">
            <v>อบขาว</v>
          </cell>
          <cell r="E35" t="str">
            <v>100ตัว/ถุง (ราคา/ตัว)</v>
          </cell>
          <cell r="G35">
            <v>1.9</v>
          </cell>
          <cell r="H35">
            <v>2.0329999999999999</v>
          </cell>
          <cell r="J35">
            <v>2.25</v>
          </cell>
          <cell r="K35">
            <v>2.5</v>
          </cell>
          <cell r="L35">
            <v>2.75</v>
          </cell>
          <cell r="M35">
            <v>3</v>
          </cell>
          <cell r="N35">
            <v>3.5</v>
          </cell>
        </row>
        <row r="36">
          <cell r="B36" t="str">
            <v>E008060203F1200000</v>
          </cell>
          <cell r="C36" t="str">
            <v>ยางกันชนกลมยาว 2 นิ้ว สีดำ                               (RE-PACK 10ตัว/ถุง)</v>
          </cell>
          <cell r="D36" t="str">
            <v>ชา/ดำ/เทา</v>
          </cell>
          <cell r="E36" t="str">
            <v>100ตัว/ถุง (ราคา/ตัว)</v>
          </cell>
          <cell r="G36">
            <v>1.95</v>
          </cell>
          <cell r="H36">
            <v>2.0865</v>
          </cell>
          <cell r="J36">
            <v>2.25</v>
          </cell>
          <cell r="K36">
            <v>2.5</v>
          </cell>
          <cell r="L36">
            <v>2.75</v>
          </cell>
          <cell r="M36">
            <v>3</v>
          </cell>
          <cell r="N36">
            <v>3.5</v>
          </cell>
        </row>
        <row r="37">
          <cell r="B37" t="str">
            <v>E008060204F1200000</v>
          </cell>
          <cell r="C37" t="str">
            <v>ยางกันชนกลมยาว 2 นิ้ว สีอบขาว                         (RE-PACK 10ตัว/ถุง)</v>
          </cell>
          <cell r="D37" t="str">
            <v>อบขาว</v>
          </cell>
          <cell r="E37" t="str">
            <v>100ตัว/ถุง (ราคา/ตัว)</v>
          </cell>
          <cell r="G37">
            <v>2.4</v>
          </cell>
          <cell r="H37">
            <v>2.5680000000000001</v>
          </cell>
          <cell r="J37">
            <v>2.85</v>
          </cell>
          <cell r="K37">
            <v>3</v>
          </cell>
          <cell r="L37">
            <v>3.5</v>
          </cell>
          <cell r="M37">
            <v>4</v>
          </cell>
          <cell r="N37">
            <v>4.25</v>
          </cell>
        </row>
        <row r="38">
          <cell r="B38" t="str">
            <v>E008060203F5000000</v>
          </cell>
          <cell r="C38" t="str">
            <v>ยางล็อคเสาเกี่ยว สีดำ                                         (RE-PACK 10ตัว/ถุง)</v>
          </cell>
          <cell r="D38" t="str">
            <v>ชา/ดำ/เทา</v>
          </cell>
          <cell r="E38" t="str">
            <v>100ตัว/ถุง (ราคา/ตัว)</v>
          </cell>
          <cell r="G38">
            <v>2.9</v>
          </cell>
          <cell r="H38">
            <v>3.1030000000000002</v>
          </cell>
          <cell r="J38">
            <v>3.5</v>
          </cell>
          <cell r="K38">
            <v>3.75</v>
          </cell>
          <cell r="L38">
            <v>4</v>
          </cell>
          <cell r="M38">
            <v>4.5</v>
          </cell>
          <cell r="N38">
            <v>5</v>
          </cell>
        </row>
        <row r="39">
          <cell r="B39" t="str">
            <v>E008060204F5000000</v>
          </cell>
          <cell r="C39" t="str">
            <v>ยางล็อคเสาเกี่ยว สีอบขาว                                  (RE-PACK 10ตัว/ถุง)</v>
          </cell>
          <cell r="D39" t="str">
            <v>อบขาว</v>
          </cell>
          <cell r="E39" t="str">
            <v>100ตัว/ถุง (ราคา/ตัว)</v>
          </cell>
          <cell r="G39">
            <v>2.9</v>
          </cell>
          <cell r="H39">
            <v>3.1030000000000002</v>
          </cell>
          <cell r="J39">
            <v>3.5</v>
          </cell>
          <cell r="K39">
            <v>3.75</v>
          </cell>
          <cell r="L39">
            <v>4</v>
          </cell>
          <cell r="M39">
            <v>4.5</v>
          </cell>
          <cell r="N39">
            <v>5</v>
          </cell>
        </row>
        <row r="40">
          <cell r="B40" t="str">
            <v>E015060203F4000000</v>
          </cell>
          <cell r="C40" t="str">
            <v>ยางไกด์รางแขวน สีดำ                                        (RE-PACK 1 ตัว/ถุง)</v>
          </cell>
          <cell r="D40" t="str">
            <v>สีดำ</v>
          </cell>
          <cell r="E40" t="str">
            <v>300ชุด/ลัง (ราคา/ตัว)</v>
          </cell>
          <cell r="G40">
            <v>6.08</v>
          </cell>
          <cell r="H40">
            <v>6.5056000000000003</v>
          </cell>
          <cell r="J40">
            <v>7</v>
          </cell>
          <cell r="K40">
            <v>7</v>
          </cell>
          <cell r="L40">
            <v>7.5</v>
          </cell>
          <cell r="M40">
            <v>9.5</v>
          </cell>
          <cell r="N40">
            <v>10</v>
          </cell>
        </row>
        <row r="41">
          <cell r="B41" t="str">
            <v>รหัส</v>
          </cell>
          <cell r="C41" t="str">
            <v>ยาง ยี่ห้อ SPP</v>
          </cell>
          <cell r="D41" t="str">
            <v>สี</v>
          </cell>
          <cell r="E41" t="str">
            <v>บรรจุ/หมายเหตุ</v>
          </cell>
          <cell r="F41" t="str">
            <v>ราคาตั้ง</v>
          </cell>
          <cell r="G41" t="str">
            <v>RE 
ก่อนVAT</v>
          </cell>
          <cell r="H41" t="str">
            <v>ทุน
รวม VAT</v>
          </cell>
          <cell r="J41" t="str">
            <v>SDM</v>
          </cell>
          <cell r="K41" t="str">
            <v>W1</v>
          </cell>
          <cell r="L41" t="str">
            <v>W2</v>
          </cell>
          <cell r="M41" t="str">
            <v>R1</v>
          </cell>
          <cell r="N41" t="str">
            <v>R2</v>
          </cell>
        </row>
        <row r="42">
          <cell r="B42" t="str">
            <v>E010010203A0102501</v>
          </cell>
          <cell r="C42" t="str">
            <v>ยางบานเลื่อน 2 หุน 01 สีดำ SPP</v>
          </cell>
          <cell r="D42" t="str">
            <v>ม้วน/25เมตร : 30ม้วน/ถุง</v>
          </cell>
          <cell r="E42" t="str">
            <v>ม้วน/25เมตร : 30ม้วน/ถุง</v>
          </cell>
          <cell r="G42">
            <v>62.803699999999999</v>
          </cell>
          <cell r="H42">
            <v>67.199959000000007</v>
          </cell>
          <cell r="J42">
            <v>73</v>
          </cell>
          <cell r="K42">
            <v>73.5</v>
          </cell>
          <cell r="L42">
            <v>77</v>
          </cell>
          <cell r="M42">
            <v>80</v>
          </cell>
          <cell r="N42">
            <v>83</v>
          </cell>
        </row>
        <row r="43">
          <cell r="B43" t="str">
            <v>E010010203A0202501</v>
          </cell>
          <cell r="C43" t="str">
            <v>ยางบานเลื่อน 1 1/2 หุน 02 สีดำ SPP</v>
          </cell>
          <cell r="D43" t="str">
            <v>ม้วน/25เมตร : 30ม้วน/ถุง</v>
          </cell>
          <cell r="E43" t="str">
            <v>ม้วน/25เมตร : 30ม้วน/ถุง</v>
          </cell>
          <cell r="G43">
            <v>62.803699999999999</v>
          </cell>
          <cell r="H43">
            <v>67.199959000000007</v>
          </cell>
          <cell r="J43">
            <v>73</v>
          </cell>
          <cell r="K43">
            <v>73.5</v>
          </cell>
          <cell r="L43">
            <v>77</v>
          </cell>
          <cell r="M43">
            <v>80</v>
          </cell>
          <cell r="N43">
            <v>83</v>
          </cell>
        </row>
        <row r="44">
          <cell r="B44" t="str">
            <v>E010010003A0402501</v>
          </cell>
          <cell r="C44" t="str">
            <v>ยางเดิน 04 สีดำ SPP</v>
          </cell>
          <cell r="D44" t="str">
            <v>ม้วน/25เมตร : 30ม้วน/ถุง</v>
          </cell>
          <cell r="E44" t="str">
            <v>ม้วน/25เมตร : 30ม้วน/ถุง</v>
          </cell>
          <cell r="G44">
            <v>58.878500000000003</v>
          </cell>
          <cell r="H44">
            <v>62.999995000000006</v>
          </cell>
          <cell r="J44">
            <v>68</v>
          </cell>
          <cell r="K44">
            <v>69</v>
          </cell>
          <cell r="L44">
            <v>71</v>
          </cell>
          <cell r="M44">
            <v>74</v>
          </cell>
          <cell r="N44">
            <v>80</v>
          </cell>
        </row>
        <row r="45">
          <cell r="B45" t="str">
            <v>E010010003A0502501</v>
          </cell>
          <cell r="C45" t="str">
            <v>ยางอัดใหญ่ 05 สีดำ SPP</v>
          </cell>
          <cell r="D45" t="str">
            <v>ม้วน/25เมตร : 30ม้วน/ถุง</v>
          </cell>
          <cell r="E45" t="str">
            <v>ม้วน/25เมตร : 30ม้วน/ถุง</v>
          </cell>
          <cell r="G45">
            <v>54.953299999999999</v>
          </cell>
          <cell r="H45">
            <v>58.800031000000004</v>
          </cell>
          <cell r="J45">
            <v>63</v>
          </cell>
          <cell r="K45">
            <v>65</v>
          </cell>
          <cell r="L45">
            <v>67</v>
          </cell>
          <cell r="M45">
            <v>70</v>
          </cell>
          <cell r="N45">
            <v>75</v>
          </cell>
        </row>
        <row r="46">
          <cell r="B46" t="str">
            <v>E010010003A0602301</v>
          </cell>
          <cell r="C46" t="str">
            <v>ยางอัดเล็ก 06 สีดำ SPP</v>
          </cell>
          <cell r="D46" t="str">
            <v>ม้วน/ 23.5เมตร : 40ม้วน</v>
          </cell>
          <cell r="E46" t="str">
            <v>ม้วน/ 23.5เมตร :</v>
          </cell>
          <cell r="G46">
            <v>43.177599999999998</v>
          </cell>
          <cell r="H46">
            <v>46.200032</v>
          </cell>
          <cell r="J46">
            <v>50</v>
          </cell>
          <cell r="K46">
            <v>51</v>
          </cell>
          <cell r="L46">
            <v>53</v>
          </cell>
          <cell r="M46">
            <v>54</v>
          </cell>
          <cell r="N46">
            <v>58</v>
          </cell>
        </row>
        <row r="47">
          <cell r="B47" t="str">
            <v>E010010903A0702601</v>
          </cell>
          <cell r="C47" t="str">
            <v>ยางอัดมุ้ง-เล็ก 07 สีดำ SPP</v>
          </cell>
          <cell r="D47" t="str">
            <v>ม้วน/ 26.5เมตร : 50ม้วน</v>
          </cell>
          <cell r="E47" t="str">
            <v>ม้วน/ 26.5เมตร :</v>
          </cell>
          <cell r="G47">
            <v>19.626200000000001</v>
          </cell>
          <cell r="H47">
            <v>21.000034000000003</v>
          </cell>
          <cell r="J47">
            <v>22.5</v>
          </cell>
          <cell r="K47">
            <v>23</v>
          </cell>
          <cell r="L47">
            <v>24</v>
          </cell>
          <cell r="M47">
            <v>25</v>
          </cell>
          <cell r="N47">
            <v>26</v>
          </cell>
        </row>
        <row r="48">
          <cell r="B48" t="str">
            <v>E010010003A1302101</v>
          </cell>
          <cell r="C48" t="str">
            <v>ยางอัดจิ๋ว 13  สีดำ  SPP</v>
          </cell>
          <cell r="D48" t="str">
            <v>ม้วน/ 21.6เมตร : 50ม้วน</v>
          </cell>
          <cell r="E48" t="str">
            <v>ม้วน/ 21.6เมตร :</v>
          </cell>
          <cell r="G48">
            <v>39.252299999999998</v>
          </cell>
          <cell r="H48">
            <v>41.999960999999999</v>
          </cell>
          <cell r="J48">
            <v>45</v>
          </cell>
          <cell r="K48">
            <v>46</v>
          </cell>
          <cell r="L48">
            <v>48</v>
          </cell>
          <cell r="M48">
            <v>49</v>
          </cell>
          <cell r="N48">
            <v>53</v>
          </cell>
        </row>
        <row r="49">
          <cell r="B49" t="str">
            <v>E010010903A1001301</v>
          </cell>
          <cell r="C49" t="str">
            <v>ยางกันยุง 10 สีดำ SPP</v>
          </cell>
          <cell r="D49" t="str">
            <v>ม้วน/  13.9 เมตร : 30ม้วน</v>
          </cell>
          <cell r="E49" t="str">
            <v>ม้วน/  13.9 เมตร :</v>
          </cell>
          <cell r="G49">
            <v>49.065399999999997</v>
          </cell>
          <cell r="H49">
            <v>52.499977999999999</v>
          </cell>
          <cell r="J49">
            <v>56</v>
          </cell>
          <cell r="K49">
            <v>58</v>
          </cell>
          <cell r="L49">
            <v>60</v>
          </cell>
          <cell r="M49">
            <v>62</v>
          </cell>
          <cell r="N49">
            <v>65</v>
          </cell>
        </row>
        <row r="50">
          <cell r="B50" t="str">
            <v>E010010003A1502301</v>
          </cell>
          <cell r="C50" t="str">
            <v>ยางอัดยักษ์ 1.25 หุน 15 สีดำ SPP</v>
          </cell>
          <cell r="D50" t="str">
            <v>ม้วน/  23.8 เมตร : 25ม้วน</v>
          </cell>
          <cell r="E50" t="str">
            <v>ม้วน/  23.8 เมตร :</v>
          </cell>
          <cell r="G50">
            <v>78.5047</v>
          </cell>
          <cell r="H50">
            <v>84.000028999999998</v>
          </cell>
          <cell r="J50">
            <v>90</v>
          </cell>
          <cell r="K50">
            <v>92</v>
          </cell>
          <cell r="L50">
            <v>96</v>
          </cell>
          <cell r="M50">
            <v>98</v>
          </cell>
          <cell r="N50">
            <v>105</v>
          </cell>
        </row>
        <row r="51">
          <cell r="B51" t="str">
            <v>E010010603A1202601</v>
          </cell>
          <cell r="C51" t="str">
            <v>ยางลูกโป่งฐานนิ่ม 12  สีดำ SPP</v>
          </cell>
          <cell r="D51" t="str">
            <v>ม้วน/ 26.2เมตร : 40ม้วน</v>
          </cell>
          <cell r="E51" t="str">
            <v>ม้วน/ 26.2เมตร :</v>
          </cell>
          <cell r="G51">
            <v>49.065399999999997</v>
          </cell>
          <cell r="H51">
            <v>52.499977999999999</v>
          </cell>
          <cell r="J51">
            <v>56</v>
          </cell>
          <cell r="K51">
            <v>58</v>
          </cell>
          <cell r="L51">
            <v>60</v>
          </cell>
          <cell r="M51">
            <v>62</v>
          </cell>
          <cell r="N51">
            <v>68</v>
          </cell>
        </row>
        <row r="52">
          <cell r="B52" t="str">
            <v>E010010603Z1202501</v>
          </cell>
          <cell r="C52" t="str">
            <v>ยางอัดลูกโป่งฐานแข็ง #12 (ปีกขาว) สีดำ SPP</v>
          </cell>
          <cell r="D52" t="str">
            <v>ม้วน/ -เมตร : 25ม้วน</v>
          </cell>
          <cell r="G52">
            <v>70.989999999999995</v>
          </cell>
          <cell r="H52">
            <v>75.959299999999999</v>
          </cell>
          <cell r="J52">
            <v>80</v>
          </cell>
          <cell r="K52">
            <v>83</v>
          </cell>
          <cell r="L52">
            <v>85</v>
          </cell>
          <cell r="M52">
            <v>90</v>
          </cell>
          <cell r="N52">
            <v>95</v>
          </cell>
        </row>
        <row r="53">
          <cell r="B53" t="str">
            <v>N/A</v>
          </cell>
          <cell r="C53" t="str">
            <v>ยางอัดหน้าต่าง เทา-ดำ SPP</v>
          </cell>
          <cell r="D53" t="str">
            <v>ดำ</v>
          </cell>
          <cell r="G53">
            <v>29</v>
          </cell>
          <cell r="H53">
            <v>31.03</v>
          </cell>
          <cell r="J53">
            <v>32.5</v>
          </cell>
          <cell r="K53">
            <v>33</v>
          </cell>
          <cell r="L53">
            <v>34</v>
          </cell>
          <cell r="M53">
            <v>35</v>
          </cell>
          <cell r="N53">
            <v>38</v>
          </cell>
        </row>
        <row r="54">
          <cell r="B54" t="str">
            <v>รหัส</v>
          </cell>
          <cell r="C54" t="str">
            <v>ยาง ยี่ห้อ SMP</v>
          </cell>
          <cell r="D54" t="str">
            <v>สี</v>
          </cell>
          <cell r="E54" t="str">
            <v>บรรจุ/หมายเหตุ</v>
          </cell>
          <cell r="F54" t="str">
            <v>ราคาตั้ง</v>
          </cell>
          <cell r="G54" t="str">
            <v>RE 
ก่อนVAT</v>
          </cell>
          <cell r="H54" t="str">
            <v>ทุน
รวม VAT</v>
          </cell>
          <cell r="J54" t="str">
            <v>SDM</v>
          </cell>
          <cell r="K54" t="str">
            <v>W1</v>
          </cell>
          <cell r="L54" t="str">
            <v>W2</v>
          </cell>
          <cell r="M54" t="str">
            <v>R1</v>
          </cell>
          <cell r="N54" t="str">
            <v>R2</v>
          </cell>
        </row>
        <row r="55">
          <cell r="B55" t="str">
            <v>E009010203A0102501</v>
          </cell>
          <cell r="C55" t="str">
            <v>ยางบานเลื่อน 2 หุน 01  SMP-4001</v>
          </cell>
          <cell r="D55" t="str">
            <v>ชา/เทา/ดำ</v>
          </cell>
          <cell r="E55" t="str">
            <v>ม้วน/25เมตร</v>
          </cell>
          <cell r="G55">
            <v>78.400000000000006</v>
          </cell>
          <cell r="H55">
            <v>83.888000000000005</v>
          </cell>
          <cell r="J55">
            <v>87.5</v>
          </cell>
          <cell r="K55">
            <v>89</v>
          </cell>
          <cell r="L55">
            <v>92</v>
          </cell>
          <cell r="M55">
            <v>95</v>
          </cell>
          <cell r="N55">
            <v>98</v>
          </cell>
        </row>
        <row r="56">
          <cell r="B56" t="str">
            <v>E009010203A0202501</v>
          </cell>
          <cell r="C56" t="str">
            <v>ยางบานเลื่อน 1 1/2 หุน 02  SMP-4002</v>
          </cell>
          <cell r="D56" t="str">
            <v>ชา/เทา/ดำ</v>
          </cell>
          <cell r="E56" t="str">
            <v>ม้วน/25เมตร</v>
          </cell>
          <cell r="G56">
            <v>78.400000000000006</v>
          </cell>
          <cell r="H56">
            <v>83.888000000000005</v>
          </cell>
          <cell r="J56">
            <v>87.5</v>
          </cell>
          <cell r="K56">
            <v>89</v>
          </cell>
          <cell r="L56">
            <v>92</v>
          </cell>
          <cell r="M56">
            <v>95</v>
          </cell>
          <cell r="N56">
            <v>98</v>
          </cell>
        </row>
        <row r="57">
          <cell r="B57" t="str">
            <v>E009010203A0105001</v>
          </cell>
          <cell r="C57" t="str">
            <v>ยางบานเลื่อน 2 หุน 01 สีดำ SMP (50 ม.)</v>
          </cell>
          <cell r="D57" t="str">
            <v>ชา/เทา/ดำ</v>
          </cell>
          <cell r="E57" t="str">
            <v>50เมตร/ม้วน</v>
          </cell>
          <cell r="G57">
            <v>156.80000000000001</v>
          </cell>
          <cell r="H57">
            <v>167.77600000000001</v>
          </cell>
          <cell r="J57">
            <v>175</v>
          </cell>
          <cell r="K57">
            <v>180</v>
          </cell>
          <cell r="L57">
            <v>185</v>
          </cell>
          <cell r="M57">
            <v>190</v>
          </cell>
          <cell r="N57">
            <v>205</v>
          </cell>
        </row>
        <row r="58">
          <cell r="B58" t="str">
            <v>E009010003A0402501</v>
          </cell>
          <cell r="C58" t="str">
            <v>ยางเดิน 04  SMP-4004</v>
          </cell>
          <cell r="D58" t="str">
            <v>ชา/เทา/ดำ</v>
          </cell>
          <cell r="E58" t="str">
            <v>ม้วน/25เมตร</v>
          </cell>
          <cell r="G58">
            <v>73.5</v>
          </cell>
          <cell r="H58">
            <v>78.64500000000001</v>
          </cell>
          <cell r="J58">
            <v>82</v>
          </cell>
          <cell r="K58">
            <v>85</v>
          </cell>
          <cell r="L58">
            <v>88</v>
          </cell>
          <cell r="M58">
            <v>92</v>
          </cell>
          <cell r="N58">
            <v>95</v>
          </cell>
        </row>
        <row r="59">
          <cell r="B59" t="str">
            <v>E009010003A0502501</v>
          </cell>
          <cell r="C59" t="str">
            <v>ยางอัดใหญ่ 05  SMP-4005</v>
          </cell>
          <cell r="D59" t="str">
            <v>ชา/เทา/ดำ</v>
          </cell>
          <cell r="E59" t="str">
            <v>ม้วน/25เมตร</v>
          </cell>
          <cell r="G59">
            <v>68.599999999999994</v>
          </cell>
          <cell r="H59">
            <v>73.402000000000001</v>
          </cell>
          <cell r="J59">
            <v>77</v>
          </cell>
          <cell r="K59">
            <v>80</v>
          </cell>
          <cell r="L59">
            <v>82</v>
          </cell>
          <cell r="M59">
            <v>85</v>
          </cell>
          <cell r="N59">
            <v>90</v>
          </cell>
        </row>
        <row r="60">
          <cell r="B60" t="str">
            <v>E009010003A0602501</v>
          </cell>
          <cell r="C60" t="str">
            <v>ยางอัดเล็ก 06 สีดำ SMP</v>
          </cell>
          <cell r="D60" t="str">
            <v>ชา/เทา/ดำ</v>
          </cell>
          <cell r="E60" t="str">
            <v>ม้วน/25เมตร</v>
          </cell>
          <cell r="G60">
            <v>53.9</v>
          </cell>
          <cell r="H60">
            <v>57.673000000000002</v>
          </cell>
          <cell r="J60">
            <v>61</v>
          </cell>
          <cell r="K60">
            <v>63</v>
          </cell>
          <cell r="L60">
            <v>65</v>
          </cell>
          <cell r="M60">
            <v>68</v>
          </cell>
          <cell r="N60">
            <v>70</v>
          </cell>
        </row>
        <row r="61">
          <cell r="B61" t="str">
            <v>E009010903A0702501</v>
          </cell>
          <cell r="C61" t="str">
            <v>ยางอัดมุ้งไฟเบอร์ 07  SMP-4007</v>
          </cell>
          <cell r="D61" t="str">
            <v>ชา/เทา/ดำ</v>
          </cell>
          <cell r="E61" t="str">
            <v>ม้วน/25เมตร</v>
          </cell>
          <cell r="G61">
            <v>24.5</v>
          </cell>
          <cell r="H61">
            <v>26.215</v>
          </cell>
          <cell r="J61">
            <v>27.5</v>
          </cell>
          <cell r="K61">
            <v>28.5</v>
          </cell>
          <cell r="L61">
            <v>29.5</v>
          </cell>
          <cell r="M61">
            <v>31</v>
          </cell>
          <cell r="N61">
            <v>32</v>
          </cell>
        </row>
        <row r="62">
          <cell r="B62" t="str">
            <v>N/A</v>
          </cell>
          <cell r="C62" t="str">
            <v>ยางอัดมุ้งไฟเบอร์เส้นใหญ่ 08  SMP-4008</v>
          </cell>
          <cell r="D62" t="str">
            <v>ชา/เทา/ดำ</v>
          </cell>
          <cell r="E62" t="str">
            <v>ม้วน/25เมตร</v>
          </cell>
          <cell r="G62">
            <v>63.25</v>
          </cell>
          <cell r="H62">
            <v>67.677500000000009</v>
          </cell>
          <cell r="J62">
            <v>70.499651750000012</v>
          </cell>
          <cell r="K62">
            <v>72.769149035000012</v>
          </cell>
          <cell r="L62">
            <v>75.197823800000023</v>
          </cell>
          <cell r="M62">
            <v>79.623932300000007</v>
          </cell>
          <cell r="N62">
            <v>84.596875000000011</v>
          </cell>
        </row>
        <row r="63">
          <cell r="B63" t="str">
            <v>E009010903A1001301</v>
          </cell>
          <cell r="C63" t="str">
            <v>ยางกันยุง 10  SMP-4010</v>
          </cell>
          <cell r="D63" t="str">
            <v>ชา/เทา/ดำ</v>
          </cell>
          <cell r="E63" t="str">
            <v>ม้วน/13เมตร</v>
          </cell>
          <cell r="G63">
            <v>61.25</v>
          </cell>
          <cell r="H63">
            <v>65.537500000000009</v>
          </cell>
          <cell r="J63">
            <v>69</v>
          </cell>
          <cell r="K63">
            <v>71.5</v>
          </cell>
          <cell r="L63">
            <v>73</v>
          </cell>
          <cell r="M63">
            <v>77</v>
          </cell>
          <cell r="N63">
            <v>79</v>
          </cell>
        </row>
        <row r="64">
          <cell r="B64" t="str">
            <v>E009010603A1202501</v>
          </cell>
          <cell r="C64" t="str">
            <v>ยางอัดลูกโป่ง 12  SMP-4012</v>
          </cell>
          <cell r="D64" t="str">
            <v>ชา/เทา/ดำ</v>
          </cell>
          <cell r="E64" t="str">
            <v>ม้วน/25เมตร</v>
          </cell>
          <cell r="G64">
            <v>61.25</v>
          </cell>
          <cell r="H64">
            <v>65.537500000000009</v>
          </cell>
          <cell r="J64">
            <v>69</v>
          </cell>
          <cell r="K64">
            <v>71.5</v>
          </cell>
          <cell r="L64">
            <v>73</v>
          </cell>
          <cell r="M64">
            <v>77</v>
          </cell>
          <cell r="N64">
            <v>79</v>
          </cell>
        </row>
        <row r="65">
          <cell r="B65" t="str">
            <v>E009010003A1302201</v>
          </cell>
          <cell r="C65" t="str">
            <v>ยางอัดจิ๋ว 13  SMP-4013</v>
          </cell>
          <cell r="D65" t="str">
            <v>ชา/เทา/ดำ</v>
          </cell>
          <cell r="E65" t="str">
            <v>ม้วน/25เมตร</v>
          </cell>
          <cell r="G65">
            <v>49</v>
          </cell>
          <cell r="H65">
            <v>52.43</v>
          </cell>
          <cell r="J65">
            <v>55</v>
          </cell>
          <cell r="K65">
            <v>57</v>
          </cell>
          <cell r="L65">
            <v>59</v>
          </cell>
          <cell r="M65">
            <v>62</v>
          </cell>
          <cell r="N65">
            <v>64</v>
          </cell>
        </row>
        <row r="66">
          <cell r="B66" t="str">
            <v>E009010003A1502501</v>
          </cell>
          <cell r="C66" t="str">
            <v>ยางอัดใหญ่ 1.25 หุน  SMP-4015  (ยางอัดยักษ์)</v>
          </cell>
          <cell r="D66" t="str">
            <v>ชา/เทา/ดำ</v>
          </cell>
          <cell r="E66" t="str">
            <v>ม้วน/25เมตร</v>
          </cell>
          <cell r="G66">
            <v>98</v>
          </cell>
          <cell r="H66">
            <v>104.86</v>
          </cell>
          <cell r="J66">
            <v>110</v>
          </cell>
          <cell r="K66">
            <v>113</v>
          </cell>
          <cell r="L66">
            <v>117</v>
          </cell>
          <cell r="M66">
            <v>120</v>
          </cell>
          <cell r="N66">
            <v>125</v>
          </cell>
        </row>
        <row r="67">
          <cell r="B67" t="str">
            <v>E009010907A2601801</v>
          </cell>
          <cell r="C67" t="str">
            <v>ยางอัดแข็งสีเทา-ดำ SMP4026 (กระสอบละ 30ม้วน)</v>
          </cell>
          <cell r="D67" t="str">
            <v>เทา-ดำ</v>
          </cell>
          <cell r="E67" t="str">
            <v>กระสอบละ30ม้วน</v>
          </cell>
          <cell r="G67">
            <v>22.5</v>
          </cell>
          <cell r="H67">
            <v>24.075000000000003</v>
          </cell>
          <cell r="J67">
            <v>25.5</v>
          </cell>
          <cell r="K67">
            <v>26</v>
          </cell>
          <cell r="L67">
            <v>27</v>
          </cell>
          <cell r="M67">
            <v>28.5</v>
          </cell>
          <cell r="N67">
            <v>30</v>
          </cell>
        </row>
        <row r="68">
          <cell r="B68" t="str">
            <v>E009010909A2601801</v>
          </cell>
          <cell r="C68" t="str">
            <v>ยางอัดแข็งสีชา-ดำ SMP4026 (กระสอบละ 30ม้วน)</v>
          </cell>
          <cell r="D68" t="str">
            <v>ชา-ดำ</v>
          </cell>
          <cell r="E68" t="str">
            <v>กระสอบละ30ม้วน</v>
          </cell>
          <cell r="G68">
            <v>22.5</v>
          </cell>
          <cell r="H68">
            <v>24.075000000000003</v>
          </cell>
          <cell r="J68">
            <v>25.5</v>
          </cell>
          <cell r="K68">
            <v>26</v>
          </cell>
          <cell r="L68">
            <v>27</v>
          </cell>
          <cell r="M68">
            <v>28.5</v>
          </cell>
          <cell r="N68">
            <v>30</v>
          </cell>
        </row>
        <row r="69">
          <cell r="B69" t="str">
            <v>E009010204A0102501</v>
          </cell>
          <cell r="C69" t="str">
            <v>ยางบานเลื่อน 2 หุน 01 สีอบขาว SMP-4001</v>
          </cell>
          <cell r="D69" t="str">
            <v>สีอบขาว</v>
          </cell>
          <cell r="E69" t="str">
            <v>ม้วน/25เมตร</v>
          </cell>
          <cell r="G69">
            <v>84.8</v>
          </cell>
          <cell r="H69">
            <v>90.736000000000004</v>
          </cell>
          <cell r="J69">
            <v>95</v>
          </cell>
          <cell r="K69">
            <v>97.5</v>
          </cell>
          <cell r="L69">
            <v>100</v>
          </cell>
          <cell r="M69">
            <v>105</v>
          </cell>
          <cell r="N69">
            <v>110</v>
          </cell>
        </row>
        <row r="70">
          <cell r="B70" t="str">
            <v>NAN0000</v>
          </cell>
          <cell r="C70" t="str">
            <v>ยางบานเลื่อน 1 1/2 หุน 02 สีอบขาว SMP-4002</v>
          </cell>
          <cell r="E70" t="str">
            <v>ม้วน/25เมตร</v>
          </cell>
          <cell r="G70">
            <v>84.8</v>
          </cell>
          <cell r="H70">
            <v>90.736000000000004</v>
          </cell>
          <cell r="J70">
            <v>95</v>
          </cell>
          <cell r="K70">
            <v>97.5</v>
          </cell>
          <cell r="L70">
            <v>100</v>
          </cell>
          <cell r="M70">
            <v>105</v>
          </cell>
          <cell r="N70">
            <v>110</v>
          </cell>
        </row>
        <row r="71">
          <cell r="B71" t="str">
            <v>E009010004A0402501</v>
          </cell>
          <cell r="C71" t="str">
            <v>ยางเดิน 04 สีอบขาว SMP-4004</v>
          </cell>
          <cell r="E71" t="str">
            <v>ม้วน/25เมตร</v>
          </cell>
          <cell r="G71">
            <v>79.5</v>
          </cell>
          <cell r="H71">
            <v>85.065000000000012</v>
          </cell>
          <cell r="J71">
            <v>89</v>
          </cell>
          <cell r="K71">
            <v>91</v>
          </cell>
          <cell r="L71">
            <v>94</v>
          </cell>
          <cell r="M71">
            <v>100</v>
          </cell>
          <cell r="N71">
            <v>103</v>
          </cell>
        </row>
        <row r="72">
          <cell r="B72" t="str">
            <v>NAN0000</v>
          </cell>
          <cell r="C72" t="str">
            <v>ยางอัดใหญ่ 05 สีอบขาว SMP-4005</v>
          </cell>
          <cell r="E72" t="str">
            <v>ม้วน/25เมตร</v>
          </cell>
          <cell r="G72">
            <v>74.2</v>
          </cell>
          <cell r="H72">
            <v>79.394000000000005</v>
          </cell>
          <cell r="J72">
            <v>83</v>
          </cell>
          <cell r="K72">
            <v>85</v>
          </cell>
          <cell r="L72">
            <v>88</v>
          </cell>
          <cell r="M72">
            <v>92</v>
          </cell>
          <cell r="N72">
            <v>95</v>
          </cell>
        </row>
        <row r="73">
          <cell r="B73" t="str">
            <v>NAN0000</v>
          </cell>
          <cell r="C73" t="str">
            <v>ยางอัดเล็ก 06 สีอบขาว SMP-4006</v>
          </cell>
          <cell r="E73" t="str">
            <v>ม้วน/25เมตร</v>
          </cell>
          <cell r="G73">
            <v>58.3</v>
          </cell>
          <cell r="H73">
            <v>62.381</v>
          </cell>
          <cell r="J73">
            <v>65</v>
          </cell>
          <cell r="K73">
            <v>67</v>
          </cell>
          <cell r="L73">
            <v>69</v>
          </cell>
          <cell r="M73">
            <v>72</v>
          </cell>
          <cell r="N73">
            <v>76</v>
          </cell>
        </row>
        <row r="74">
          <cell r="B74" t="str">
            <v>E009010904A0702501</v>
          </cell>
          <cell r="C74" t="str">
            <v>ยางอัดมุ้งไฟเบอร์ 07 สีอบขาว SMP-4007</v>
          </cell>
          <cell r="E74" t="str">
            <v>ม้วน/25เมตร</v>
          </cell>
          <cell r="G74">
            <v>26.5</v>
          </cell>
          <cell r="H74">
            <v>28.355</v>
          </cell>
          <cell r="J74">
            <v>30</v>
          </cell>
          <cell r="K74">
            <v>31</v>
          </cell>
          <cell r="L74">
            <v>32</v>
          </cell>
          <cell r="M74">
            <v>34</v>
          </cell>
          <cell r="N74">
            <v>35</v>
          </cell>
        </row>
        <row r="75">
          <cell r="B75" t="str">
            <v>E009010904A1001301</v>
          </cell>
          <cell r="C75" t="str">
            <v>ยางกันยุง 10 สีอบขาว SMP-4010</v>
          </cell>
          <cell r="E75" t="str">
            <v>ม้วน/13เมตร</v>
          </cell>
          <cell r="G75">
            <v>66.25</v>
          </cell>
          <cell r="H75">
            <v>70.887500000000003</v>
          </cell>
          <cell r="J75">
            <v>74</v>
          </cell>
          <cell r="K75">
            <v>76.5</v>
          </cell>
          <cell r="L75">
            <v>78.5</v>
          </cell>
          <cell r="M75">
            <v>82</v>
          </cell>
          <cell r="N75">
            <v>86</v>
          </cell>
        </row>
        <row r="76">
          <cell r="B76" t="str">
            <v>NAN0000</v>
          </cell>
          <cell r="C76" t="str">
            <v>ยางอัดลูกโป่ง 12  สีอบขาว SMP-4012</v>
          </cell>
          <cell r="E76" t="str">
            <v>ม้วน/25เมตร</v>
          </cell>
          <cell r="G76">
            <v>66.25</v>
          </cell>
          <cell r="H76">
            <v>70.887500000000003</v>
          </cell>
          <cell r="J76">
            <v>74</v>
          </cell>
          <cell r="K76">
            <v>76.5</v>
          </cell>
          <cell r="L76">
            <v>78.5</v>
          </cell>
          <cell r="M76">
            <v>82</v>
          </cell>
          <cell r="N76">
            <v>86</v>
          </cell>
        </row>
        <row r="77">
          <cell r="B77" t="str">
            <v>NAN0000</v>
          </cell>
          <cell r="C77" t="str">
            <v>ยางอัดจิ๋ว 13  สีอบขาว SMP-4013</v>
          </cell>
          <cell r="E77" t="str">
            <v>ม้วน/25เมตร</v>
          </cell>
          <cell r="G77">
            <v>53</v>
          </cell>
          <cell r="H77">
            <v>56.71</v>
          </cell>
          <cell r="J77">
            <v>59.5</v>
          </cell>
          <cell r="K77">
            <v>61</v>
          </cell>
          <cell r="L77">
            <v>63</v>
          </cell>
          <cell r="M77">
            <v>66</v>
          </cell>
          <cell r="N77">
            <v>69</v>
          </cell>
        </row>
        <row r="78">
          <cell r="B78" t="str">
            <v>NAN0000</v>
          </cell>
          <cell r="C78" t="str">
            <v>ยางอัดใหญ่ 1.25 หุน  สีอบขาว SMP-4015 (ยางอัดยักษ์)</v>
          </cell>
          <cell r="E78" t="str">
            <v>ม้วน/25เมตร</v>
          </cell>
          <cell r="G78">
            <v>106</v>
          </cell>
          <cell r="H78">
            <v>113.42</v>
          </cell>
          <cell r="J78">
            <v>119</v>
          </cell>
          <cell r="K78">
            <v>122</v>
          </cell>
          <cell r="L78">
            <v>126</v>
          </cell>
          <cell r="M78">
            <v>132</v>
          </cell>
          <cell r="N78">
            <v>140</v>
          </cell>
        </row>
        <row r="79">
          <cell r="B79" t="str">
            <v>E002010204Z0102502</v>
          </cell>
          <cell r="C79" t="str">
            <v>ยางบานเลื่อน 2 หุน 01 สีดำ TOP (ขายราคาเก่า ห้ามเติมสต็อก)</v>
          </cell>
          <cell r="D79" t="str">
            <v>และทุกสี</v>
          </cell>
          <cell r="E79">
            <v>25</v>
          </cell>
          <cell r="G79">
            <v>96</v>
          </cell>
          <cell r="H79">
            <v>102.72</v>
          </cell>
          <cell r="J79">
            <v>107</v>
          </cell>
          <cell r="K79">
            <v>107</v>
          </cell>
          <cell r="L79">
            <v>112</v>
          </cell>
          <cell r="M79">
            <v>115</v>
          </cell>
          <cell r="N79">
            <v>120</v>
          </cell>
        </row>
        <row r="80">
          <cell r="B80" t="str">
            <v>E002010204Z0202502,
E002010205Z0202502</v>
          </cell>
          <cell r="C80" t="str">
            <v>ยางบานเลื่อน 1 1/2 หุน 02 สีดำ TOP (ขายราคาเก่า ห้ามเติมสต็อก)</v>
          </cell>
          <cell r="D80" t="str">
            <v>และทุกสี</v>
          </cell>
          <cell r="E80">
            <v>25</v>
          </cell>
          <cell r="G80">
            <v>96</v>
          </cell>
          <cell r="H80">
            <v>102.72</v>
          </cell>
          <cell r="J80">
            <v>107</v>
          </cell>
          <cell r="K80">
            <v>107</v>
          </cell>
          <cell r="L80">
            <v>112</v>
          </cell>
          <cell r="M80">
            <v>115</v>
          </cell>
          <cell r="N80">
            <v>120</v>
          </cell>
        </row>
        <row r="81">
          <cell r="B81" t="str">
            <v>E002010002Z0403002</v>
          </cell>
          <cell r="C81" t="str">
            <v>ยางเดิน 04 สีดำ TOP (ขายราคาเก่า ห้ามเติมสต็อก)</v>
          </cell>
          <cell r="D81" t="str">
            <v>และทุกสี</v>
          </cell>
          <cell r="E81">
            <v>30</v>
          </cell>
          <cell r="G81">
            <v>90</v>
          </cell>
          <cell r="H81">
            <v>96.300000000000011</v>
          </cell>
          <cell r="J81">
            <v>102</v>
          </cell>
          <cell r="K81">
            <v>102</v>
          </cell>
          <cell r="L81">
            <v>105</v>
          </cell>
          <cell r="M81">
            <v>107</v>
          </cell>
          <cell r="N81">
            <v>113</v>
          </cell>
        </row>
        <row r="82">
          <cell r="B82" t="str">
            <v>E002010002Z0503002,
E002010003Z0503002,
E002010004Z0503002,
E002010005Z0503002</v>
          </cell>
          <cell r="C82" t="str">
            <v>ยางอัดใหญ่ 05 สีดำ TOP (ขายราคาเก่า ห้ามเติมสต็อก)</v>
          </cell>
          <cell r="D82" t="str">
            <v>และทุกสี</v>
          </cell>
          <cell r="E82">
            <v>30</v>
          </cell>
          <cell r="G82">
            <v>84</v>
          </cell>
          <cell r="H82">
            <v>89.88000000000001</v>
          </cell>
          <cell r="J82">
            <v>94</v>
          </cell>
          <cell r="K82">
            <v>94</v>
          </cell>
          <cell r="L82">
            <v>97</v>
          </cell>
          <cell r="M82">
            <v>100</v>
          </cell>
          <cell r="N82">
            <v>105</v>
          </cell>
        </row>
        <row r="83">
          <cell r="B83" t="str">
            <v>E002010002Z0603002,
E002010004Z0603002,
E002010005Z0603002</v>
          </cell>
          <cell r="C83" t="str">
            <v>ยางอัดเล็ก 06 สีดำ TOP (ขายราคาเก่า ห้ามเติมสต็อก)</v>
          </cell>
          <cell r="D83" t="str">
            <v>และทุกสี</v>
          </cell>
          <cell r="E83">
            <v>30</v>
          </cell>
          <cell r="G83">
            <v>66</v>
          </cell>
          <cell r="H83">
            <v>70.62</v>
          </cell>
          <cell r="J83">
            <v>74</v>
          </cell>
          <cell r="K83">
            <v>74</v>
          </cell>
          <cell r="L83">
            <v>77</v>
          </cell>
          <cell r="M83">
            <v>78.5</v>
          </cell>
          <cell r="N83">
            <v>83</v>
          </cell>
        </row>
        <row r="84">
          <cell r="B84" t="str">
            <v>E002010904Z0703002</v>
          </cell>
          <cell r="C84" t="str">
            <v>ยางอัดมุ้งไฟเบอร์ 07 สีดำ TOP  (ขายราคาเก่า ห้ามเติมสต็อก)</v>
          </cell>
          <cell r="D84" t="str">
            <v>และทุกสี</v>
          </cell>
          <cell r="E84">
            <v>30</v>
          </cell>
          <cell r="G84">
            <v>30</v>
          </cell>
          <cell r="H84">
            <v>32.1</v>
          </cell>
          <cell r="J84">
            <v>33.5</v>
          </cell>
          <cell r="K84">
            <v>33.5</v>
          </cell>
          <cell r="L84">
            <v>34.5</v>
          </cell>
          <cell r="M84">
            <v>36</v>
          </cell>
          <cell r="N84">
            <v>37</v>
          </cell>
        </row>
        <row r="85">
          <cell r="B85" t="str">
            <v>E002010902Z1001502</v>
          </cell>
          <cell r="C85" t="str">
            <v>ยางกันยุง 10 สีดำ TOP  (ขายราคาเก่า ห้ามเติมสต็อก)</v>
          </cell>
          <cell r="D85" t="str">
            <v>และทุกสี</v>
          </cell>
          <cell r="E85">
            <v>15</v>
          </cell>
          <cell r="G85">
            <v>75</v>
          </cell>
          <cell r="H85">
            <v>80.25</v>
          </cell>
          <cell r="J85">
            <v>84</v>
          </cell>
          <cell r="K85">
            <v>84</v>
          </cell>
          <cell r="L85">
            <v>86.5</v>
          </cell>
          <cell r="M85">
            <v>90</v>
          </cell>
          <cell r="N85">
            <v>93</v>
          </cell>
        </row>
        <row r="86">
          <cell r="B86" t="str">
            <v>E002010003Z1303002,
E002010005Z1303002</v>
          </cell>
          <cell r="C86" t="str">
            <v>ยางอัดจิ๋ว 13 สีดำ TOP  (ขายราคาเก่า ห้ามเติมสต็อก)</v>
          </cell>
          <cell r="D86" t="str">
            <v>และทุกสี</v>
          </cell>
          <cell r="E86">
            <v>30</v>
          </cell>
          <cell r="G86">
            <v>60</v>
          </cell>
          <cell r="H86">
            <v>64.2</v>
          </cell>
          <cell r="J86">
            <v>67</v>
          </cell>
          <cell r="K86">
            <v>67</v>
          </cell>
          <cell r="L86">
            <v>69</v>
          </cell>
          <cell r="M86">
            <v>71.5</v>
          </cell>
          <cell r="N86">
            <v>75</v>
          </cell>
        </row>
        <row r="87">
          <cell r="B87" t="str">
            <v>E002010003Z1503002,
E002010004Z1503002,
E002010005Z1503002</v>
          </cell>
          <cell r="C87" t="str">
            <v>ยางอัดใหญ่ 1.25 หุน สีดำ TOP  (ขายราคาเก่า ห้ามเติมสต็อก)</v>
          </cell>
          <cell r="D87" t="str">
            <v>และทุกสี</v>
          </cell>
          <cell r="E87">
            <v>30</v>
          </cell>
          <cell r="G87">
            <v>120</v>
          </cell>
          <cell r="H87">
            <v>128.4</v>
          </cell>
          <cell r="J87">
            <v>135</v>
          </cell>
          <cell r="K87">
            <v>135</v>
          </cell>
          <cell r="L87">
            <v>138</v>
          </cell>
          <cell r="M87">
            <v>143</v>
          </cell>
          <cell r="N87">
            <v>150</v>
          </cell>
        </row>
        <row r="88">
          <cell r="B88" t="str">
            <v>E002010604Z1205002</v>
          </cell>
          <cell r="C88" t="str">
            <v>ยางอัดลูกโป่ง 12 สีอบขาว TOP (ญ)</v>
          </cell>
          <cell r="E88">
            <v>50</v>
          </cell>
          <cell r="G88">
            <v>178</v>
          </cell>
          <cell r="H88">
            <v>190.46</v>
          </cell>
          <cell r="J88">
            <v>200</v>
          </cell>
          <cell r="K88">
            <v>200</v>
          </cell>
          <cell r="L88">
            <v>210</v>
          </cell>
          <cell r="M88">
            <v>215</v>
          </cell>
          <cell r="N88">
            <v>225</v>
          </cell>
        </row>
        <row r="89">
          <cell r="B89" t="str">
            <v>รหัส</v>
          </cell>
          <cell r="C89" t="str">
            <v>ยาง ชุดพัฒนา</v>
          </cell>
          <cell r="D89" t="str">
            <v>สี</v>
          </cell>
          <cell r="E89" t="str">
            <v>บรรจุ/หมายเหตุ</v>
          </cell>
          <cell r="F89" t="str">
            <v>ราคาตั้ง</v>
          </cell>
          <cell r="G89" t="str">
            <v>RE 
ก่อนVAT</v>
          </cell>
          <cell r="H89" t="str">
            <v>ทุน
รวม VAT</v>
          </cell>
          <cell r="J89" t="str">
            <v>SDM</v>
          </cell>
          <cell r="K89" t="str">
            <v>W1</v>
          </cell>
          <cell r="L89" t="str">
            <v>W2</v>
          </cell>
          <cell r="M89" t="str">
            <v>R1</v>
          </cell>
          <cell r="N89" t="str">
            <v>R2</v>
          </cell>
        </row>
        <row r="90">
          <cell r="B90" t="str">
            <v>E013010103A1805000</v>
          </cell>
          <cell r="C90" t="str">
            <v>ยางกด 18 อรหันต์ (ยูโร และยูเนี่ยน) สีดำ 50เมตร/ม้วน</v>
          </cell>
          <cell r="D90" t="str">
            <v>ชา/เทา/ดำ</v>
          </cell>
          <cell r="E90" t="str">
            <v>ม้วน/25เมตร</v>
          </cell>
          <cell r="G90">
            <v>350</v>
          </cell>
          <cell r="H90">
            <v>374.5</v>
          </cell>
          <cell r="J90">
            <v>395</v>
          </cell>
          <cell r="K90">
            <v>400</v>
          </cell>
          <cell r="L90">
            <v>415</v>
          </cell>
          <cell r="M90">
            <v>425</v>
          </cell>
          <cell r="N90">
            <v>450</v>
          </cell>
        </row>
        <row r="92">
          <cell r="J92" t="str">
            <v>ค้าส่งรายใหญ่</v>
          </cell>
          <cell r="K92" t="str">
            <v>ค้าส่งรายใหญ่</v>
          </cell>
          <cell r="L92" t="str">
            <v>ค้าส่งทั่วไป</v>
          </cell>
          <cell r="M92" t="str">
            <v>ร้านค้าทั่วไป</v>
          </cell>
          <cell r="N92" t="str">
            <v>ขายปลีก</v>
          </cell>
        </row>
        <row r="93">
          <cell r="B93" t="str">
            <v>รหัส</v>
          </cell>
          <cell r="C93" t="str">
            <v>โช๊คบนบานสวิง</v>
          </cell>
          <cell r="D93" t="str">
            <v>สี</v>
          </cell>
          <cell r="E93" t="str">
            <v>บรรจุ</v>
          </cell>
          <cell r="F93" t="str">
            <v>ราคาตั้ง</v>
          </cell>
          <cell r="G93" t="str">
            <v>RE 
ก่อนVAT</v>
          </cell>
          <cell r="H93" t="str">
            <v>ทุน
รวม VAT</v>
          </cell>
          <cell r="J93" t="str">
            <v>SDM</v>
          </cell>
          <cell r="K93" t="str">
            <v>W1</v>
          </cell>
          <cell r="L93" t="str">
            <v>W2</v>
          </cell>
          <cell r="M93" t="str">
            <v>R1</v>
          </cell>
          <cell r="N93" t="str">
            <v>R2</v>
          </cell>
        </row>
        <row r="94">
          <cell r="B94" t="str">
            <v>N/A</v>
          </cell>
          <cell r="C94" t="str">
            <v>โช้คอัพบานสวิง  DIAMOND เบอร์ 800/1000/1200/1500  (รหัส DM01190)          
(1วาล์ว/ตั้งค้าง) **สินค้าขายดี** รับประกัน 5 ปี</v>
          </cell>
          <cell r="D94" t="str">
            <v>จำนวนขาย 1-10 ตัว</v>
          </cell>
          <cell r="E94" t="str">
            <v>ลัง/5ตัว</v>
          </cell>
          <cell r="G94">
            <v>1056.0748000000001</v>
          </cell>
          <cell r="H94">
            <v>1130.0000360000001</v>
          </cell>
          <cell r="N94">
            <v>1350</v>
          </cell>
        </row>
        <row r="95">
          <cell r="C95" t="str">
            <v xml:space="preserve"> </v>
          </cell>
          <cell r="D95" t="str">
            <v>จำนวนขาย 11-30 ตัว</v>
          </cell>
          <cell r="E95" t="str">
            <v>ลัง/5ตัว</v>
          </cell>
          <cell r="G95">
            <v>1056.0748000000001</v>
          </cell>
          <cell r="H95">
            <v>1130.0000360000001</v>
          </cell>
          <cell r="M95" t="str">
            <v>1,230 - 1,250</v>
          </cell>
        </row>
        <row r="96">
          <cell r="D96" t="str">
            <v>จำนวนขาย 31-50 ตัว</v>
          </cell>
          <cell r="E96" t="str">
            <v>ลัง/5ตัว</v>
          </cell>
          <cell r="G96">
            <v>1056.0748000000001</v>
          </cell>
          <cell r="H96">
            <v>1130.0000360000001</v>
          </cell>
          <cell r="M96">
            <v>1215</v>
          </cell>
        </row>
        <row r="97">
          <cell r="D97" t="str">
            <v>จำนวนขาย 51-80 ตัว</v>
          </cell>
          <cell r="E97" t="str">
            <v>ลัง/5ตัว</v>
          </cell>
          <cell r="G97">
            <v>1056.0748000000001</v>
          </cell>
          <cell r="H97">
            <v>1130.0000360000001</v>
          </cell>
          <cell r="L97">
            <v>1180</v>
          </cell>
        </row>
        <row r="98">
          <cell r="D98" t="str">
            <v>จำนวนขาย 81-100 ตัว</v>
          </cell>
          <cell r="E98" t="str">
            <v>ลัง/5ตัว</v>
          </cell>
          <cell r="G98">
            <v>1056.0748000000001</v>
          </cell>
          <cell r="H98">
            <v>1130.0000360000001</v>
          </cell>
          <cell r="K98">
            <v>1175</v>
          </cell>
        </row>
        <row r="99">
          <cell r="D99" t="str">
            <v>จำนวนขาย 100&gt; ตัว</v>
          </cell>
          <cell r="E99" t="str">
            <v>ลัง/5ตัว</v>
          </cell>
          <cell r="G99">
            <v>1056.0748000000001</v>
          </cell>
          <cell r="H99">
            <v>1130.0000360000001</v>
          </cell>
          <cell r="J99">
            <v>1165</v>
          </cell>
        </row>
        <row r="100">
          <cell r="B100" t="str">
            <v>N/A</v>
          </cell>
          <cell r="C100" t="str">
            <v>โช๊คอัพบานสวิง  DIAMOND เบอร์ 800/1000/1200/1500  (รหัส DM0100)
(1วาล์ว/ไม่ตั้งค้าง) **สั่งผลิต** รับประกัน 5 ปี</v>
          </cell>
          <cell r="D100" t="str">
            <v>ทุกขนาด</v>
          </cell>
          <cell r="E100" t="str">
            <v>ลัง/5ตัว</v>
          </cell>
          <cell r="G100">
            <v>1149.5328</v>
          </cell>
          <cell r="H100">
            <v>1230.000096</v>
          </cell>
          <cell r="J100">
            <v>1280</v>
          </cell>
          <cell r="K100">
            <v>1290</v>
          </cell>
          <cell r="L100">
            <v>1300</v>
          </cell>
          <cell r="M100">
            <v>1350</v>
          </cell>
          <cell r="N100">
            <v>1385</v>
          </cell>
        </row>
        <row r="101">
          <cell r="B101" t="str">
            <v>N/A</v>
          </cell>
          <cell r="C101" t="str">
            <v>โช๊คอัพบานสวิง  DIAMOND เบอร์ 800/1000/1200/1500  (รหัส DM01290)  
(2วาล์ว/ตั้งค้าง) รับประกัน 5 ปี</v>
          </cell>
          <cell r="D101" t="str">
            <v>ทุกขนาด</v>
          </cell>
          <cell r="E101" t="str">
            <v>ลัง/5ตัว</v>
          </cell>
          <cell r="G101">
            <v>1149.5328</v>
          </cell>
          <cell r="H101">
            <v>1230.000096</v>
          </cell>
          <cell r="J101">
            <v>1280</v>
          </cell>
          <cell r="K101">
            <v>1290</v>
          </cell>
          <cell r="L101">
            <v>1300</v>
          </cell>
          <cell r="M101">
            <v>1350</v>
          </cell>
          <cell r="N101">
            <v>1385</v>
          </cell>
        </row>
        <row r="102">
          <cell r="B102" t="str">
            <v>N/A</v>
          </cell>
          <cell r="C102" t="str">
            <v>โช๊คอัพบานสวิง  DIAMOND เบอร์ 800/1000/1200/1500  (รหัส DM01200)      
(2วาล์ว/ไม่ตั้งค้าง) รับประกัน 5 ปี</v>
          </cell>
          <cell r="D102" t="str">
            <v>ทุกขนาด</v>
          </cell>
          <cell r="E102" t="str">
            <v>ลัง/5ตัว</v>
          </cell>
          <cell r="G102">
            <v>1242.9907000000001</v>
          </cell>
          <cell r="H102">
            <v>1330.0000490000002</v>
          </cell>
          <cell r="J102">
            <v>1385</v>
          </cell>
          <cell r="K102">
            <v>1395</v>
          </cell>
          <cell r="L102">
            <v>1415</v>
          </cell>
          <cell r="M102">
            <v>1450</v>
          </cell>
          <cell r="N102">
            <v>1500</v>
          </cell>
        </row>
        <row r="103">
          <cell r="B103" t="str">
            <v>N/A</v>
          </cell>
          <cell r="C103" t="str">
            <v>โช้คอัพบานสวิง DORMA เบอร์ 1000  (รับประกัน 1ปี)</v>
          </cell>
          <cell r="D103" t="str">
            <v>สต็อกเก่า 3ตัว(ไม่เติมเพิ่ม)
ขั้นต่ำ 200 ตัว</v>
          </cell>
          <cell r="E103" t="str">
            <v>ลัง/5ตัว</v>
          </cell>
          <cell r="G103">
            <v>801.86915887800001</v>
          </cell>
          <cell r="H103">
            <v>857.9999999994601</v>
          </cell>
          <cell r="J103">
            <v>890</v>
          </cell>
          <cell r="K103">
            <v>895</v>
          </cell>
          <cell r="L103">
            <v>925</v>
          </cell>
          <cell r="M103">
            <v>955</v>
          </cell>
          <cell r="N103">
            <v>1000</v>
          </cell>
        </row>
        <row r="104">
          <cell r="B104" t="str">
            <v>N/A</v>
          </cell>
          <cell r="C104" t="str">
            <v>โช้คอัพบานสวิง  TOP เบอร์ 800/1000/1200     (1วาล์ว)  (ยกเลิกซัพฯ)</v>
          </cell>
          <cell r="D104" t="str">
            <v>ทุกขนาด</v>
          </cell>
          <cell r="E104" t="str">
            <v>ลัง/5ตัว</v>
          </cell>
          <cell r="G104">
            <v>700.93</v>
          </cell>
          <cell r="H104">
            <v>749.99509999999998</v>
          </cell>
          <cell r="J104">
            <v>785</v>
          </cell>
          <cell r="K104">
            <v>785</v>
          </cell>
          <cell r="L104">
            <v>810</v>
          </cell>
          <cell r="M104">
            <v>840</v>
          </cell>
          <cell r="N104">
            <v>890</v>
          </cell>
        </row>
        <row r="105">
          <cell r="B105" t="str">
            <v>E002020300B0800101,
E002020300B1000101,
E002020300B1000200,</v>
          </cell>
          <cell r="C105" t="str">
            <v xml:space="preserve">โช้คอัพบานสวิง #1 วาล์ว TOP (H)  No.800/1000/1200   
 (รับประกัน 3ปี)      (ทำแบรนด์TOP ทดแทนไทยเฟรม)  ตั้งค้าง    </v>
          </cell>
          <cell r="D105" t="str">
            <v>จำนวนขาย 1-5ตัว
(ทดลองใช้)</v>
          </cell>
          <cell r="E105" t="str">
            <v>ลัง/5ตัว</v>
          </cell>
          <cell r="G105">
            <v>717.6</v>
          </cell>
          <cell r="H105">
            <v>767.83200000000011</v>
          </cell>
          <cell r="N105">
            <v>850</v>
          </cell>
        </row>
        <row r="106">
          <cell r="B106" t="str">
            <v>E002020300B0800101,
E002020300B1000101,
E002020300B1000200,
E002020300B1200101</v>
          </cell>
          <cell r="D106" t="str">
            <v>จำนวนขาย 11-30 ตัว</v>
          </cell>
          <cell r="E106" t="str">
            <v>ลัง/5ตัว</v>
          </cell>
          <cell r="G106">
            <v>717.6</v>
          </cell>
          <cell r="H106">
            <v>767.83200000000011</v>
          </cell>
          <cell r="M106">
            <v>835</v>
          </cell>
        </row>
        <row r="107">
          <cell r="B107" t="str">
            <v>E002020300B0800101,
E002020300B1000101,
E002020300B1000200,
E002020300B1200101</v>
          </cell>
          <cell r="D107" t="str">
            <v>จำนวนขาย 31-50 ตัว</v>
          </cell>
          <cell r="E107" t="str">
            <v>ลัง/5ตัว</v>
          </cell>
          <cell r="G107">
            <v>717.6</v>
          </cell>
          <cell r="H107">
            <v>767.83200000000011</v>
          </cell>
          <cell r="L107">
            <v>825</v>
          </cell>
        </row>
        <row r="108">
          <cell r="B108" t="str">
            <v>E002020300B0800101,
E002020300B1000101,
E002020300B1000200,
E002020300B1200101</v>
          </cell>
          <cell r="D108" t="str">
            <v>จำนวนขาย 51-80 ตัว</v>
          </cell>
          <cell r="E108" t="str">
            <v>ลัง/5ตัว</v>
          </cell>
          <cell r="G108">
            <v>717.6</v>
          </cell>
          <cell r="H108">
            <v>767.83200000000011</v>
          </cell>
          <cell r="K108">
            <v>815</v>
          </cell>
        </row>
        <row r="109">
          <cell r="B109" t="str">
            <v>E002020300B0800101,
E002020300B1000101,
E002020300B1000200,
E002020300B1200101</v>
          </cell>
          <cell r="D109" t="str">
            <v>จำนวนขาย 81-100 ตัว</v>
          </cell>
          <cell r="E109" t="str">
            <v>ลัง/5ตัว</v>
          </cell>
          <cell r="G109">
            <v>675</v>
          </cell>
          <cell r="H109">
            <v>722.25</v>
          </cell>
          <cell r="J109">
            <v>800</v>
          </cell>
        </row>
        <row r="110">
          <cell r="B110" t="str">
            <v>E002020300B1000200</v>
          </cell>
          <cell r="C110" t="str">
            <v xml:space="preserve">โช้คอัพบานสวิง # 2 วาล์ว TOP (H)  No.1000
 (รับประกัน 3ปี)      (ทำแบรนด์TOP ทดแทนไทยเฟรม)  ตั้งค้าง    </v>
          </cell>
          <cell r="D110" t="str">
            <v>สต็อกเก่า(ไม่เติมเพิ่ม)
สต็อกที่ BS</v>
          </cell>
          <cell r="E110" t="str">
            <v>ลัง/5ตัว</v>
          </cell>
          <cell r="G110">
            <v>744</v>
          </cell>
          <cell r="H110">
            <v>796.08</v>
          </cell>
          <cell r="J110">
            <v>830</v>
          </cell>
          <cell r="K110">
            <v>845</v>
          </cell>
          <cell r="L110">
            <v>860</v>
          </cell>
          <cell r="M110">
            <v>875</v>
          </cell>
          <cell r="N110">
            <v>910</v>
          </cell>
        </row>
        <row r="111">
          <cell r="B111" t="str">
            <v>E004020100B1000100</v>
          </cell>
          <cell r="C111" t="str">
            <v>โช๊คอัพบานสวิง No.1000 1 วาล์ว Model.85  HYDA (รับประกัน 2ปี)</v>
          </cell>
          <cell r="D111" t="str">
            <v>ปรึกษา PM ก่อนเรียกของเข้า</v>
          </cell>
          <cell r="E111" t="str">
            <v>ลัง/5ตัว</v>
          </cell>
          <cell r="G111">
            <v>719.2</v>
          </cell>
          <cell r="H111">
            <v>769.5440000000001</v>
          </cell>
          <cell r="J111">
            <v>810</v>
          </cell>
          <cell r="K111">
            <v>810</v>
          </cell>
          <cell r="L111">
            <v>830</v>
          </cell>
          <cell r="M111">
            <v>860</v>
          </cell>
          <cell r="N111">
            <v>915</v>
          </cell>
        </row>
        <row r="112">
          <cell r="B112" t="str">
            <v>E004020300B1000200</v>
          </cell>
          <cell r="C112" t="str">
            <v>โช้คอัพบานสวิง No.1000 #2 วาล์ว  Model.85  HYDA (รับประกัน 3ปี)</v>
          </cell>
          <cell r="D112" t="str">
            <v>ปรึกษา PM ก่อนเรียกของเข้า</v>
          </cell>
          <cell r="E112" t="str">
            <v>ลัง/5ตัว</v>
          </cell>
          <cell r="G112">
            <v>744</v>
          </cell>
          <cell r="H112">
            <v>796.08</v>
          </cell>
          <cell r="J112">
            <v>835</v>
          </cell>
          <cell r="K112">
            <v>835</v>
          </cell>
          <cell r="L112">
            <v>860</v>
          </cell>
          <cell r="M112">
            <v>875</v>
          </cell>
          <cell r="N112">
            <v>950</v>
          </cell>
        </row>
        <row r="113">
          <cell r="B113" t="str">
            <v>N/A</v>
          </cell>
          <cell r="C113" t="str">
            <v>โช้คอัพ ซีเกอร์ 1วาล์ว   Z300  (รับประกัน 1ปี) 800-10N,1000-15N,1200-20N</v>
          </cell>
          <cell r="D113" t="str">
            <v>สั่งผ่านประมาณการ</v>
          </cell>
          <cell r="E113" t="str">
            <v>ขั้นต่ำ 100ตัว</v>
          </cell>
          <cell r="G113">
            <v>730</v>
          </cell>
          <cell r="H113">
            <v>781.1</v>
          </cell>
          <cell r="J113">
            <v>815</v>
          </cell>
          <cell r="K113">
            <v>820</v>
          </cell>
          <cell r="L113">
            <v>830</v>
          </cell>
          <cell r="M113">
            <v>850</v>
          </cell>
          <cell r="N113">
            <v>860</v>
          </cell>
        </row>
        <row r="114">
          <cell r="B114" t="str">
            <v>N/A</v>
          </cell>
          <cell r="C114" t="str">
            <v>โช้คอัพ ซีเกอร์ 2วาล์ว   Z100  (รับประกัน 1ปี) 800-10N,1000-15N,1200-20N</v>
          </cell>
          <cell r="E114" t="str">
            <v>ขั้นต่ำ 100ตัว</v>
          </cell>
          <cell r="G114">
            <v>735</v>
          </cell>
          <cell r="H114">
            <v>786.45</v>
          </cell>
          <cell r="J114">
            <v>815</v>
          </cell>
          <cell r="K114">
            <v>820</v>
          </cell>
          <cell r="L114">
            <v>830</v>
          </cell>
          <cell r="M114">
            <v>850</v>
          </cell>
          <cell r="N114">
            <v>860</v>
          </cell>
        </row>
        <row r="115">
          <cell r="B115" t="str">
            <v>N/A</v>
          </cell>
          <cell r="C115" t="str">
            <v>โช้คอัพบานสวิง PBM  รุ่น 1,2 วาล์ว #1000 (รับประกัน 2ปี)</v>
          </cell>
          <cell r="D115" t="str">
            <v>5ตัว/ลัง</v>
          </cell>
          <cell r="E115" t="str">
            <v>ขั้นต่ำ 50ลัง</v>
          </cell>
          <cell r="G115">
            <v>607.48</v>
          </cell>
          <cell r="H115">
            <v>650.00360000000001</v>
          </cell>
          <cell r="J115">
            <v>680</v>
          </cell>
          <cell r="K115">
            <v>685</v>
          </cell>
          <cell r="L115">
            <v>700</v>
          </cell>
          <cell r="M115">
            <v>750</v>
          </cell>
          <cell r="N115">
            <v>780</v>
          </cell>
        </row>
        <row r="117">
          <cell r="B117" t="str">
            <v>รหัส</v>
          </cell>
          <cell r="C117" t="str">
            <v>โช๊คอัพฝังพื้น</v>
          </cell>
          <cell r="D117" t="str">
            <v>สี</v>
          </cell>
          <cell r="E117" t="str">
            <v>บรรจุ</v>
          </cell>
          <cell r="F117" t="str">
            <v>ราคาตั้ง</v>
          </cell>
          <cell r="G117" t="str">
            <v>RE 
ก่อนVAT</v>
          </cell>
          <cell r="H117" t="str">
            <v>ทุน
รวม VAT</v>
          </cell>
          <cell r="J117" t="str">
            <v>SDM</v>
          </cell>
          <cell r="K117" t="str">
            <v>W1</v>
          </cell>
          <cell r="L117" t="str">
            <v>W2</v>
          </cell>
          <cell r="M117" t="str">
            <v>R1</v>
          </cell>
          <cell r="N117" t="str">
            <v>R2</v>
          </cell>
        </row>
        <row r="118">
          <cell r="B118" t="str">
            <v>N/A</v>
          </cell>
          <cell r="C118" t="str">
            <v>โช้คอัพประตูแบบฝังพื้นDiamond  Model: 800,1000,1200  (รหัส DM0229010)       
(ตั้งค้าง)  รับประกัน 2ปี</v>
          </cell>
          <cell r="D118" t="str">
            <v>ไม่รวมอุปกรณ์</v>
          </cell>
          <cell r="E118" t="str">
            <v>ลัง/5ตัว - เรท 1ตัว</v>
          </cell>
          <cell r="G118">
            <v>1355.1402</v>
          </cell>
          <cell r="H118">
            <v>1450.0000140000002</v>
          </cell>
          <cell r="J118">
            <v>1530</v>
          </cell>
          <cell r="K118">
            <v>1550</v>
          </cell>
          <cell r="L118">
            <v>1600</v>
          </cell>
          <cell r="M118">
            <v>1650</v>
          </cell>
          <cell r="N118">
            <v>1700</v>
          </cell>
        </row>
        <row r="119">
          <cell r="D119" t="str">
            <v>ไม่รวมอุปกรณ์</v>
          </cell>
          <cell r="E119" t="str">
            <v>ลัง/5ตัว - เรท 2ตัวขึ้นไป</v>
          </cell>
          <cell r="G119">
            <v>1261.6822999999999</v>
          </cell>
          <cell r="H119">
            <v>1350.000061</v>
          </cell>
          <cell r="J119">
            <v>1450</v>
          </cell>
          <cell r="K119">
            <v>1480</v>
          </cell>
          <cell r="L119">
            <v>1500</v>
          </cell>
          <cell r="M119">
            <v>1550</v>
          </cell>
          <cell r="N119">
            <v>1600</v>
          </cell>
        </row>
        <row r="120">
          <cell r="B120" t="str">
            <v>N/A</v>
          </cell>
          <cell r="C120" t="str">
            <v>โช้คอัพประตูแบบฝังพื้นDiamond  Model: 1500 (รหัส DM0229015)
(ตั้งค้าง)    รับประกัน 2ปี (เหมาะประตูบานใหญ่ สูงไม่เกิน 3เมตร)</v>
          </cell>
          <cell r="D120" t="str">
            <v>ไม่รวมอุปกรณ์</v>
          </cell>
          <cell r="E120" t="str">
            <v>ลัง/5ตัว</v>
          </cell>
          <cell r="G120">
            <v>1448.5981999999999</v>
          </cell>
          <cell r="H120">
            <v>1550.000074</v>
          </cell>
          <cell r="J120">
            <v>1625</v>
          </cell>
          <cell r="K120">
            <v>1650</v>
          </cell>
          <cell r="L120">
            <v>1700</v>
          </cell>
          <cell r="M120">
            <v>1750</v>
          </cell>
          <cell r="N120">
            <v>1800</v>
          </cell>
        </row>
        <row r="121">
          <cell r="B121" t="str">
            <v>N/A</v>
          </cell>
          <cell r="C121" t="str">
            <v>โช้คอัพประตูแบบฝังพื้นDiamond  Model: 800,1000,1200  (รหัส DM0220010)       
(ไม่ตั้งค้าง)  รับประกัน 2ปี</v>
          </cell>
          <cell r="D121" t="str">
            <v>ไม่รวมอุปกรณ์</v>
          </cell>
          <cell r="E121" t="str">
            <v>ลัง/5ตัว</v>
          </cell>
          <cell r="G121">
            <v>1448.5981999999999</v>
          </cell>
          <cell r="H121">
            <v>1550.000074</v>
          </cell>
          <cell r="J121">
            <v>1625</v>
          </cell>
          <cell r="K121">
            <v>1650</v>
          </cell>
          <cell r="L121">
            <v>1700</v>
          </cell>
          <cell r="M121">
            <v>1750</v>
          </cell>
          <cell r="N121">
            <v>1800</v>
          </cell>
        </row>
        <row r="122">
          <cell r="B122" t="str">
            <v>N/A</v>
          </cell>
          <cell r="C122" t="str">
            <v>โช้คอัพประตูแบบฝังพื้นDiamond  Model: 1500 (รหัส DM0220015)
(ไม่ตั้งค้าง)    รับประกัน 2ปี (เหมาะประตูบานใหญ่ สูงไม่เกิน 3เมตร)</v>
          </cell>
          <cell r="D122" t="str">
            <v>ไม่รวมอุปกรณ์</v>
          </cell>
          <cell r="E122" t="str">
            <v>ลัง/5ตัว</v>
          </cell>
          <cell r="G122">
            <v>1542.0561</v>
          </cell>
          <cell r="H122">
            <v>1650.000027</v>
          </cell>
          <cell r="J122">
            <v>1735</v>
          </cell>
          <cell r="K122">
            <v>1750</v>
          </cell>
          <cell r="L122">
            <v>1800</v>
          </cell>
          <cell r="M122">
            <v>1850</v>
          </cell>
          <cell r="N122">
            <v>1900</v>
          </cell>
        </row>
        <row r="123">
          <cell r="B123" t="str">
            <v>E002020400B1000100
E002020400B1200100</v>
          </cell>
          <cell r="C123" t="str">
            <v>โช้คอัพฝังพื้นไม่มีอุปกรณ์ 2V No.1000, No.1200 TOP (H) (รับประกัน 3ปี)</v>
          </cell>
          <cell r="D123" t="str">
            <v>จำนวนขาย 1-4ตัว
(ทดลองใช้)</v>
          </cell>
          <cell r="E123" t="str">
            <v>4ตัว/ลัง</v>
          </cell>
          <cell r="G123">
            <v>955.5</v>
          </cell>
          <cell r="H123">
            <v>1022.3850000000001</v>
          </cell>
          <cell r="N123">
            <v>1300</v>
          </cell>
        </row>
        <row r="124">
          <cell r="B124" t="str">
            <v>E002020400B1000100
E002020400B1200100</v>
          </cell>
          <cell r="D124" t="str">
            <v>จำนวนขาย 11-30 ตัว</v>
          </cell>
          <cell r="E124" t="str">
            <v>4ตัว/ลัง</v>
          </cell>
          <cell r="G124">
            <v>955.5</v>
          </cell>
          <cell r="H124">
            <v>1022.3850000000001</v>
          </cell>
          <cell r="M124">
            <v>1250</v>
          </cell>
        </row>
        <row r="125">
          <cell r="B125" t="str">
            <v>E002020400B1000100
E002020400B1200100</v>
          </cell>
          <cell r="D125" t="str">
            <v>จำนวนขาย 31-50 ตัว</v>
          </cell>
          <cell r="E125" t="str">
            <v>4ตัว/ลัง</v>
          </cell>
          <cell r="G125">
            <v>955.5</v>
          </cell>
          <cell r="H125">
            <v>1022.3850000000001</v>
          </cell>
          <cell r="L125">
            <v>1200</v>
          </cell>
        </row>
        <row r="126">
          <cell r="B126" t="str">
            <v>E002020400B1000100
E002020400B1200100</v>
          </cell>
          <cell r="D126" t="str">
            <v>จำนวนขาย 51-80 ตัว</v>
          </cell>
          <cell r="E126" t="str">
            <v>4ตัว/ลัง</v>
          </cell>
          <cell r="G126">
            <v>955.5</v>
          </cell>
          <cell r="H126">
            <v>1022.3850000000001</v>
          </cell>
          <cell r="K126">
            <v>1150</v>
          </cell>
        </row>
        <row r="127">
          <cell r="B127" t="str">
            <v>E002020400B1000100
E002020400B1200100</v>
          </cell>
          <cell r="D127" t="str">
            <v>จำนวนขาย 81-100 ตัว</v>
          </cell>
          <cell r="E127" t="str">
            <v>4ตัว/ลัง</v>
          </cell>
          <cell r="G127">
            <v>955.5</v>
          </cell>
          <cell r="H127">
            <v>1022.3850000000001</v>
          </cell>
          <cell r="J127">
            <v>1100</v>
          </cell>
        </row>
        <row r="128">
          <cell r="B128" t="str">
            <v>รหัส</v>
          </cell>
          <cell r="C128" t="str">
            <v>โช๊คอัพบานเลื่อน</v>
          </cell>
          <cell r="D128" t="str">
            <v>สี</v>
          </cell>
          <cell r="E128" t="str">
            <v>บรรจุ</v>
          </cell>
          <cell r="F128" t="str">
            <v>ราคาตั้ง</v>
          </cell>
          <cell r="G128" t="str">
            <v>RE 
ก่อนVAT</v>
          </cell>
          <cell r="H128" t="str">
            <v>ทุน
รวม VAT</v>
          </cell>
          <cell r="J128" t="str">
            <v>SDM</v>
          </cell>
          <cell r="K128" t="str">
            <v>W1</v>
          </cell>
          <cell r="L128" t="str">
            <v>W2</v>
          </cell>
          <cell r="M128" t="str">
            <v>R1</v>
          </cell>
          <cell r="N128" t="str">
            <v>R2</v>
          </cell>
        </row>
        <row r="129">
          <cell r="B129" t="str">
            <v>N/A</v>
          </cell>
          <cell r="C129" t="str">
            <v xml:space="preserve">โช๊คอัพบานเลื่อนรางแขวน KK  </v>
          </cell>
          <cell r="D129" t="str">
            <v>ขาว/ชา</v>
          </cell>
          <cell r="G129">
            <v>670</v>
          </cell>
          <cell r="H129">
            <v>716.90000000000009</v>
          </cell>
          <cell r="J129">
            <v>750</v>
          </cell>
          <cell r="L129">
            <v>775</v>
          </cell>
          <cell r="M129">
            <v>800</v>
          </cell>
          <cell r="N129">
            <v>845</v>
          </cell>
        </row>
        <row r="130">
          <cell r="B130" t="str">
            <v>E015020201B0100000</v>
          </cell>
          <cell r="C130" t="str">
            <v xml:space="preserve">โช้คอัพประตูบานเลื่อน Hoya ขนาด 100ซม. (รับประกัน 2ปี) </v>
          </cell>
          <cell r="D130" t="str">
            <v>ขาวอลู</v>
          </cell>
          <cell r="E130" t="str">
            <v>ลัง/10ตัว (ขายแยกได้)</v>
          </cell>
          <cell r="G130">
            <v>913.55139999999994</v>
          </cell>
          <cell r="H130">
            <v>977.49999800000001</v>
          </cell>
          <cell r="J130">
            <v>1025</v>
          </cell>
          <cell r="K130">
            <v>1050</v>
          </cell>
          <cell r="L130">
            <v>1090</v>
          </cell>
          <cell r="M130">
            <v>1150</v>
          </cell>
          <cell r="N130">
            <v>1200</v>
          </cell>
        </row>
        <row r="131">
          <cell r="B131" t="str">
            <v>E015020202B0100000</v>
          </cell>
          <cell r="C131" t="str">
            <v xml:space="preserve"> </v>
          </cell>
          <cell r="D131" t="str">
            <v>ชา</v>
          </cell>
          <cell r="E131" t="str">
            <v>ลัง/10ตัว (ขายแยกได้)</v>
          </cell>
          <cell r="G131">
            <v>934.38319999999999</v>
          </cell>
          <cell r="H131">
            <v>999.79002400000002</v>
          </cell>
          <cell r="J131">
            <v>1050</v>
          </cell>
          <cell r="K131">
            <v>1075</v>
          </cell>
          <cell r="L131">
            <v>1115</v>
          </cell>
          <cell r="M131">
            <v>1180</v>
          </cell>
          <cell r="N131">
            <v>1230</v>
          </cell>
        </row>
        <row r="132">
          <cell r="B132" t="str">
            <v>N/A</v>
          </cell>
          <cell r="D132" t="str">
            <v>ดำ/อบขาวนม</v>
          </cell>
          <cell r="E132" t="str">
            <v>ลัง/10ตัว (ขายแยกได้)</v>
          </cell>
          <cell r="G132">
            <v>961.21500000000003</v>
          </cell>
          <cell r="H132">
            <v>1028.5000500000001</v>
          </cell>
          <cell r="J132">
            <v>1075</v>
          </cell>
          <cell r="K132">
            <v>1100</v>
          </cell>
          <cell r="L132">
            <v>1150</v>
          </cell>
          <cell r="M132">
            <v>1215</v>
          </cell>
          <cell r="N132">
            <v>1290</v>
          </cell>
        </row>
        <row r="133">
          <cell r="B133" t="str">
            <v>E015020201B0120000</v>
          </cell>
          <cell r="C133" t="str">
            <v>โช้คอัพประตูบานเลื่อน Hoya ขนาด 120ซม. (รับประกัน 2ปี)</v>
          </cell>
          <cell r="D133" t="str">
            <v>ขาวอลู</v>
          </cell>
          <cell r="E133" t="str">
            <v>ลัง/10ตัว (ขายแยกได้)</v>
          </cell>
          <cell r="G133">
            <v>1183.6449</v>
          </cell>
          <cell r="H133">
            <v>1266.500043</v>
          </cell>
          <cell r="J133">
            <v>1325</v>
          </cell>
          <cell r="K133">
            <v>1365</v>
          </cell>
          <cell r="L133">
            <v>1415</v>
          </cell>
          <cell r="M133">
            <v>1500</v>
          </cell>
          <cell r="N133">
            <v>1550</v>
          </cell>
        </row>
        <row r="134">
          <cell r="B134" t="str">
            <v>E015020202B0120000</v>
          </cell>
          <cell r="D134" t="str">
            <v>ชา</v>
          </cell>
          <cell r="E134" t="str">
            <v>ลัง/10ตัว (ขายแยกได้)</v>
          </cell>
          <cell r="G134">
            <v>1207.4766</v>
          </cell>
          <cell r="H134">
            <v>1291.9999620000001</v>
          </cell>
          <cell r="J134">
            <v>1350</v>
          </cell>
          <cell r="K134">
            <v>1390</v>
          </cell>
          <cell r="L134">
            <v>1450</v>
          </cell>
          <cell r="M134">
            <v>1550</v>
          </cell>
          <cell r="N134">
            <v>1600</v>
          </cell>
        </row>
        <row r="135">
          <cell r="B135" t="str">
            <v>N/A</v>
          </cell>
          <cell r="D135" t="str">
            <v>ดำ/อบขาวนม</v>
          </cell>
          <cell r="E135" t="str">
            <v>ลัง/10ตัว (ขายแยกได้)</v>
          </cell>
          <cell r="G135">
            <v>1239.2523000000001</v>
          </cell>
          <cell r="H135">
            <v>1325.9999610000002</v>
          </cell>
          <cell r="J135">
            <v>1385</v>
          </cell>
          <cell r="K135">
            <v>1425</v>
          </cell>
          <cell r="L135">
            <v>1475</v>
          </cell>
          <cell r="M135">
            <v>1550</v>
          </cell>
          <cell r="N135">
            <v>1600</v>
          </cell>
        </row>
        <row r="136">
          <cell r="B136" t="str">
            <v>N/A</v>
          </cell>
          <cell r="C136" t="str">
            <v>โช้คอัพประตูบานเลื่อน Hoya ขนาด 150ซม. (รับประกัน 2ปี)</v>
          </cell>
          <cell r="D136" t="str">
            <v>ขาวอลู</v>
          </cell>
          <cell r="E136" t="str">
            <v>ลัง/10ตัว (ขายแยกได้)</v>
          </cell>
          <cell r="G136">
            <v>1493.4579000000001</v>
          </cell>
          <cell r="H136">
            <v>1597.9999530000002</v>
          </cell>
          <cell r="J136">
            <v>1670</v>
          </cell>
          <cell r="K136">
            <v>1725</v>
          </cell>
          <cell r="L136">
            <v>1780</v>
          </cell>
          <cell r="M136">
            <v>1900</v>
          </cell>
          <cell r="N136">
            <v>1950</v>
          </cell>
        </row>
        <row r="137">
          <cell r="B137" t="str">
            <v>N/A</v>
          </cell>
          <cell r="D137" t="str">
            <v>ชา</v>
          </cell>
          <cell r="E137" t="str">
            <v>ลัง/10ตัว (ขายแยกได้)</v>
          </cell>
          <cell r="G137">
            <v>1533.1776</v>
          </cell>
          <cell r="H137">
            <v>1640.5000320000001</v>
          </cell>
          <cell r="J137">
            <v>1715</v>
          </cell>
          <cell r="K137">
            <v>1765</v>
          </cell>
          <cell r="L137">
            <v>1850</v>
          </cell>
          <cell r="M137">
            <v>1950</v>
          </cell>
          <cell r="N137">
            <v>2000</v>
          </cell>
        </row>
        <row r="138">
          <cell r="B138" t="str">
            <v>N/A</v>
          </cell>
          <cell r="D138" t="str">
            <v>ดำ/อบขาวนม</v>
          </cell>
          <cell r="E138" t="str">
            <v>ลัง/10ตัว (ขายแยกได้)</v>
          </cell>
          <cell r="G138">
            <v>1572.8972000000001</v>
          </cell>
          <cell r="H138">
            <v>1683.0000040000002</v>
          </cell>
          <cell r="J138">
            <v>1760</v>
          </cell>
          <cell r="K138">
            <v>1825</v>
          </cell>
          <cell r="L138">
            <v>1875</v>
          </cell>
          <cell r="M138">
            <v>2000</v>
          </cell>
          <cell r="N138">
            <v>2050</v>
          </cell>
        </row>
        <row r="139">
          <cell r="B139" t="str">
            <v>N/A</v>
          </cell>
          <cell r="C139" t="str">
            <v>โช้คประตูบานเลื่อน YOMA ขนาด 90 D  (รับประกัน 1ปี)</v>
          </cell>
          <cell r="D139" t="str">
            <v>สีขาวอลู / สีชา</v>
          </cell>
          <cell r="E139" t="str">
            <v>ลังละ10ชุด</v>
          </cell>
          <cell r="G139">
            <v>830</v>
          </cell>
          <cell r="H139">
            <v>888.1</v>
          </cell>
          <cell r="J139">
            <v>945</v>
          </cell>
          <cell r="K139">
            <v>985</v>
          </cell>
          <cell r="L139">
            <v>1025</v>
          </cell>
          <cell r="M139">
            <v>1050</v>
          </cell>
          <cell r="N139">
            <v>1100</v>
          </cell>
        </row>
        <row r="140">
          <cell r="B140" t="str">
            <v>N/A</v>
          </cell>
          <cell r="D140" t="str">
            <v>สีอบขาว/สีพ่นดำ</v>
          </cell>
          <cell r="E140" t="str">
            <v>ลังละ10ชุด</v>
          </cell>
          <cell r="G140">
            <v>880</v>
          </cell>
          <cell r="H140">
            <v>941.6</v>
          </cell>
          <cell r="J140">
            <v>1000</v>
          </cell>
          <cell r="K140">
            <v>1035</v>
          </cell>
          <cell r="L140">
            <v>1075</v>
          </cell>
          <cell r="M140">
            <v>1100</v>
          </cell>
          <cell r="N140">
            <v>1150</v>
          </cell>
        </row>
        <row r="141">
          <cell r="B141" t="str">
            <v>N/A</v>
          </cell>
          <cell r="C141" t="str">
            <v>โช้คประตูบานเลื่อน YOMA ขนาด 110 D  (รับประกัน 1ปี)</v>
          </cell>
          <cell r="D141" t="str">
            <v>สีขาวอลู / สีชา</v>
          </cell>
          <cell r="E141" t="str">
            <v>ลังละ10ชุด</v>
          </cell>
          <cell r="G141">
            <v>930</v>
          </cell>
          <cell r="H141">
            <v>995.1</v>
          </cell>
          <cell r="J141">
            <v>1050</v>
          </cell>
          <cell r="K141">
            <v>1100</v>
          </cell>
          <cell r="L141">
            <v>1125</v>
          </cell>
          <cell r="M141">
            <v>1150</v>
          </cell>
          <cell r="N141">
            <v>1200</v>
          </cell>
        </row>
        <row r="142">
          <cell r="B142" t="str">
            <v>N/A</v>
          </cell>
          <cell r="D142" t="str">
            <v>สีอบขาว/สีพ่นดำ</v>
          </cell>
          <cell r="E142" t="str">
            <v>ลังละ10ชุด</v>
          </cell>
          <cell r="G142">
            <v>980</v>
          </cell>
          <cell r="H142">
            <v>1048.6000000000001</v>
          </cell>
          <cell r="J142">
            <v>1100</v>
          </cell>
          <cell r="K142">
            <v>1150</v>
          </cell>
          <cell r="L142">
            <v>1200</v>
          </cell>
          <cell r="M142">
            <v>1250</v>
          </cell>
          <cell r="N142">
            <v>1285</v>
          </cell>
        </row>
        <row r="143">
          <cell r="B143" t="str">
            <v>N/A</v>
          </cell>
          <cell r="C143" t="str">
            <v>โช้คประตูบานเลื่อน YOMA ขนาด 120 D  (รับประกัน 1ปี)</v>
          </cell>
          <cell r="D143" t="str">
            <v>สีขาวอลู / สีชา</v>
          </cell>
          <cell r="E143" t="str">
            <v xml:space="preserve">1ตัว </v>
          </cell>
          <cell r="G143">
            <v>1060</v>
          </cell>
          <cell r="H143">
            <v>1134.2</v>
          </cell>
          <cell r="J143">
            <v>1200</v>
          </cell>
          <cell r="K143">
            <v>1250</v>
          </cell>
          <cell r="L143">
            <v>1300</v>
          </cell>
          <cell r="M143">
            <v>1350</v>
          </cell>
          <cell r="N143">
            <v>1400</v>
          </cell>
        </row>
        <row r="144">
          <cell r="B144" t="str">
            <v>N/A</v>
          </cell>
          <cell r="D144" t="str">
            <v>สีอบขาว/สีพ่นดำ</v>
          </cell>
          <cell r="E144" t="str">
            <v xml:space="preserve">1ตัว </v>
          </cell>
          <cell r="G144">
            <v>1110</v>
          </cell>
          <cell r="H144">
            <v>1187.7</v>
          </cell>
          <cell r="J144">
            <v>1285</v>
          </cell>
          <cell r="K144">
            <v>1300</v>
          </cell>
          <cell r="L144">
            <v>1350</v>
          </cell>
          <cell r="M144">
            <v>1450</v>
          </cell>
          <cell r="N144">
            <v>1500</v>
          </cell>
        </row>
        <row r="145">
          <cell r="B145" t="str">
            <v>N/A</v>
          </cell>
          <cell r="C145" t="str">
            <v>โช้คประตูบานเลื่อน YOMA ขนาด 150 D (รับประกัน 1ปี)</v>
          </cell>
          <cell r="D145" t="str">
            <v>สีขาวอลู / สีชา</v>
          </cell>
          <cell r="E145" t="str">
            <v xml:space="preserve">1ตัว </v>
          </cell>
          <cell r="G145">
            <v>1475</v>
          </cell>
          <cell r="H145">
            <v>1578.25</v>
          </cell>
          <cell r="J145">
            <v>1650</v>
          </cell>
          <cell r="K145">
            <v>1700</v>
          </cell>
          <cell r="L145">
            <v>1800</v>
          </cell>
          <cell r="M145">
            <v>1850</v>
          </cell>
          <cell r="N145">
            <v>1950</v>
          </cell>
        </row>
        <row r="146">
          <cell r="B146" t="str">
            <v>N/A</v>
          </cell>
          <cell r="D146" t="str">
            <v>สีอบขาว/สีพ่นดำ</v>
          </cell>
          <cell r="E146" t="str">
            <v xml:space="preserve">1ตัว </v>
          </cell>
          <cell r="G146">
            <v>1525</v>
          </cell>
          <cell r="H146">
            <v>1631.75</v>
          </cell>
          <cell r="J146">
            <v>1725</v>
          </cell>
          <cell r="K146">
            <v>1750</v>
          </cell>
          <cell r="L146">
            <v>1850</v>
          </cell>
          <cell r="M146">
            <v>1900</v>
          </cell>
          <cell r="N146">
            <v>2000</v>
          </cell>
        </row>
        <row r="147">
          <cell r="B147" t="str">
            <v>N/A</v>
          </cell>
          <cell r="C147" t="str">
            <v xml:space="preserve">โช๊คประตูบานเลื่อน YOMA ขนาด 90 D </v>
          </cell>
          <cell r="D147" t="str">
            <v>สีขาวอลู / สีชา</v>
          </cell>
          <cell r="E147" t="str">
            <v>ลังละ10ชุด</v>
          </cell>
          <cell r="G147">
            <v>1200</v>
          </cell>
          <cell r="H147">
            <v>1284</v>
          </cell>
          <cell r="J147">
            <v>1337.5428000000002</v>
          </cell>
          <cell r="L147">
            <v>1380.6004560000001</v>
          </cell>
          <cell r="M147">
            <v>1426.6780800000001</v>
          </cell>
          <cell r="N147">
            <v>1510.6516799999999</v>
          </cell>
        </row>
        <row r="148">
          <cell r="B148" t="str">
            <v>N/A</v>
          </cell>
          <cell r="D148" t="str">
            <v>สีอบขาว/สีพ่นดำ</v>
          </cell>
          <cell r="E148" t="str">
            <v>ลังละ10ชุด</v>
          </cell>
          <cell r="G148">
            <v>1250</v>
          </cell>
          <cell r="H148">
            <v>1337.5</v>
          </cell>
          <cell r="J148">
            <v>1393.2737500000001</v>
          </cell>
          <cell r="L148">
            <v>1438.1254750000001</v>
          </cell>
          <cell r="M148">
            <v>1486.123</v>
          </cell>
          <cell r="N148">
            <v>1573.5954999999999</v>
          </cell>
        </row>
        <row r="149">
          <cell r="B149" t="str">
            <v>N/A</v>
          </cell>
          <cell r="C149" t="str">
            <v xml:space="preserve">โช๊คประตูบานเลื่อน YOMA ขนาด 110 D </v>
          </cell>
          <cell r="D149" t="str">
            <v>สีขาวอลู / สีชา</v>
          </cell>
          <cell r="E149" t="str">
            <v>ลังละ10ชุด</v>
          </cell>
          <cell r="G149">
            <v>1300</v>
          </cell>
          <cell r="H149">
            <v>1391</v>
          </cell>
          <cell r="J149">
            <v>1449.0047000000002</v>
          </cell>
          <cell r="L149">
            <v>1495.650494</v>
          </cell>
          <cell r="M149">
            <v>1545.5679200000002</v>
          </cell>
          <cell r="N149">
            <v>1636.5393200000001</v>
          </cell>
        </row>
        <row r="150">
          <cell r="B150" t="str">
            <v>N/A</v>
          </cell>
          <cell r="D150" t="str">
            <v>สีอบขาว/สีพ่นดำ</v>
          </cell>
          <cell r="E150" t="str">
            <v>ลังละ10ชุด</v>
          </cell>
          <cell r="G150">
            <v>1350</v>
          </cell>
          <cell r="H150">
            <v>1444.5</v>
          </cell>
          <cell r="J150">
            <v>1504.7356500000001</v>
          </cell>
          <cell r="L150">
            <v>1553.1755130000001</v>
          </cell>
          <cell r="M150">
            <v>1605.0128400000001</v>
          </cell>
          <cell r="N150">
            <v>1699.48314</v>
          </cell>
        </row>
        <row r="151">
          <cell r="B151" t="str">
            <v>N/A</v>
          </cell>
          <cell r="C151" t="str">
            <v xml:space="preserve">โช๊คประตูบานเลื่อน YOMA ขนาด 120 D </v>
          </cell>
          <cell r="D151" t="str">
            <v>สีขาวอลู / สีชา</v>
          </cell>
          <cell r="E151" t="str">
            <v xml:space="preserve">1ตัว </v>
          </cell>
          <cell r="G151">
            <v>1500</v>
          </cell>
          <cell r="H151">
            <v>1605</v>
          </cell>
          <cell r="J151">
            <v>1671.9285000000002</v>
          </cell>
          <cell r="L151">
            <v>1725.7505699999999</v>
          </cell>
          <cell r="M151">
            <v>1783.3476000000003</v>
          </cell>
          <cell r="N151">
            <v>1888.3145999999999</v>
          </cell>
        </row>
        <row r="152">
          <cell r="B152" t="str">
            <v>N/A</v>
          </cell>
          <cell r="D152" t="str">
            <v>สีอบขาว/สีพ่นดำ</v>
          </cell>
          <cell r="E152" t="str">
            <v xml:space="preserve">1ตัว </v>
          </cell>
          <cell r="G152">
            <v>1550</v>
          </cell>
          <cell r="H152">
            <v>1658.5</v>
          </cell>
          <cell r="J152">
            <v>1727.6594500000001</v>
          </cell>
          <cell r="L152">
            <v>1783.2755890000001</v>
          </cell>
          <cell r="M152">
            <v>1842.7925200000002</v>
          </cell>
          <cell r="N152">
            <v>1951.2584200000001</v>
          </cell>
        </row>
        <row r="153">
          <cell r="B153" t="str">
            <v>N/A</v>
          </cell>
          <cell r="C153" t="str">
            <v xml:space="preserve">โช๊คประตูบานเลื่อน YOMA ขนาด 150 D </v>
          </cell>
          <cell r="D153" t="str">
            <v>สีขาวอลู / สีชา</v>
          </cell>
          <cell r="E153" t="str">
            <v xml:space="preserve">1ตัว </v>
          </cell>
          <cell r="G153">
            <v>1700</v>
          </cell>
          <cell r="H153">
            <v>1819</v>
          </cell>
          <cell r="J153">
            <v>1894.8523000000002</v>
          </cell>
          <cell r="L153">
            <v>1955.8506460000001</v>
          </cell>
          <cell r="M153">
            <v>2021.1272800000002</v>
          </cell>
          <cell r="N153">
            <v>2140.08988</v>
          </cell>
        </row>
        <row r="154">
          <cell r="B154" t="str">
            <v>N/A</v>
          </cell>
          <cell r="D154" t="str">
            <v>สีอบขาว/สีพ่นดำ</v>
          </cell>
          <cell r="E154" t="str">
            <v xml:space="preserve">1ตัว </v>
          </cell>
          <cell r="G154">
            <v>1750</v>
          </cell>
          <cell r="H154">
            <v>1872.5</v>
          </cell>
          <cell r="J154">
            <v>1950.5832500000001</v>
          </cell>
          <cell r="L154">
            <v>2013.375665</v>
          </cell>
          <cell r="M154">
            <v>2080.5722000000001</v>
          </cell>
          <cell r="N154">
            <v>2203.0337</v>
          </cell>
        </row>
        <row r="155">
          <cell r="B155" t="str">
            <v>รหัส</v>
          </cell>
          <cell r="C155" t="str">
            <v>อุปกรณ์ในชั้นโชว์โช้ค Diamond</v>
          </cell>
          <cell r="D155" t="str">
            <v>สี/Note</v>
          </cell>
          <cell r="E155" t="str">
            <v>บรรจุ</v>
          </cell>
          <cell r="F155" t="str">
            <v>ราคาตั้ง</v>
          </cell>
          <cell r="G155" t="str">
            <v>RE 
ก่อนVAT</v>
          </cell>
          <cell r="H155" t="str">
            <v>ทุน
รวม VAT</v>
          </cell>
          <cell r="J155" t="str">
            <v>SDM</v>
          </cell>
          <cell r="K155" t="str">
            <v>W1</v>
          </cell>
          <cell r="L155" t="str">
            <v>W2</v>
          </cell>
          <cell r="M155" t="str">
            <v>R1</v>
          </cell>
          <cell r="N155" t="str">
            <v>R2</v>
          </cell>
        </row>
        <row r="156">
          <cell r="B156" t="str">
            <v>ของในชั้นโชว์</v>
          </cell>
          <cell r="C156" t="str">
            <v>ADM001 ชุดหางปลา (Diamond)</v>
          </cell>
          <cell r="D156" t="str">
            <v>อุปกรณ์เสริม (โช้คฝังบน)</v>
          </cell>
          <cell r="E156" t="str">
            <v>1/1</v>
          </cell>
          <cell r="G156">
            <v>420.56079999999997</v>
          </cell>
          <cell r="H156">
            <v>450.00005599999997</v>
          </cell>
          <cell r="J156">
            <v>470</v>
          </cell>
          <cell r="K156">
            <v>480</v>
          </cell>
          <cell r="L156">
            <v>500</v>
          </cell>
          <cell r="M156">
            <v>525</v>
          </cell>
          <cell r="N156">
            <v>550</v>
          </cell>
        </row>
        <row r="157">
          <cell r="B157" t="str">
            <v>ของในชั้นโชว์</v>
          </cell>
          <cell r="C157" t="str">
            <v>ADM002 ชุดเดือยล่าง (Diamond)</v>
          </cell>
          <cell r="D157" t="str">
            <v>อุปกรณ์เสริม (โช้คฝังบน)</v>
          </cell>
          <cell r="E157" t="str">
            <v>1/1</v>
          </cell>
          <cell r="G157">
            <v>214.95330000000001</v>
          </cell>
          <cell r="H157">
            <v>230.00003100000004</v>
          </cell>
          <cell r="J157">
            <v>240</v>
          </cell>
          <cell r="K157">
            <v>250</v>
          </cell>
          <cell r="L157">
            <v>260</v>
          </cell>
          <cell r="M157">
            <v>270</v>
          </cell>
          <cell r="N157">
            <v>285</v>
          </cell>
        </row>
        <row r="158">
          <cell r="B158" t="str">
            <v>ของในชั้นโชว์</v>
          </cell>
          <cell r="C158" t="str">
            <v>ADM003 ชุดฉาก (Diamond)</v>
          </cell>
          <cell r="D158" t="str">
            <v>อุปกรณ์เสริม (โช้คฝังบน)</v>
          </cell>
          <cell r="E158" t="str">
            <v>1/1</v>
          </cell>
          <cell r="G158">
            <v>214.95330000000001</v>
          </cell>
          <cell r="H158">
            <v>230.00003100000004</v>
          </cell>
          <cell r="J158">
            <v>240</v>
          </cell>
          <cell r="K158">
            <v>250</v>
          </cell>
          <cell r="L158">
            <v>260</v>
          </cell>
          <cell r="M158">
            <v>270</v>
          </cell>
          <cell r="N158">
            <v>285</v>
          </cell>
        </row>
        <row r="159">
          <cell r="B159" t="str">
            <v>ของในชั้นโชว์</v>
          </cell>
          <cell r="C159" t="str">
            <v>ADM004 จุดหมุนยึดพื้นแบบขาเรียวสี่เหลี่ยม ไม่ใช้ธรณี(Diamond)</v>
          </cell>
          <cell r="D159" t="str">
            <v>อุปกรณ์เสริม (โช้คฝังบน)</v>
          </cell>
          <cell r="E159" t="str">
            <v>1/1</v>
          </cell>
          <cell r="G159">
            <v>369.15890000000002</v>
          </cell>
          <cell r="H159">
            <v>395.00002300000006</v>
          </cell>
          <cell r="J159">
            <v>415</v>
          </cell>
          <cell r="K159">
            <v>425</v>
          </cell>
          <cell r="L159">
            <v>450</v>
          </cell>
          <cell r="M159">
            <v>485</v>
          </cell>
          <cell r="N159">
            <v>500</v>
          </cell>
        </row>
        <row r="160">
          <cell r="B160" t="str">
            <v>ของในชั้นโชว์</v>
          </cell>
          <cell r="C160" t="str">
            <v>ADM005  จุดหมุนยึดพื้น ทรงสามเหลี่ยม ไม่ใช้ธรณี (Diamond)</v>
          </cell>
          <cell r="D160" t="str">
            <v>อุปกรณ์เสริม (โช้คฝังบน)</v>
          </cell>
          <cell r="E160" t="str">
            <v>1/1</v>
          </cell>
          <cell r="G160">
            <v>369.15890000000002</v>
          </cell>
          <cell r="H160">
            <v>395.00002300000006</v>
          </cell>
          <cell r="J160">
            <v>415</v>
          </cell>
          <cell r="K160">
            <v>425</v>
          </cell>
          <cell r="L160">
            <v>450</v>
          </cell>
          <cell r="M160">
            <v>485</v>
          </cell>
          <cell r="N160">
            <v>500</v>
          </cell>
        </row>
        <row r="161">
          <cell r="B161" t="str">
            <v>ของในชั้นโชว์</v>
          </cell>
          <cell r="C161" t="str">
            <v>WDC-001 แขนยึดโช้คฝังพื้น                      (เทียบเท่า AT170 ของ VVP)</v>
          </cell>
          <cell r="D161" t="str">
            <v>อุปกรณ์เสริม 
(โช้คฝังพื้น,ประตูบานทึบ)</v>
          </cell>
          <cell r="G161">
            <v>252.3365</v>
          </cell>
          <cell r="H161">
            <v>270.00005500000003</v>
          </cell>
          <cell r="J161">
            <v>285</v>
          </cell>
          <cell r="K161">
            <v>290</v>
          </cell>
          <cell r="L161">
            <v>300</v>
          </cell>
          <cell r="M161">
            <v>315</v>
          </cell>
          <cell r="N161">
            <v>325</v>
          </cell>
        </row>
        <row r="162">
          <cell r="B162" t="str">
            <v>ของในชั้นโชว์</v>
          </cell>
          <cell r="C162" t="str">
            <v>WDC-002 เดือยยึดโช๊คฝังพื้น                      (เทียบเท่า AT110 ของ VVP)</v>
          </cell>
          <cell r="D162" t="str">
            <v>อุปกรณ์เสริม 
(โช้คฝังพื้น,ประตูบานทึบ)</v>
          </cell>
          <cell r="G162">
            <v>299.09550000000002</v>
          </cell>
          <cell r="H162">
            <v>320.03218500000003</v>
          </cell>
          <cell r="J162">
            <v>335</v>
          </cell>
          <cell r="K162">
            <v>350</v>
          </cell>
          <cell r="L162">
            <v>360</v>
          </cell>
          <cell r="M162">
            <v>375</v>
          </cell>
          <cell r="N162">
            <v>385</v>
          </cell>
        </row>
        <row r="163">
          <cell r="B163" t="str">
            <v>ของในชั้นโชว์</v>
          </cell>
          <cell r="C163" t="str">
            <v>AG140 แป้นยึดกระจก</v>
          </cell>
          <cell r="D163" t="str">
            <v>อุปกรณ์เสริม 
(โช้คฝังพื้น,ประตูบานเปลือย)</v>
          </cell>
          <cell r="G163">
            <v>88.7851</v>
          </cell>
          <cell r="H163">
            <v>95.000057000000012</v>
          </cell>
          <cell r="J163">
            <v>100</v>
          </cell>
          <cell r="K163">
            <v>105</v>
          </cell>
          <cell r="L163">
            <v>110</v>
          </cell>
          <cell r="M163">
            <v>115</v>
          </cell>
          <cell r="N163">
            <v>120</v>
          </cell>
        </row>
        <row r="164">
          <cell r="B164" t="str">
            <v>ของในชั้นโชว์</v>
          </cell>
          <cell r="C164" t="str">
            <v>GDC-201 ตัวหนีบกระจกบน                        (เทียบเท่า FT20 ของ VVP)</v>
          </cell>
          <cell r="D164" t="str">
            <v>อุปกรณ์เสริม 
(โช้คฝังพื้น,ประตูบานเปลือย)</v>
          </cell>
          <cell r="G164">
            <v>448.59820000000002</v>
          </cell>
          <cell r="H164">
            <v>480.00007400000004</v>
          </cell>
          <cell r="J164">
            <v>505</v>
          </cell>
          <cell r="K164">
            <v>515</v>
          </cell>
          <cell r="L164">
            <v>535</v>
          </cell>
          <cell r="M164">
            <v>550</v>
          </cell>
          <cell r="N164">
            <v>565</v>
          </cell>
        </row>
        <row r="165">
          <cell r="B165" t="str">
            <v>ของในชั้นโชว์</v>
          </cell>
          <cell r="C165" t="str">
            <v>GDC-202 ตัวหนีบกระจกล่าง                        (เทียบเท่า FT10 ของVVP)</v>
          </cell>
          <cell r="D165" t="str">
            <v>อุปกรณ์เสริม 
(โช้คฝังพื้น,ประตูบานเปลือย)</v>
          </cell>
          <cell r="G165">
            <v>448.59820000000002</v>
          </cell>
          <cell r="H165">
            <v>480.00007400000004</v>
          </cell>
          <cell r="J165">
            <v>505</v>
          </cell>
          <cell r="K165">
            <v>515</v>
          </cell>
          <cell r="L165">
            <v>535</v>
          </cell>
          <cell r="M165">
            <v>550</v>
          </cell>
          <cell r="N165">
            <v>565</v>
          </cell>
        </row>
        <row r="166">
          <cell r="B166" t="str">
            <v>ของในชั้นโชว์</v>
          </cell>
          <cell r="C166" t="str">
            <v>GDC-203 กุญแจล็อคประตูฝังพื้น                  (เทียบเท่า FL50 ของ VVP)</v>
          </cell>
          <cell r="D166" t="str">
            <v>อุปกรณ์เสริม 
(โช้คฝังพื้น,ประตูบานเปลือย)</v>
          </cell>
          <cell r="G166">
            <v>1028.0373999999999</v>
          </cell>
          <cell r="H166">
            <v>1100.000018</v>
          </cell>
          <cell r="J166">
            <v>1150</v>
          </cell>
          <cell r="K166">
            <v>1180</v>
          </cell>
          <cell r="L166">
            <v>1225</v>
          </cell>
          <cell r="M166">
            <v>1250</v>
          </cell>
          <cell r="N166">
            <v>1285</v>
          </cell>
        </row>
        <row r="167">
          <cell r="B167" t="str">
            <v>ของในชั้นโชว์</v>
          </cell>
          <cell r="C167" t="str">
            <v>GDC-204 ตัวหนีบช่องแสงบนและข้าง          (เทียบเท่า FT40 ของ VVP)</v>
          </cell>
          <cell r="D167" t="str">
            <v>อุปกรณ์เสริม 
(โช้คฝังพื้น,ประตูบานเปลือย)</v>
          </cell>
          <cell r="G167">
            <v>869.15890000000002</v>
          </cell>
          <cell r="H167">
            <v>930.00002300000006</v>
          </cell>
          <cell r="J167">
            <v>985</v>
          </cell>
          <cell r="K167">
            <v>1000</v>
          </cell>
          <cell r="L167">
            <v>1025</v>
          </cell>
          <cell r="M167">
            <v>1050</v>
          </cell>
          <cell r="N167">
            <v>1070</v>
          </cell>
        </row>
        <row r="168">
          <cell r="B168" t="str">
            <v>ของในชั้นโชว์</v>
          </cell>
          <cell r="C168" t="str">
            <v>TDM-DC001 โช้คอัพประตูไม้ ประตูกว้างไม่เกิน 900-1300มม 
นน.ไม่เกิน 80kg (รับประกัน 1ปี)</v>
          </cell>
          <cell r="D168" t="str">
            <v>โช้คประตูบานเปิด</v>
          </cell>
          <cell r="G168">
            <v>1355.1402</v>
          </cell>
          <cell r="H168">
            <v>1450.0000140000002</v>
          </cell>
          <cell r="J168">
            <v>1515</v>
          </cell>
          <cell r="K168">
            <v>1550</v>
          </cell>
          <cell r="L168">
            <v>1600</v>
          </cell>
          <cell r="M168">
            <v>1650</v>
          </cell>
          <cell r="N168">
            <v>1700</v>
          </cell>
        </row>
        <row r="169">
          <cell r="B169" t="str">
            <v>ของในชั้นโชว์</v>
          </cell>
          <cell r="C169" t="str">
            <v>TDM-DC002 โช๊คอัพประตูไม้ ประตูกว้างไม่เกิน 1000-2000มม 
นน.ไม่เกิน 110kg (รับประกัน 1ปี)</v>
          </cell>
          <cell r="D169" t="str">
            <v>โช้คประตูบานเปิด</v>
          </cell>
          <cell r="G169">
            <v>1542.0561</v>
          </cell>
          <cell r="H169">
            <v>1650.000027</v>
          </cell>
          <cell r="J169">
            <v>1750</v>
          </cell>
          <cell r="K169">
            <v>1800</v>
          </cell>
          <cell r="L169">
            <v>1850</v>
          </cell>
          <cell r="M169">
            <v>1900</v>
          </cell>
          <cell r="N169">
            <v>1950</v>
          </cell>
        </row>
        <row r="170">
          <cell r="B170" t="str">
            <v>ของในชั้นโชว์</v>
          </cell>
          <cell r="C170" t="str">
            <v>TDM-DC003 โช้คอัพประตูไม้ ประตูกว้างไม่เกิน 500-1000มม 
นน.ไม่เกิน 45kg (รับประกัน 1ปี)</v>
          </cell>
          <cell r="D170" t="str">
            <v>โช้คประตูบานเปิด</v>
          </cell>
          <cell r="G170">
            <v>794.39260000000002</v>
          </cell>
          <cell r="H170">
            <v>850.00008200000002</v>
          </cell>
          <cell r="J170">
            <v>890</v>
          </cell>
          <cell r="K170">
            <v>915</v>
          </cell>
          <cell r="L170">
            <v>950</v>
          </cell>
          <cell r="M170">
            <v>985</v>
          </cell>
          <cell r="N170">
            <v>1000</v>
          </cell>
        </row>
        <row r="171">
          <cell r="B171" t="str">
            <v>ของในชั้นโชว์</v>
          </cell>
          <cell r="C171" t="str">
            <v>TDM-DC004 โช้คอัพประตูไม้  ประตูกว้างไม่เกิน 600-1200มม 
นน.ไม่เกิน 65kg (รับประกัน 1ปี)</v>
          </cell>
          <cell r="D171" t="str">
            <v>โช้คประตูบานเปิด</v>
          </cell>
          <cell r="G171">
            <v>981.30849999999998</v>
          </cell>
          <cell r="H171">
            <v>1050.0000950000001</v>
          </cell>
          <cell r="J171">
            <v>1100</v>
          </cell>
          <cell r="K171">
            <v>1135</v>
          </cell>
          <cell r="L171">
            <v>1165</v>
          </cell>
          <cell r="M171">
            <v>1200</v>
          </cell>
          <cell r="N171">
            <v>1250</v>
          </cell>
        </row>
        <row r="172">
          <cell r="B172" t="str">
            <v>สินค้าใหม่</v>
          </cell>
          <cell r="C172" t="str">
            <v>TDM-DC202 โช้คอัพประตูแขนสไลด์ 2ระบบ  
รับน้ำหนักไม่เกิน 80-90kg.</v>
          </cell>
          <cell r="D172" t="str">
            <v>ขาวอลู</v>
          </cell>
          <cell r="E172" t="str">
            <v>ราคา 1ตัว</v>
          </cell>
          <cell r="G172">
            <v>1915.8878999999999</v>
          </cell>
          <cell r="H172">
            <v>2050.0000530000002</v>
          </cell>
          <cell r="J172">
            <v>2150</v>
          </cell>
          <cell r="K172">
            <v>2200</v>
          </cell>
          <cell r="L172">
            <v>2250</v>
          </cell>
          <cell r="M172">
            <v>2300</v>
          </cell>
          <cell r="N172">
            <v>2400</v>
          </cell>
        </row>
        <row r="173">
          <cell r="D173" t="str">
            <v>ขาวอลู</v>
          </cell>
          <cell r="E173" t="str">
            <v>ราคาโปร 2ตัวขึ้นไป</v>
          </cell>
          <cell r="G173">
            <v>1261.6822999999999</v>
          </cell>
          <cell r="H173">
            <v>1350.000061</v>
          </cell>
          <cell r="J173">
            <v>1550</v>
          </cell>
          <cell r="K173">
            <v>1600</v>
          </cell>
          <cell r="L173">
            <v>1650</v>
          </cell>
          <cell r="M173">
            <v>1700</v>
          </cell>
          <cell r="N173">
            <v>1750</v>
          </cell>
        </row>
        <row r="174">
          <cell r="B174" t="str">
            <v>สินค้าใหม่</v>
          </cell>
          <cell r="C174" t="str">
            <v>TDM-DC202 โช้คอัพประตูแขนสไลด์ 2ระบบ 
รับน้ำหนักไม่เกิน 80-90kg. (ไม่ตั้งค้าง)</v>
          </cell>
          <cell r="D174" t="str">
            <v>ดำด้าน/ดำเงา/อบขาว</v>
          </cell>
          <cell r="E174" t="str">
            <v>ราคา 1ตัว</v>
          </cell>
          <cell r="G174">
            <v>2196.2617</v>
          </cell>
          <cell r="H174">
            <v>2350.0000190000001</v>
          </cell>
          <cell r="J174">
            <v>2450</v>
          </cell>
          <cell r="K174">
            <v>2500</v>
          </cell>
          <cell r="L174">
            <v>2650</v>
          </cell>
          <cell r="M174">
            <v>2750</v>
          </cell>
          <cell r="N174">
            <v>2850</v>
          </cell>
        </row>
        <row r="175">
          <cell r="D175" t="str">
            <v>ดำด้าน/ดำเงา/อบขาว</v>
          </cell>
          <cell r="E175" t="str">
            <v>ราคาโปร 2ตัวขึ้นไป</v>
          </cell>
          <cell r="G175">
            <v>1542.0561</v>
          </cell>
          <cell r="H175">
            <v>1650.000027</v>
          </cell>
          <cell r="J175">
            <v>1800</v>
          </cell>
          <cell r="K175">
            <v>1850</v>
          </cell>
          <cell r="L175">
            <v>1950</v>
          </cell>
          <cell r="M175">
            <v>2000</v>
          </cell>
          <cell r="N175">
            <v>2250</v>
          </cell>
        </row>
        <row r="177">
          <cell r="B177" t="str">
            <v>รหัส</v>
          </cell>
          <cell r="C177" t="str">
            <v>รายการ (ลูกล้อ)</v>
          </cell>
          <cell r="D177" t="str">
            <v>สี</v>
          </cell>
          <cell r="E177" t="str">
            <v>บรรจุ</v>
          </cell>
          <cell r="G177" t="str">
            <v>ทุน
ก่อน VAT</v>
          </cell>
          <cell r="H177" t="str">
            <v>ทุน
รวม VAT</v>
          </cell>
          <cell r="J177" t="str">
            <v>SDM</v>
          </cell>
          <cell r="K177" t="str">
            <v>W1</v>
          </cell>
          <cell r="L177" t="str">
            <v>W2</v>
          </cell>
          <cell r="M177" t="str">
            <v>R1</v>
          </cell>
          <cell r="N177" t="str">
            <v>R2</v>
          </cell>
        </row>
        <row r="178">
          <cell r="B178" t="str">
            <v>E014030212C0010100</v>
          </cell>
          <cell r="C178" t="str">
            <v>ลูกล้อบานเลื่อนเดี่ยว (น้ำเงิน) GETON (1คู่ รับนน. 25กก.)</v>
          </cell>
          <cell r="D178" t="str">
            <v>น้ำเงิน</v>
          </cell>
          <cell r="E178" t="str">
            <v>ลัง/200ตัว</v>
          </cell>
          <cell r="G178">
            <v>15.73</v>
          </cell>
          <cell r="H178">
            <v>16.831100000000003</v>
          </cell>
          <cell r="J178">
            <v>17.75</v>
          </cell>
          <cell r="K178">
            <v>18</v>
          </cell>
          <cell r="L178">
            <v>19</v>
          </cell>
          <cell r="M178">
            <v>19.5</v>
          </cell>
          <cell r="N178">
            <v>21</v>
          </cell>
        </row>
        <row r="179">
          <cell r="B179" t="str">
            <v>E014030211C0010100</v>
          </cell>
          <cell r="C179" t="str">
            <v>ลูกล้อบานเลื่อนเดี่ยว (แดง) GETON  (1คู่ รับนน.50กก.)</v>
          </cell>
          <cell r="D179" t="str">
            <v>แดง</v>
          </cell>
          <cell r="E179" t="str">
            <v>ลัง/100ตัว</v>
          </cell>
          <cell r="G179">
            <v>26.65</v>
          </cell>
          <cell r="H179">
            <v>28.515499999999999</v>
          </cell>
          <cell r="J179">
            <v>30</v>
          </cell>
          <cell r="K179">
            <v>31</v>
          </cell>
          <cell r="L179">
            <v>31.5</v>
          </cell>
          <cell r="M179">
            <v>33.5</v>
          </cell>
          <cell r="N179">
            <v>35</v>
          </cell>
        </row>
        <row r="180">
          <cell r="B180" t="str">
            <v>E014030210C0010100</v>
          </cell>
          <cell r="C180" t="str">
            <v>ลูกล้อบานเลื่อนเดี่ยว (เขียว) GETON (1คู่ รับ นน.30กก.)</v>
          </cell>
          <cell r="D180" t="str">
            <v>เขียว</v>
          </cell>
          <cell r="E180" t="str">
            <v>ลัง/300ตัว</v>
          </cell>
          <cell r="G180">
            <v>18.100000000000001</v>
          </cell>
          <cell r="H180">
            <v>19.367000000000001</v>
          </cell>
          <cell r="J180">
            <v>20.5</v>
          </cell>
          <cell r="K180">
            <v>21</v>
          </cell>
          <cell r="L180">
            <v>21.5</v>
          </cell>
          <cell r="M180">
            <v>23</v>
          </cell>
          <cell r="N180">
            <v>24.5</v>
          </cell>
        </row>
        <row r="181">
          <cell r="B181" t="str">
            <v>E014030211C0010200</v>
          </cell>
          <cell r="C181" t="str">
            <v>ลูกล้อบานเลื่อนคู่ GETON      (1คู่ รับนน.70กก.)</v>
          </cell>
          <cell r="D181" t="str">
            <v>แดง</v>
          </cell>
          <cell r="E181" t="str">
            <v>ลัง/100ตัว</v>
          </cell>
          <cell r="G181">
            <v>49.45</v>
          </cell>
          <cell r="H181">
            <v>52.911500000000004</v>
          </cell>
          <cell r="J181">
            <v>55.5</v>
          </cell>
          <cell r="K181">
            <v>57</v>
          </cell>
          <cell r="L181">
            <v>59</v>
          </cell>
          <cell r="M181">
            <v>63</v>
          </cell>
          <cell r="N181">
            <v>66</v>
          </cell>
        </row>
        <row r="182">
          <cell r="B182" t="str">
            <v>E014030800C0010400</v>
          </cell>
          <cell r="C182" t="str">
            <v>ลูกล้อรางแขวน 4 ล้อ GETON (1คู่ รับนน. 80กก.)</v>
          </cell>
          <cell r="D182" t="str">
            <v>N/A</v>
          </cell>
          <cell r="E182" t="str">
            <v>ลัง/100ตัว</v>
          </cell>
          <cell r="G182">
            <v>108.35</v>
          </cell>
          <cell r="H182">
            <v>115.9345</v>
          </cell>
          <cell r="J182">
            <v>121</v>
          </cell>
          <cell r="K182">
            <v>125</v>
          </cell>
          <cell r="L182">
            <v>129</v>
          </cell>
          <cell r="M182">
            <v>137</v>
          </cell>
          <cell r="N182">
            <v>142</v>
          </cell>
        </row>
        <row r="183">
          <cell r="B183" t="str">
            <v>E014030800C0010100</v>
          </cell>
          <cell r="C183" t="str">
            <v>ลูกล้อไกด์ GETON</v>
          </cell>
          <cell r="D183" t="str">
            <v>N/A</v>
          </cell>
          <cell r="E183" t="str">
            <v>ถุง/10ตัว *ขั้นต่ำ100ตัว</v>
          </cell>
          <cell r="G183">
            <v>16.68</v>
          </cell>
          <cell r="H183">
            <v>17.8476</v>
          </cell>
          <cell r="J183">
            <v>19</v>
          </cell>
          <cell r="K183">
            <v>19.5</v>
          </cell>
          <cell r="L183">
            <v>20</v>
          </cell>
          <cell r="M183">
            <v>21</v>
          </cell>
          <cell r="N183">
            <v>22</v>
          </cell>
        </row>
        <row r="184">
          <cell r="B184" t="str">
            <v>E014030900C0000100</v>
          </cell>
          <cell r="C184" t="str">
            <v xml:space="preserve">ลูกล้อมุ้งพลาสติก GETON </v>
          </cell>
          <cell r="D184" t="str">
            <v>N/A</v>
          </cell>
          <cell r="E184" t="str">
            <v>ลัง/500ตัว</v>
          </cell>
          <cell r="G184">
            <v>8.6</v>
          </cell>
          <cell r="H184">
            <v>9.202</v>
          </cell>
          <cell r="J184">
            <v>9.75</v>
          </cell>
          <cell r="K184">
            <v>10</v>
          </cell>
          <cell r="L184">
            <v>10.5</v>
          </cell>
          <cell r="M184">
            <v>11</v>
          </cell>
          <cell r="N184">
            <v>12</v>
          </cell>
        </row>
        <row r="185">
          <cell r="B185" t="str">
            <v>E014030000C0000100</v>
          </cell>
          <cell r="C185" t="str">
            <v>ลูกล้อลูกปืนรางหนีบ GETON     (ยกเลิกผลิต ประกาศ ณ วันที่6/9/67)</v>
          </cell>
          <cell r="D185" t="str">
            <v>N/A</v>
          </cell>
          <cell r="E185" t="str">
            <v>ถุง/100ตัว *ขั้นต่ำ100ตัว</v>
          </cell>
          <cell r="G185">
            <v>18.05</v>
          </cell>
          <cell r="H185">
            <v>19.313500000000001</v>
          </cell>
          <cell r="J185">
            <v>20.25</v>
          </cell>
          <cell r="K185">
            <v>20.25</v>
          </cell>
          <cell r="L185">
            <v>21</v>
          </cell>
          <cell r="M185">
            <v>22</v>
          </cell>
          <cell r="N185">
            <v>23</v>
          </cell>
        </row>
        <row r="186">
          <cell r="B186" t="str">
            <v>E102030000C0000100</v>
          </cell>
          <cell r="C186" t="str">
            <v>ลูกล้อลูกปืนรางหนีบ ตราใบไม้  (Pre-order)</v>
          </cell>
          <cell r="D186" t="str">
            <v>ทดแทน Geton</v>
          </cell>
          <cell r="E186" t="str">
            <v>100ตัว/ถุง</v>
          </cell>
          <cell r="G186">
            <v>13.5</v>
          </cell>
          <cell r="H186">
            <v>14.445</v>
          </cell>
          <cell r="J186">
            <v>18</v>
          </cell>
          <cell r="K186">
            <v>19</v>
          </cell>
          <cell r="L186">
            <v>20</v>
          </cell>
          <cell r="M186">
            <v>21</v>
          </cell>
          <cell r="N186">
            <v>22</v>
          </cell>
        </row>
        <row r="187">
          <cell r="B187" t="str">
            <v>E015030900C0030100</v>
          </cell>
          <cell r="C187" t="str">
            <v xml:space="preserve">ลูกล้อมุ้งพลาสติก (มีลูกปืน) HOYA </v>
          </cell>
          <cell r="E187" t="str">
            <v>ลัง/500 ลูก</v>
          </cell>
          <cell r="G187">
            <v>6.0747999999999998</v>
          </cell>
          <cell r="H187">
            <v>6.5000359999999997</v>
          </cell>
          <cell r="J187">
            <v>7</v>
          </cell>
          <cell r="K187">
            <v>7.25</v>
          </cell>
          <cell r="L187">
            <v>7.5</v>
          </cell>
          <cell r="M187">
            <v>8</v>
          </cell>
          <cell r="N187">
            <v>9</v>
          </cell>
        </row>
        <row r="188">
          <cell r="B188" t="str">
            <v>E002030211C0010100</v>
          </cell>
          <cell r="C188" t="str">
            <v>ลูกล้อบานเลื่อนเดี่ยว (แดง) TOP                 (1คู่ รับนน.60-70kg.)</v>
          </cell>
          <cell r="D188" t="str">
            <v>แดง</v>
          </cell>
          <cell r="E188" t="str">
            <v>ลัง/200ตัว</v>
          </cell>
          <cell r="G188">
            <v>19</v>
          </cell>
          <cell r="H188">
            <v>20.330000000000002</v>
          </cell>
          <cell r="J188">
            <v>21.25</v>
          </cell>
          <cell r="K188">
            <v>21.25</v>
          </cell>
          <cell r="L188">
            <v>22</v>
          </cell>
          <cell r="M188">
            <v>22.75</v>
          </cell>
          <cell r="N188">
            <v>24</v>
          </cell>
        </row>
        <row r="189">
          <cell r="B189" t="str">
            <v>E002030210C0010100</v>
          </cell>
          <cell r="C189" t="str">
            <v>ลูกล้อบานเลื่อนเดี่ยว (เขียว) TOP               (1คู่ รับนน. 40-50kg.)</v>
          </cell>
          <cell r="D189" t="str">
            <v>เขียว</v>
          </cell>
          <cell r="E189" t="str">
            <v>ลัง/200ตัว</v>
          </cell>
          <cell r="G189">
            <v>13.5</v>
          </cell>
          <cell r="H189">
            <v>14.445</v>
          </cell>
          <cell r="J189">
            <v>15.25</v>
          </cell>
          <cell r="K189">
            <v>15.5</v>
          </cell>
          <cell r="L189">
            <v>16</v>
          </cell>
          <cell r="M189">
            <v>16.5</v>
          </cell>
          <cell r="N189">
            <v>17</v>
          </cell>
        </row>
        <row r="190">
          <cell r="B190" t="str">
            <v>E002030211C0010200</v>
          </cell>
          <cell r="C190" t="str">
            <v>ลูกล้อบานเลื่อนคู่ TOP                              (1คู่ รับนน. 70-100kg.)</v>
          </cell>
          <cell r="D190" t="str">
            <v>แดง</v>
          </cell>
          <cell r="E190" t="str">
            <v>ลัง/100ตัว</v>
          </cell>
          <cell r="G190">
            <v>31</v>
          </cell>
          <cell r="H190">
            <v>33.17</v>
          </cell>
          <cell r="J190">
            <v>35</v>
          </cell>
          <cell r="K190">
            <v>35</v>
          </cell>
          <cell r="L190">
            <v>36</v>
          </cell>
          <cell r="M190">
            <v>37</v>
          </cell>
          <cell r="N190">
            <v>39</v>
          </cell>
        </row>
        <row r="191">
          <cell r="B191" t="str">
            <v>E002030800C0010400</v>
          </cell>
          <cell r="C191" t="str">
            <v>ลูกล้อรางแขวน 4 ล้อ TOP (ใหญ่)               (1คู่ รับนน. 120kg.)</v>
          </cell>
          <cell r="D191" t="str">
            <v>เดี่ยว</v>
          </cell>
          <cell r="E191" t="str">
            <v>ลัง/100ตัว</v>
          </cell>
          <cell r="G191">
            <v>44</v>
          </cell>
          <cell r="H191">
            <v>47.080000000000005</v>
          </cell>
          <cell r="J191">
            <v>50</v>
          </cell>
          <cell r="K191">
            <v>50</v>
          </cell>
          <cell r="L191">
            <v>52</v>
          </cell>
          <cell r="M191">
            <v>53</v>
          </cell>
          <cell r="N191">
            <v>55</v>
          </cell>
        </row>
        <row r="192">
          <cell r="B192" t="str">
            <v>E002030900C0000100</v>
          </cell>
          <cell r="C192" t="str">
            <v>ลูกล้อมุ้งพลาสติก TOP (มีลูกปืน)               (1บานล้อมุ้ง4ตัว บน-ล่าง)</v>
          </cell>
          <cell r="D192" t="str">
            <v>N/A</v>
          </cell>
          <cell r="E192" t="str">
            <v>ลัง/500ตัว</v>
          </cell>
          <cell r="G192">
            <v>7.3</v>
          </cell>
          <cell r="H192">
            <v>7.8109999999999999</v>
          </cell>
          <cell r="J192">
            <v>8.25</v>
          </cell>
          <cell r="K192">
            <v>8.25</v>
          </cell>
          <cell r="L192">
            <v>8.5</v>
          </cell>
          <cell r="M192">
            <v>8.75</v>
          </cell>
          <cell r="N192">
            <v>9.25</v>
          </cell>
        </row>
        <row r="193">
          <cell r="B193" t="str">
            <v>NAN0000-0757000</v>
          </cell>
          <cell r="C193" t="str">
            <v>ลูกล้อรางแขวนใหญ่ 6 ล้อ DEE-ON  (เดี่ยว)     (1คู่ รับนน. 160kg.)</v>
          </cell>
          <cell r="D193" t="str">
            <v>เดี่ยว</v>
          </cell>
          <cell r="E193" t="str">
            <v>ลัง/100</v>
          </cell>
          <cell r="G193">
            <v>95</v>
          </cell>
          <cell r="H193">
            <v>101.65</v>
          </cell>
          <cell r="J193">
            <v>108</v>
          </cell>
          <cell r="K193">
            <v>108</v>
          </cell>
          <cell r="L193">
            <v>110</v>
          </cell>
          <cell r="M193">
            <v>115</v>
          </cell>
          <cell r="N193">
            <v>120</v>
          </cell>
        </row>
        <row r="194">
          <cell r="B194" t="str">
            <v>E067030800C0010401</v>
          </cell>
          <cell r="C194" t="str">
            <v>ลูกล้อรางแขวนเล็ก 1นิ้ว (คู่) TOP-CO  (หน่วยในระบบเป็นตัว/การใช้งานใช้เป็นคู่)(1กล่องมี2ตัว)</v>
          </cell>
          <cell r="D194" t="str">
            <v>ราคาสำหรับขาย(คู่)</v>
          </cell>
          <cell r="E194" t="str">
            <v>ลัง/100ตัว-50กล่อง</v>
          </cell>
          <cell r="G194">
            <v>125</v>
          </cell>
          <cell r="H194">
            <v>133.75</v>
          </cell>
          <cell r="J194">
            <v>140</v>
          </cell>
          <cell r="K194">
            <v>140</v>
          </cell>
          <cell r="L194">
            <v>145</v>
          </cell>
          <cell r="M194">
            <v>150</v>
          </cell>
          <cell r="N194">
            <v>160</v>
          </cell>
        </row>
        <row r="195">
          <cell r="B195" t="str">
            <v>E018030211C0010200</v>
          </cell>
          <cell r="C195" t="str">
            <v xml:space="preserve">ลูกล้อบานเลื่อนเดี่ยว (แดง)  MASUTA </v>
          </cell>
          <cell r="D195" t="str">
            <v>แดง</v>
          </cell>
          <cell r="E195" t="str">
            <v>ลัง/200ตัว(สั่ง 10ลัง)</v>
          </cell>
          <cell r="G195">
            <v>13</v>
          </cell>
          <cell r="H195">
            <v>13.91</v>
          </cell>
          <cell r="J195">
            <v>14.5</v>
          </cell>
          <cell r="K195">
            <v>15</v>
          </cell>
          <cell r="L195">
            <v>16</v>
          </cell>
          <cell r="M195">
            <v>18</v>
          </cell>
          <cell r="N195">
            <v>17.387499999999999</v>
          </cell>
        </row>
        <row r="196">
          <cell r="B196" t="str">
            <v>E018030900C0011200</v>
          </cell>
          <cell r="C196" t="str">
            <v>ลูกล้อมุ้งพลาสติก (ลูกปืน)  MASUTA</v>
          </cell>
          <cell r="D196" t="str">
            <v>N/A</v>
          </cell>
          <cell r="E196" t="str">
            <v>ลัง/500ตัว</v>
          </cell>
          <cell r="G196">
            <v>5</v>
          </cell>
          <cell r="H196">
            <v>5.3500000000000005</v>
          </cell>
          <cell r="J196">
            <v>6</v>
          </cell>
          <cell r="K196">
            <v>6.5</v>
          </cell>
          <cell r="L196">
            <v>7</v>
          </cell>
          <cell r="M196">
            <v>7.5</v>
          </cell>
          <cell r="N196">
            <v>8</v>
          </cell>
        </row>
        <row r="197">
          <cell r="B197" t="str">
            <v>N/A</v>
          </cell>
          <cell r="C197" t="str">
            <v>ลูกบานเลื่อนเดี่ยว (ลูกปืนเรียง8ลูก) สำหรับหน้าต่างเล็กไม่เน้นรับน้ำหนัก)      สินค้า Pre-Order</v>
          </cell>
          <cell r="D197" t="str">
            <v>N/A</v>
          </cell>
          <cell r="E197" t="str">
            <v xml:space="preserve">ลัง/200ตัว </v>
          </cell>
          <cell r="G197">
            <v>6.0747999999999998</v>
          </cell>
          <cell r="H197">
            <v>6.5000359999999997</v>
          </cell>
          <cell r="J197">
            <v>6.8</v>
          </cell>
          <cell r="K197">
            <v>7</v>
          </cell>
          <cell r="L197">
            <v>7.25</v>
          </cell>
          <cell r="M197">
            <v>7.75</v>
          </cell>
          <cell r="N197">
            <v>8.1250450000000001</v>
          </cell>
        </row>
        <row r="198">
          <cell r="B198" t="str">
            <v>E017030211C0500300</v>
          </cell>
          <cell r="C198" t="str">
            <v>ลูกล้อบานเลื่อนเดี่ยว (แดง)  PBM #050-03</v>
          </cell>
          <cell r="E198" t="str">
            <v>ลัง/200ตัว</v>
          </cell>
          <cell r="G198">
            <v>14.9533</v>
          </cell>
          <cell r="H198">
            <v>16.000031</v>
          </cell>
          <cell r="J198">
            <v>16.75</v>
          </cell>
          <cell r="K198">
            <v>16.75</v>
          </cell>
          <cell r="L198">
            <v>17.25</v>
          </cell>
          <cell r="M198">
            <v>18</v>
          </cell>
          <cell r="N198">
            <v>19</v>
          </cell>
        </row>
        <row r="199">
          <cell r="B199" t="str">
            <v>E017030210C0500200</v>
          </cell>
          <cell r="C199" t="str">
            <v>ลูกล้อบานเลื่อนเดี่ยว (เขียว) PBM #050-02   **เบิกที่บางไทรเท่านั้น**</v>
          </cell>
          <cell r="E199" t="str">
            <v>ลัง/200ตัว</v>
          </cell>
          <cell r="G199">
            <v>9.14</v>
          </cell>
          <cell r="H199">
            <v>9.7798000000000016</v>
          </cell>
          <cell r="J199">
            <v>10.25</v>
          </cell>
          <cell r="K199">
            <v>10.25</v>
          </cell>
          <cell r="L199">
            <v>10.75</v>
          </cell>
          <cell r="M199">
            <v>11</v>
          </cell>
          <cell r="N199">
            <v>12</v>
          </cell>
        </row>
        <row r="200">
          <cell r="E200" t="str">
            <v>ราคาขายปลีก</v>
          </cell>
          <cell r="G200">
            <v>14.071870000000001</v>
          </cell>
          <cell r="H200">
            <v>15.056900900000002</v>
          </cell>
          <cell r="J200">
            <v>15.5</v>
          </cell>
          <cell r="K200">
            <v>15.5</v>
          </cell>
          <cell r="L200">
            <v>16.5</v>
          </cell>
          <cell r="M200">
            <v>17</v>
          </cell>
          <cell r="N200">
            <v>18</v>
          </cell>
        </row>
        <row r="201">
          <cell r="B201" t="str">
            <v>E017030211C0500400</v>
          </cell>
          <cell r="C201" t="str">
            <v xml:space="preserve">ลูกล้อบานเลื่อนคู่ PBM #050-04                                </v>
          </cell>
          <cell r="D201" t="str">
            <v>N/A</v>
          </cell>
          <cell r="E201" t="str">
            <v>ลัง/100ตัว  (1ลัง)</v>
          </cell>
          <cell r="G201">
            <v>27.102799999999998</v>
          </cell>
          <cell r="H201">
            <v>28.999995999999999</v>
          </cell>
          <cell r="J201">
            <v>31</v>
          </cell>
          <cell r="K201">
            <v>31.5</v>
          </cell>
          <cell r="L201">
            <v>32</v>
          </cell>
          <cell r="M201">
            <v>33.5</v>
          </cell>
          <cell r="N201">
            <v>34</v>
          </cell>
        </row>
        <row r="202">
          <cell r="B202" t="str">
            <v>E017030211C0500400</v>
          </cell>
          <cell r="C202" t="str">
            <v xml:space="preserve">ลูกล้อบานเลื่อนคู่ PBM #050-04                       </v>
          </cell>
          <cell r="D202" t="str">
            <v>ราคาซื้อ (เบิกบางไทร)</v>
          </cell>
          <cell r="E202" t="str">
            <v>ราคาขายปลีก</v>
          </cell>
          <cell r="G202">
            <v>24.299099999999999</v>
          </cell>
          <cell r="H202">
            <v>26.000036999999999</v>
          </cell>
          <cell r="J202">
            <v>27.5</v>
          </cell>
          <cell r="K202">
            <v>28</v>
          </cell>
          <cell r="L202">
            <v>29</v>
          </cell>
          <cell r="M202">
            <v>31</v>
          </cell>
          <cell r="N202">
            <v>33</v>
          </cell>
        </row>
        <row r="203">
          <cell r="B203" t="str">
            <v xml:space="preserve"> </v>
          </cell>
          <cell r="C203" t="str">
            <v>ลูกล้อมุ้งพลาสติกแบบลูกปืน PBM #050-19                 สินค้า Pre-Order</v>
          </cell>
          <cell r="D203" t="str">
            <v>N/A</v>
          </cell>
          <cell r="E203" t="str">
            <v>ลัง/500ตัว</v>
          </cell>
          <cell r="G203">
            <v>6.0747999999999998</v>
          </cell>
          <cell r="H203">
            <v>6.5000359999999997</v>
          </cell>
          <cell r="J203">
            <v>6.85</v>
          </cell>
          <cell r="K203">
            <v>6.85</v>
          </cell>
          <cell r="L203">
            <v>7</v>
          </cell>
          <cell r="M203">
            <v>7.5</v>
          </cell>
          <cell r="N203">
            <v>8</v>
          </cell>
        </row>
        <row r="204">
          <cell r="B204" t="str">
            <v>E017030800C0500900</v>
          </cell>
          <cell r="C204" t="str">
            <v>ล้อรางแขวน 4 ล้อ (คู่)  PBM #050-09 (รับนน. 40Kg.) รหัสเพื่อซื้อ</v>
          </cell>
          <cell r="D204" t="str">
            <v>N/A</v>
          </cell>
          <cell r="E204" t="str">
            <v>ลัง /36คู่ (ราคา10ลัง)</v>
          </cell>
          <cell r="G204">
            <v>84.112099999999998</v>
          </cell>
          <cell r="H204">
            <v>89.999947000000006</v>
          </cell>
        </row>
        <row r="205">
          <cell r="B205" t="str">
            <v>E017030800C0500900</v>
          </cell>
          <cell r="C205" t="str">
            <v>ล้อรางแขวน 4 ล้อ (คู่)  PBM #050-09 (รับนน. 40Kg.) รหัสเพื่อซื้อ</v>
          </cell>
          <cell r="E205" t="str">
            <v>โปร 30ลัง</v>
          </cell>
          <cell r="G205">
            <v>76.635514018600006</v>
          </cell>
          <cell r="H205">
            <v>81.999999999902016</v>
          </cell>
          <cell r="J205">
            <v>87</v>
          </cell>
          <cell r="K205">
            <v>87</v>
          </cell>
          <cell r="L205">
            <v>89</v>
          </cell>
          <cell r="M205">
            <v>93</v>
          </cell>
          <cell r="N205">
            <v>95</v>
          </cell>
        </row>
        <row r="206">
          <cell r="B206" t="str">
            <v>E017030800C0500900</v>
          </cell>
          <cell r="C206" t="str">
            <v>ล้อรางแขวน 4 ล้อ (คู่)  PBM #050-09 (รับนน. 80Kg.) รหัสเพื่อซื้อ</v>
          </cell>
          <cell r="D206" t="str">
            <v>N/A</v>
          </cell>
          <cell r="E206" t="str">
            <v>ลัง /36คู่ (รหัสเพื่อซื้อ)</v>
          </cell>
          <cell r="G206">
            <v>88.784999999999997</v>
          </cell>
          <cell r="H206">
            <v>94.999949999999998</v>
          </cell>
          <cell r="J206">
            <v>100</v>
          </cell>
          <cell r="K206">
            <v>100</v>
          </cell>
          <cell r="L206">
            <v>105</v>
          </cell>
          <cell r="M206">
            <v>110</v>
          </cell>
          <cell r="N206">
            <v>125</v>
          </cell>
        </row>
        <row r="207">
          <cell r="B207" t="str">
            <v>ZZ09-0800</v>
          </cell>
          <cell r="C207" t="str">
            <v>ไกด์กันแกว่ง สีดำ PBM #050-09-2 (ของแถมล้อรางแขวน 050-09)</v>
          </cell>
          <cell r="D207" t="str">
            <v xml:space="preserve"> </v>
          </cell>
          <cell r="E207" t="str">
            <v>รหัสเพื่อขาย (ของแถม)</v>
          </cell>
          <cell r="G207">
            <v>4.2055999999999996</v>
          </cell>
          <cell r="H207">
            <v>4.4999919999999998</v>
          </cell>
          <cell r="J207">
            <v>5</v>
          </cell>
          <cell r="K207">
            <v>5</v>
          </cell>
          <cell r="L207">
            <v>5.5</v>
          </cell>
          <cell r="M207">
            <v>6</v>
          </cell>
          <cell r="N207">
            <v>6.5</v>
          </cell>
        </row>
        <row r="208">
          <cell r="B208" t="str">
            <v>N/A</v>
          </cell>
          <cell r="C208" t="str">
            <v>ลูกล้อรางแขวน 6ล้อ  PBM  PBM #050-09-3          สินค้า Pre-Order</v>
          </cell>
          <cell r="D208" t="str">
            <v>N/A</v>
          </cell>
          <cell r="E208" t="str">
            <v>ราคาปลีก</v>
          </cell>
          <cell r="G208">
            <v>93.457999999999998</v>
          </cell>
          <cell r="H208">
            <v>100.00006</v>
          </cell>
          <cell r="J208">
            <v>105</v>
          </cell>
          <cell r="K208">
            <v>110</v>
          </cell>
          <cell r="L208">
            <v>115</v>
          </cell>
          <cell r="M208">
            <v>120</v>
          </cell>
          <cell r="N208">
            <v>125</v>
          </cell>
        </row>
        <row r="209">
          <cell r="B209" t="str">
            <v>N/A</v>
          </cell>
          <cell r="C209" t="str">
            <v>ลูกล้อตลับสแตนเลสคู่ 15*20 #PBM 050-1520-2</v>
          </cell>
          <cell r="D209" t="str">
            <v>N/A</v>
          </cell>
          <cell r="E209" t="str">
            <v xml:space="preserve">ลัง/200ตัว </v>
          </cell>
          <cell r="G209">
            <v>71.028099999999995</v>
          </cell>
          <cell r="H209">
            <v>76.000067000000001</v>
          </cell>
          <cell r="J209">
            <v>79.5</v>
          </cell>
          <cell r="K209">
            <v>79.5</v>
          </cell>
          <cell r="L209">
            <v>81.75</v>
          </cell>
          <cell r="M209">
            <v>85</v>
          </cell>
          <cell r="N209">
            <v>90</v>
          </cell>
        </row>
        <row r="210">
          <cell r="B210" t="str">
            <v>N/A</v>
          </cell>
          <cell r="C210" t="str">
            <v>ลูกล้อตลับสแตนเลสคู่ 15*24 #PBM 050-1524-2</v>
          </cell>
          <cell r="D210" t="str">
            <v>N/A</v>
          </cell>
          <cell r="E210" t="str">
            <v>ลัง/100ตัว</v>
          </cell>
          <cell r="G210">
            <v>64.486000000000004</v>
          </cell>
          <cell r="H210">
            <v>69.000020000000006</v>
          </cell>
          <cell r="J210">
            <v>72</v>
          </cell>
          <cell r="K210">
            <v>72</v>
          </cell>
          <cell r="L210">
            <v>75</v>
          </cell>
          <cell r="M210">
            <v>77</v>
          </cell>
          <cell r="N210">
            <v>81.5</v>
          </cell>
        </row>
        <row r="211">
          <cell r="B211" t="str">
            <v>N/A</v>
          </cell>
          <cell r="C211" t="str">
            <v>ลูกล้อบานเลื่อนเดี่ยว (แดง) SWP</v>
          </cell>
          <cell r="E211" t="str">
            <v xml:space="preserve">ลัง/200ตัว </v>
          </cell>
          <cell r="G211">
            <v>17</v>
          </cell>
          <cell r="H211">
            <v>18.190000000000001</v>
          </cell>
          <cell r="J211">
            <v>19</v>
          </cell>
          <cell r="L211">
            <v>20</v>
          </cell>
          <cell r="M211">
            <v>21</v>
          </cell>
          <cell r="N211">
            <v>22</v>
          </cell>
        </row>
        <row r="212">
          <cell r="B212" t="str">
            <v>N/A</v>
          </cell>
          <cell r="C212" t="str">
            <v>ลูกล้อบานเลื่อนเดี่ยว (เขียว) SWP</v>
          </cell>
          <cell r="E212" t="str">
            <v xml:space="preserve">ลัง/200ตัว </v>
          </cell>
          <cell r="G212">
            <v>11</v>
          </cell>
          <cell r="H212">
            <v>11.770000000000001</v>
          </cell>
          <cell r="J212">
            <v>12.5</v>
          </cell>
          <cell r="L212">
            <v>13</v>
          </cell>
          <cell r="M212">
            <v>13.5</v>
          </cell>
          <cell r="N212">
            <v>14</v>
          </cell>
        </row>
        <row r="213">
          <cell r="B213" t="str">
            <v>N/A</v>
          </cell>
          <cell r="C213" t="str">
            <v>ลูกล้อบานเลื่อนคู่ SWP</v>
          </cell>
          <cell r="E213" t="str">
            <v xml:space="preserve">ลัง/100ตัว </v>
          </cell>
          <cell r="G213">
            <v>28</v>
          </cell>
          <cell r="H213">
            <v>29.96</v>
          </cell>
          <cell r="J213">
            <v>31.5</v>
          </cell>
          <cell r="L213">
            <v>33</v>
          </cell>
          <cell r="M213">
            <v>34</v>
          </cell>
          <cell r="N213">
            <v>36</v>
          </cell>
        </row>
        <row r="214">
          <cell r="B214" t="str">
            <v>N/A</v>
          </cell>
          <cell r="C214" t="str">
            <v>ลูกล้อรางแขวน 4 ล้อ SWP</v>
          </cell>
          <cell r="E214" t="str">
            <v xml:space="preserve">ลัง/100ตัว </v>
          </cell>
          <cell r="G214">
            <v>42</v>
          </cell>
          <cell r="H214">
            <v>44.940000000000005</v>
          </cell>
          <cell r="J214">
            <v>47</v>
          </cell>
          <cell r="L214">
            <v>49</v>
          </cell>
          <cell r="M214">
            <v>50</v>
          </cell>
          <cell r="N214">
            <v>53</v>
          </cell>
        </row>
        <row r="215">
          <cell r="B215" t="str">
            <v>N/A</v>
          </cell>
          <cell r="C215" t="str">
            <v>ลูกล้อรางแขวน 4 ล้อ + ไกด์ SWP</v>
          </cell>
          <cell r="E215" t="str">
            <v xml:space="preserve">ลัง/ 60ตัว </v>
          </cell>
          <cell r="G215">
            <v>87</v>
          </cell>
          <cell r="H215">
            <v>93.09</v>
          </cell>
          <cell r="J215">
            <v>97</v>
          </cell>
          <cell r="L215">
            <v>100</v>
          </cell>
          <cell r="M215">
            <v>104</v>
          </cell>
          <cell r="N215">
            <v>110</v>
          </cell>
        </row>
        <row r="217">
          <cell r="B217" t="str">
            <v>รหัส</v>
          </cell>
          <cell r="C217" t="str">
            <v>มือจับสแตนเลส</v>
          </cell>
          <cell r="D217" t="str">
            <v>สี</v>
          </cell>
          <cell r="E217" t="str">
            <v>บรรจุ/หมายเหตุ</v>
          </cell>
          <cell r="F217" t="str">
            <v>ราคาตั้ง</v>
          </cell>
          <cell r="G217" t="str">
            <v>RE 
ก่อนVAT</v>
          </cell>
          <cell r="H217" t="str">
            <v>ทุน
รวม VAT</v>
          </cell>
          <cell r="J217" t="str">
            <v>SDM</v>
          </cell>
          <cell r="K217" t="str">
            <v>W1</v>
          </cell>
          <cell r="L217" t="str">
            <v>W2</v>
          </cell>
          <cell r="M217" t="str">
            <v>R1</v>
          </cell>
          <cell r="N217" t="str">
            <v>R2</v>
          </cell>
        </row>
        <row r="218">
          <cell r="B218" t="str">
            <v>E019040314D3011700</v>
          </cell>
          <cell r="C218" t="str">
            <v xml:space="preserve">มือจับสแตนเลส รุ่น 117 SUN *25*305*75   (สีสแตนเลส)                              </v>
          </cell>
          <cell r="D218" t="str">
            <v>N/A</v>
          </cell>
          <cell r="E218" t="str">
            <v>ขั้นต่ำ 100ชุด</v>
          </cell>
          <cell r="G218">
            <v>160</v>
          </cell>
          <cell r="H218">
            <v>171.20000000000002</v>
          </cell>
          <cell r="J218">
            <v>180</v>
          </cell>
          <cell r="K218">
            <v>185</v>
          </cell>
          <cell r="L218">
            <v>195</v>
          </cell>
          <cell r="M218">
            <v>220</v>
          </cell>
          <cell r="N218">
            <v>230</v>
          </cell>
        </row>
        <row r="219">
          <cell r="B219" t="str">
            <v>NAN0000</v>
          </cell>
          <cell r="C219" t="str">
            <v xml:space="preserve">มือจับสแตนเลส รุ่น 117 SUN *25*305*75  (สีพ่นดำ)                                </v>
          </cell>
          <cell r="D219" t="str">
            <v>พ่นดำ</v>
          </cell>
          <cell r="G219">
            <v>180</v>
          </cell>
          <cell r="H219">
            <v>192.60000000000002</v>
          </cell>
          <cell r="J219">
            <v>205</v>
          </cell>
          <cell r="K219">
            <v>210</v>
          </cell>
          <cell r="L219">
            <v>215</v>
          </cell>
          <cell r="M219">
            <v>230</v>
          </cell>
          <cell r="N219">
            <v>250</v>
          </cell>
        </row>
        <row r="220">
          <cell r="B220" t="str">
            <v>E002040314D3011700</v>
          </cell>
          <cell r="C220" t="str">
            <v>มือจับสแตนเลส TOP รุ่น 117 ขนาด 25*305*75 มม.</v>
          </cell>
          <cell r="D220" t="str">
            <v>(5000ตัว /เรียกเข้า 3รอบ)</v>
          </cell>
          <cell r="E220" t="str">
            <v>10ชุด/ลัง  - ขั้นต่ำ 5000ชุด</v>
          </cell>
          <cell r="G220">
            <v>102.8</v>
          </cell>
          <cell r="H220">
            <v>109.99600000000001</v>
          </cell>
          <cell r="J220">
            <v>120</v>
          </cell>
          <cell r="K220">
            <v>125</v>
          </cell>
          <cell r="L220">
            <v>130</v>
          </cell>
          <cell r="M220">
            <v>135</v>
          </cell>
          <cell r="N220">
            <v>140</v>
          </cell>
        </row>
        <row r="221">
          <cell r="B221" t="str">
            <v>E020040314D3011700</v>
          </cell>
          <cell r="C221" t="str">
            <v>มือจับสเตนเลส 305*25 DEE-P #117  (โค้ง)</v>
          </cell>
          <cell r="D221" t="str">
            <v>N/A</v>
          </cell>
          <cell r="E221" t="str">
            <v>60/ลัง</v>
          </cell>
          <cell r="G221">
            <v>65</v>
          </cell>
          <cell r="H221">
            <v>69.55</v>
          </cell>
          <cell r="J221">
            <v>73</v>
          </cell>
          <cell r="K221">
            <v>73</v>
          </cell>
          <cell r="L221">
            <v>75</v>
          </cell>
          <cell r="M221">
            <v>80</v>
          </cell>
          <cell r="N221">
            <v>85</v>
          </cell>
        </row>
        <row r="222">
          <cell r="B222" t="str">
            <v>N/A</v>
          </cell>
          <cell r="C222" t="str">
            <v>มือจับสแตนเลส 117 #TL</v>
          </cell>
          <cell r="D222" t="str">
            <v>NA</v>
          </cell>
          <cell r="E222" t="str">
            <v>60/ลัง (ขั้นต่ำ10ลัง)</v>
          </cell>
          <cell r="G222">
            <v>65</v>
          </cell>
          <cell r="H222">
            <v>69.55</v>
          </cell>
          <cell r="J222">
            <v>73</v>
          </cell>
          <cell r="K222">
            <v>75</v>
          </cell>
          <cell r="L222">
            <v>78</v>
          </cell>
          <cell r="M222">
            <v>85</v>
          </cell>
          <cell r="N222">
            <v>88</v>
          </cell>
        </row>
        <row r="223">
          <cell r="B223" t="str">
            <v>E103040314D3011700</v>
          </cell>
          <cell r="C223" t="str">
            <v xml:space="preserve">มือจับสแตนเลส SUS304 (นำเข้า) SMAรุ่น 117 </v>
          </cell>
          <cell r="D223" t="str">
            <v>NA</v>
          </cell>
          <cell r="E223" t="str">
            <v>60/ลัง (ส่งBS30ลัง)</v>
          </cell>
          <cell r="G223">
            <v>58</v>
          </cell>
          <cell r="H223">
            <v>62.06</v>
          </cell>
          <cell r="J223">
            <v>67</v>
          </cell>
          <cell r="K223">
            <v>70</v>
          </cell>
          <cell r="L223">
            <v>80</v>
          </cell>
          <cell r="M223">
            <v>100</v>
          </cell>
          <cell r="N223">
            <v>120</v>
          </cell>
        </row>
        <row r="224">
          <cell r="B224" t="str">
            <v>NAN0000-0269101</v>
          </cell>
          <cell r="C224" t="str">
            <v>มือจับสแตนเลส PS-101, PS-102 HOYA</v>
          </cell>
          <cell r="D224" t="str">
            <v xml:space="preserve">สีสแตนเลส </v>
          </cell>
          <cell r="E224" t="str">
            <v>10/ลัง</v>
          </cell>
          <cell r="G224">
            <v>111.02800000000001</v>
          </cell>
          <cell r="H224">
            <v>118.79996000000001</v>
          </cell>
          <cell r="J224">
            <v>160</v>
          </cell>
          <cell r="K224">
            <v>165</v>
          </cell>
          <cell r="L224">
            <v>170</v>
          </cell>
          <cell r="M224">
            <v>180</v>
          </cell>
          <cell r="N224">
            <v>195</v>
          </cell>
        </row>
        <row r="225">
          <cell r="B225" t="str">
            <v>N/A</v>
          </cell>
          <cell r="C225" t="str">
            <v>มือจับสแตนเลส PS-101, PS-102 HOYA</v>
          </cell>
          <cell r="D225" t="str">
            <v>พ่นดำ/อบขาวนม</v>
          </cell>
          <cell r="E225" t="str">
            <v>10/ลัง</v>
          </cell>
          <cell r="G225">
            <v>117.1962</v>
          </cell>
          <cell r="H225">
            <v>125.39993400000002</v>
          </cell>
          <cell r="J225">
            <v>145</v>
          </cell>
          <cell r="K225">
            <v>150</v>
          </cell>
          <cell r="L225">
            <v>155</v>
          </cell>
          <cell r="M225">
            <v>160</v>
          </cell>
          <cell r="N225">
            <v>180</v>
          </cell>
        </row>
        <row r="226">
          <cell r="B226" t="str">
            <v>N/A</v>
          </cell>
          <cell r="C226" t="str">
            <v>มือจับสแตนเลส PS-101, PS-102 HOYA</v>
          </cell>
          <cell r="D226" t="str">
            <v>เทาซาฮาร่า</v>
          </cell>
          <cell r="E226" t="str">
            <v>10/ลัง</v>
          </cell>
          <cell r="G226">
            <v>123.3644</v>
          </cell>
          <cell r="H226">
            <v>131.999908</v>
          </cell>
          <cell r="J226">
            <v>150</v>
          </cell>
          <cell r="K226">
            <v>155</v>
          </cell>
          <cell r="L226">
            <v>160</v>
          </cell>
          <cell r="M226">
            <v>170</v>
          </cell>
          <cell r="N226">
            <v>190</v>
          </cell>
        </row>
        <row r="227">
          <cell r="B227" t="str">
            <v>N/A</v>
          </cell>
          <cell r="C227" t="str">
            <v>มือจับบานเลื่อน 10นิ้ว รุ่น 527</v>
          </cell>
          <cell r="D227" t="str">
            <v>บรอนซ์เทา/ชา/อบขาว/พ่นดำ</v>
          </cell>
          <cell r="E227" t="str">
            <v>12ชุด/ลัง</v>
          </cell>
          <cell r="G227">
            <v>305</v>
          </cell>
          <cell r="H227">
            <v>326.35000000000002</v>
          </cell>
          <cell r="J227">
            <v>340</v>
          </cell>
          <cell r="K227">
            <v>365</v>
          </cell>
          <cell r="L227">
            <v>385</v>
          </cell>
          <cell r="M227">
            <v>400</v>
          </cell>
          <cell r="N227">
            <v>415</v>
          </cell>
        </row>
        <row r="228">
          <cell r="B228" t="str">
            <v>N/A</v>
          </cell>
          <cell r="C228" t="str">
            <v>มือจับสเตนเลส RP  รุ่น #711,#712,#713  ขนาด 25*25*305มม</v>
          </cell>
          <cell r="D228" t="str">
            <v>ดำ</v>
          </cell>
          <cell r="E228" t="str">
            <v>ราคาซื้อไม่มีขั้นต่ำ</v>
          </cell>
          <cell r="G228">
            <v>750</v>
          </cell>
          <cell r="H228">
            <v>802.5</v>
          </cell>
          <cell r="J228">
            <v>865</v>
          </cell>
          <cell r="K228">
            <v>880</v>
          </cell>
          <cell r="L228">
            <v>890</v>
          </cell>
          <cell r="M228">
            <v>950</v>
          </cell>
          <cell r="N228">
            <v>1000</v>
          </cell>
        </row>
        <row r="229">
          <cell r="B229" t="str">
            <v>E021040303D3071100</v>
          </cell>
          <cell r="C229" t="str">
            <v>มือจับสเตนเลส RP รุ่น 711 ขนาด 25*25*305มม.  สีอบดำ ซาติน</v>
          </cell>
          <cell r="D229" t="str">
            <v>ดำ</v>
          </cell>
          <cell r="E229" t="str">
            <v>( ขั้นต่ำสั่ง ราคา 12 ตัว)</v>
          </cell>
          <cell r="G229">
            <v>600</v>
          </cell>
          <cell r="H229">
            <v>642</v>
          </cell>
          <cell r="J229">
            <v>675</v>
          </cell>
          <cell r="K229">
            <v>685</v>
          </cell>
          <cell r="L229">
            <v>715</v>
          </cell>
          <cell r="M229">
            <v>750</v>
          </cell>
          <cell r="N229">
            <v>800</v>
          </cell>
        </row>
        <row r="230">
          <cell r="B230" t="str">
            <v>E021040306D3071200</v>
          </cell>
          <cell r="C230" t="str">
            <v>มือจับสแตนเลส RP รุ่น 712 ขนาด 25*25*305 มม. สีอบเทา ซาฮาร่า</v>
          </cell>
          <cell r="D230" t="str">
            <v>สีเทาเข้มซาฮาร่า</v>
          </cell>
          <cell r="E230" t="str">
            <v>( ขั้นต่ำสั่ง ราคา 12 ตัว)</v>
          </cell>
          <cell r="G230">
            <v>600</v>
          </cell>
          <cell r="H230">
            <v>642</v>
          </cell>
          <cell r="J230">
            <v>675</v>
          </cell>
          <cell r="K230">
            <v>685</v>
          </cell>
          <cell r="L230">
            <v>715</v>
          </cell>
          <cell r="M230">
            <v>750</v>
          </cell>
          <cell r="N230">
            <v>800</v>
          </cell>
        </row>
        <row r="231">
          <cell r="B231" t="str">
            <v>E021040315D0071300</v>
          </cell>
          <cell r="C231" t="str">
            <v>มือจับสแตนเลส RP รุ่น 713 ขนาด 25*25*305 มม. สแตนเลสผิวด้าน</v>
          </cell>
          <cell r="D231" t="str">
            <v>N/A</v>
          </cell>
          <cell r="E231" t="str">
            <v>( ขั้นต่ำสั่ง ราคา 12 ตัว)</v>
          </cell>
          <cell r="G231">
            <v>600</v>
          </cell>
          <cell r="H231">
            <v>642</v>
          </cell>
          <cell r="J231">
            <v>675</v>
          </cell>
          <cell r="K231">
            <v>685</v>
          </cell>
          <cell r="L231">
            <v>715</v>
          </cell>
          <cell r="M231">
            <v>750</v>
          </cell>
          <cell r="N231">
            <v>800</v>
          </cell>
        </row>
        <row r="232">
          <cell r="B232" t="str">
            <v>E072040315Z3011101</v>
          </cell>
          <cell r="C232" t="str">
            <v>มือจับสแตนเลส GM รุ่น 111 SS ขนาด 25x305</v>
          </cell>
          <cell r="G232">
            <v>694</v>
          </cell>
          <cell r="H232">
            <v>742.58</v>
          </cell>
          <cell r="J232">
            <v>785</v>
          </cell>
          <cell r="K232">
            <v>800</v>
          </cell>
          <cell r="L232">
            <v>825</v>
          </cell>
          <cell r="M232">
            <v>850</v>
          </cell>
          <cell r="N232">
            <v>900</v>
          </cell>
        </row>
        <row r="233">
          <cell r="B233" t="str">
            <v>E072040315Z3011102</v>
          </cell>
          <cell r="C233" t="str">
            <v>มือจับสแตนเลส GM รุ่น 111 SS ขนาด 25x350</v>
          </cell>
          <cell r="G233">
            <v>708.39</v>
          </cell>
          <cell r="H233">
            <v>757.97730000000001</v>
          </cell>
          <cell r="J233">
            <v>800</v>
          </cell>
          <cell r="K233">
            <v>815</v>
          </cell>
          <cell r="L233">
            <v>850</v>
          </cell>
          <cell r="M233">
            <v>900</v>
          </cell>
          <cell r="N233">
            <v>950</v>
          </cell>
        </row>
        <row r="234">
          <cell r="B234" t="str">
            <v>E072040315Z3011103</v>
          </cell>
          <cell r="C234" t="str">
            <v>มือจับสแตนเลส GM รุ่น 111 SS ขนาด 32x305</v>
          </cell>
          <cell r="G234">
            <v>1060</v>
          </cell>
          <cell r="H234">
            <v>1134.2</v>
          </cell>
          <cell r="J234">
            <v>1190</v>
          </cell>
          <cell r="K234">
            <v>1225</v>
          </cell>
          <cell r="L234">
            <v>1265</v>
          </cell>
          <cell r="M234">
            <v>1350</v>
          </cell>
          <cell r="N234">
            <v>1400</v>
          </cell>
        </row>
        <row r="235">
          <cell r="B235" t="str">
            <v>E072040315Z3011104</v>
          </cell>
          <cell r="C235" t="str">
            <v>มือจับสแตนเลส GM รุ่น 111 SS ขนาด 32x350</v>
          </cell>
          <cell r="G235">
            <v>1259</v>
          </cell>
          <cell r="H235">
            <v>1347.13</v>
          </cell>
          <cell r="J235">
            <v>1425</v>
          </cell>
          <cell r="K235">
            <v>1450</v>
          </cell>
          <cell r="L235">
            <v>1500</v>
          </cell>
          <cell r="M235">
            <v>1550</v>
          </cell>
          <cell r="N235">
            <v>1600</v>
          </cell>
        </row>
        <row r="236">
          <cell r="B236" t="str">
            <v>รหัส</v>
          </cell>
          <cell r="C236" t="str">
            <v>มือจับ (รางแขวน)</v>
          </cell>
          <cell r="D236" t="str">
            <v>สี</v>
          </cell>
          <cell r="E236" t="str">
            <v>บรรจุ/หมายเหตุ</v>
          </cell>
          <cell r="F236" t="str">
            <v>ราคาตั้ง</v>
          </cell>
          <cell r="G236" t="str">
            <v>RE 
ก่อนVAT</v>
          </cell>
          <cell r="H236" t="str">
            <v>ทุน
รวม VAT</v>
          </cell>
          <cell r="J236" t="str">
            <v>SDM</v>
          </cell>
          <cell r="K236" t="str">
            <v>W1</v>
          </cell>
          <cell r="L236" t="str">
            <v>W2</v>
          </cell>
          <cell r="M236" t="str">
            <v>R1</v>
          </cell>
          <cell r="N236" t="str">
            <v>R2</v>
          </cell>
        </row>
        <row r="237">
          <cell r="B237" t="str">
            <v>N/A</v>
          </cell>
          <cell r="C237" t="str">
            <v>มือจับรางแขวน HOYA</v>
          </cell>
          <cell r="D237" t="str">
            <v>อลู / ชา</v>
          </cell>
          <cell r="E237" t="str">
            <v>ลัง/50ตัว</v>
          </cell>
          <cell r="G237">
            <v>67.850399999999993</v>
          </cell>
          <cell r="H237">
            <v>72.599927999999991</v>
          </cell>
          <cell r="J237">
            <v>93</v>
          </cell>
          <cell r="K237">
            <v>95</v>
          </cell>
          <cell r="L237">
            <v>100</v>
          </cell>
          <cell r="M237">
            <v>105</v>
          </cell>
          <cell r="N237">
            <v>110</v>
          </cell>
        </row>
        <row r="238">
          <cell r="B238" t="str">
            <v>N/A</v>
          </cell>
          <cell r="C238" t="str">
            <v>มือจับรางแขวน HOYA</v>
          </cell>
          <cell r="D238" t="str">
            <v>ดำ / อบขาว</v>
          </cell>
          <cell r="E238" t="str">
            <v>ลัง/50ตัว</v>
          </cell>
          <cell r="G238">
            <v>70.9345</v>
          </cell>
          <cell r="H238">
            <v>75.899915000000007</v>
          </cell>
          <cell r="J238">
            <v>97</v>
          </cell>
          <cell r="K238">
            <v>100</v>
          </cell>
          <cell r="L238">
            <v>105</v>
          </cell>
          <cell r="M238">
            <v>110</v>
          </cell>
          <cell r="N238">
            <v>115</v>
          </cell>
        </row>
        <row r="239">
          <cell r="B239" t="str">
            <v>N/A</v>
          </cell>
          <cell r="C239" t="str">
            <v>มือจับรางแขวน HOYA</v>
          </cell>
          <cell r="D239" t="str">
            <v>เทาเข้มซาฮาร่า</v>
          </cell>
          <cell r="E239" t="str">
            <v>ลัง/50ตัว</v>
          </cell>
          <cell r="G239">
            <v>77.102800000000002</v>
          </cell>
          <cell r="H239">
            <v>82.49999600000001</v>
          </cell>
          <cell r="J239">
            <v>90</v>
          </cell>
          <cell r="K239">
            <v>95</v>
          </cell>
          <cell r="L239">
            <v>100</v>
          </cell>
          <cell r="M239">
            <v>110</v>
          </cell>
          <cell r="N239">
            <v>115</v>
          </cell>
        </row>
        <row r="240">
          <cell r="B240" t="str">
            <v>N/A</v>
          </cell>
          <cell r="C240" t="str">
            <v xml:space="preserve">มือจับรางแขวน HYDA #HD-420                                   </v>
          </cell>
          <cell r="D240" t="str">
            <v>ขาว/ชา/ดำ/อบขาว</v>
          </cell>
          <cell r="E240" t="str">
            <v>ลัง/100ตัว</v>
          </cell>
          <cell r="G240">
            <v>77.5</v>
          </cell>
          <cell r="H240">
            <v>82.925000000000011</v>
          </cell>
          <cell r="J240">
            <v>90</v>
          </cell>
          <cell r="K240">
            <v>95</v>
          </cell>
          <cell r="L240">
            <v>100</v>
          </cell>
          <cell r="M240">
            <v>105</v>
          </cell>
          <cell r="N240">
            <v>110</v>
          </cell>
        </row>
        <row r="241">
          <cell r="B241" t="str">
            <v>N/A</v>
          </cell>
          <cell r="C241" t="str">
            <v xml:space="preserve">มือจับรางแขวน HYDA #HD-420                                   </v>
          </cell>
          <cell r="D241" t="str">
            <v>ขาว/ชา/ดำ/อบขาว</v>
          </cell>
          <cell r="E241" t="str">
            <v>ปลีก(ไม่ลงลัง)</v>
          </cell>
          <cell r="G241">
            <v>80</v>
          </cell>
          <cell r="H241">
            <v>85.600000000000009</v>
          </cell>
          <cell r="J241">
            <v>95</v>
          </cell>
          <cell r="K241">
            <v>100</v>
          </cell>
          <cell r="L241">
            <v>110</v>
          </cell>
          <cell r="M241">
            <v>115</v>
          </cell>
          <cell r="N241">
            <v>120</v>
          </cell>
        </row>
        <row r="242">
          <cell r="B242" t="str">
            <v>N/A</v>
          </cell>
          <cell r="C242" t="str">
            <v xml:space="preserve">มือจับรางแขวน SPP #007สีพ่นดำ, #005สีชา ,#006สีอบขาว </v>
          </cell>
          <cell r="D242" t="str">
            <v>ขา/ชา/อบขาว</v>
          </cell>
          <cell r="E242" t="str">
            <v>ลัง/200ตัว</v>
          </cell>
          <cell r="G242">
            <v>42.0560741663</v>
          </cell>
          <cell r="H242">
            <v>44.999999357941</v>
          </cell>
          <cell r="J242">
            <v>47</v>
          </cell>
          <cell r="K242">
            <v>49</v>
          </cell>
          <cell r="L242">
            <v>50</v>
          </cell>
          <cell r="M242">
            <v>53</v>
          </cell>
          <cell r="N242">
            <v>58</v>
          </cell>
        </row>
        <row r="243">
          <cell r="B243" t="str">
            <v>รหัส</v>
          </cell>
          <cell r="C243" t="str">
            <v>มือจับ (ล็อคเสาเกี่ยว)</v>
          </cell>
          <cell r="D243" t="str">
            <v>สี</v>
          </cell>
          <cell r="E243" t="str">
            <v>บรรจุ/หมายเหตุ</v>
          </cell>
          <cell r="F243" t="str">
            <v>ราคาตั้ง</v>
          </cell>
          <cell r="G243" t="str">
            <v>RE 
ก่อนVAT</v>
          </cell>
          <cell r="H243" t="str">
            <v>ทุน
รวม VAT</v>
          </cell>
          <cell r="J243" t="str">
            <v>SDM</v>
          </cell>
          <cell r="K243" t="str">
            <v>W1</v>
          </cell>
          <cell r="L243" t="str">
            <v>W2</v>
          </cell>
          <cell r="M243" t="str">
            <v>R1</v>
          </cell>
          <cell r="N243" t="str">
            <v>R2</v>
          </cell>
        </row>
        <row r="244">
          <cell r="B244" t="str">
            <v>E002040203D2100010</v>
          </cell>
          <cell r="C244" t="str">
            <v>มือจับล็อคเสาเกี่ยวซ้าย  TOP             (ล็อคก้นหอย/ตัวล็อคกลางบานเลื่อน)</v>
          </cell>
          <cell r="D244" t="str">
            <v>ขาว/ชา/ดำ/อบขาว</v>
          </cell>
          <cell r="E244" t="str">
            <v>100ตัว/ลัง</v>
          </cell>
          <cell r="G244">
            <v>49</v>
          </cell>
          <cell r="H244">
            <v>52.43</v>
          </cell>
          <cell r="J244">
            <v>55</v>
          </cell>
          <cell r="K244">
            <v>55</v>
          </cell>
          <cell r="L244">
            <v>58</v>
          </cell>
          <cell r="M244">
            <v>60</v>
          </cell>
          <cell r="N244">
            <v>62</v>
          </cell>
        </row>
        <row r="245">
          <cell r="B245" t="str">
            <v>E002040203D2100020</v>
          </cell>
          <cell r="C245" t="str">
            <v>มือจับล็อคเสาเกี่ยวขวา  TOP             (ล็อคก้นหอย/ตัวล็อคกลางบานเลื่อน)</v>
          </cell>
          <cell r="D245" t="str">
            <v>ขาว/ชา/ดำ/อบขาว</v>
          </cell>
          <cell r="E245" t="str">
            <v>100ตัว/ลัง</v>
          </cell>
          <cell r="G245">
            <v>49</v>
          </cell>
          <cell r="H245">
            <v>52.43</v>
          </cell>
          <cell r="J245">
            <v>55</v>
          </cell>
          <cell r="K245">
            <v>55</v>
          </cell>
          <cell r="L245">
            <v>58</v>
          </cell>
          <cell r="M245">
            <v>60</v>
          </cell>
          <cell r="N245">
            <v>62</v>
          </cell>
        </row>
        <row r="246">
          <cell r="B246" t="str">
            <v>N/A</v>
          </cell>
          <cell r="C246" t="str">
            <v>ล็อคกลางเสาเกี่ยวสองทาง PBM #1608</v>
          </cell>
          <cell r="D246" t="str">
            <v>เทา/ดำ/อบขาว</v>
          </cell>
          <cell r="E246" t="str">
            <v>100ตัว/ลัง</v>
          </cell>
          <cell r="G246">
            <v>23.3645</v>
          </cell>
          <cell r="H246">
            <v>25.000015000000001</v>
          </cell>
          <cell r="J246">
            <v>26.5</v>
          </cell>
          <cell r="K246">
            <v>26.5</v>
          </cell>
          <cell r="L246">
            <v>27</v>
          </cell>
          <cell r="M246">
            <v>28</v>
          </cell>
          <cell r="N246">
            <v>30</v>
          </cell>
        </row>
        <row r="247">
          <cell r="B247" t="str">
            <v>รหัส</v>
          </cell>
          <cell r="C247" t="str">
            <v>มือจับ (กระทุ้ง)</v>
          </cell>
          <cell r="D247" t="str">
            <v>สี</v>
          </cell>
          <cell r="E247" t="str">
            <v>บรรจุ/หมายเหตุ</v>
          </cell>
          <cell r="G247" t="str">
            <v>RE 
ก่อนVAT</v>
          </cell>
          <cell r="H247" t="str">
            <v>ทุน
รวม VAT</v>
          </cell>
          <cell r="J247" t="str">
            <v>SDM</v>
          </cell>
          <cell r="K247" t="str">
            <v>W1</v>
          </cell>
          <cell r="L247" t="str">
            <v>W2</v>
          </cell>
          <cell r="M247" t="str">
            <v>R1</v>
          </cell>
          <cell r="N247" t="str">
            <v>R2</v>
          </cell>
        </row>
        <row r="248">
          <cell r="B248" t="str">
            <v>N/A</v>
          </cell>
          <cell r="C248" t="str">
            <v>มือจับกระทุ้งซ้าย (แปะ)  TOP</v>
          </cell>
          <cell r="D248" t="str">
            <v>ขาว/ชา/ดำ/อบขาว</v>
          </cell>
          <cell r="E248" t="str">
            <v>100ตัว/ลัง</v>
          </cell>
          <cell r="G248">
            <v>44</v>
          </cell>
          <cell r="H248">
            <v>47.080000000000005</v>
          </cell>
          <cell r="J248">
            <v>50</v>
          </cell>
          <cell r="K248">
            <v>50</v>
          </cell>
          <cell r="L248">
            <v>52</v>
          </cell>
          <cell r="M248">
            <v>54</v>
          </cell>
          <cell r="N248">
            <v>56</v>
          </cell>
        </row>
        <row r="249">
          <cell r="B249" t="str">
            <v>N/A</v>
          </cell>
          <cell r="C249" t="str">
            <v>มือจับกระทุ้งขวา (แปะ)  TOP</v>
          </cell>
          <cell r="D249" t="str">
            <v>ขาว/ชา/ดำ/อบขาว</v>
          </cell>
          <cell r="E249" t="str">
            <v>100ตัว/ลัง</v>
          </cell>
          <cell r="G249">
            <v>44</v>
          </cell>
          <cell r="H249">
            <v>47.080000000000005</v>
          </cell>
          <cell r="J249">
            <v>50</v>
          </cell>
          <cell r="K249">
            <v>50</v>
          </cell>
          <cell r="L249">
            <v>52</v>
          </cell>
          <cell r="M249">
            <v>54</v>
          </cell>
          <cell r="N249">
            <v>56</v>
          </cell>
        </row>
        <row r="250">
          <cell r="B250" t="str">
            <v>N/A</v>
          </cell>
          <cell r="C250" t="str">
            <v>แป้นรับล็อคบานกระทุ้ง TOP</v>
          </cell>
          <cell r="G250">
            <v>18.691600000000001</v>
          </cell>
          <cell r="H250">
            <v>20.000012000000002</v>
          </cell>
          <cell r="J250">
            <v>21</v>
          </cell>
          <cell r="K250">
            <v>22</v>
          </cell>
          <cell r="L250">
            <v>23</v>
          </cell>
          <cell r="M250">
            <v>24</v>
          </cell>
          <cell r="N250">
            <v>25</v>
          </cell>
        </row>
        <row r="251">
          <cell r="B251" t="str">
            <v>N/A</v>
          </cell>
          <cell r="C251" t="str">
            <v>มือจับกระทุ้งซ้าย-ขวา (แปะ)  #019 PBM หางกลม(ลูกกลิ้ง)</v>
          </cell>
          <cell r="D251" t="str">
            <v>ขาว/ดำ/อบขาว</v>
          </cell>
          <cell r="E251" t="str">
            <v>100ตัว/ลัง</v>
          </cell>
          <cell r="G251">
            <v>44.859813084099997</v>
          </cell>
          <cell r="H251">
            <v>47.999999999986997</v>
          </cell>
          <cell r="J251">
            <v>50</v>
          </cell>
          <cell r="K251">
            <v>50</v>
          </cell>
          <cell r="L251">
            <v>52.5</v>
          </cell>
          <cell r="M251">
            <v>53.5</v>
          </cell>
          <cell r="N251">
            <v>57</v>
          </cell>
        </row>
        <row r="252">
          <cell r="B252" t="str">
            <v>N/A</v>
          </cell>
          <cell r="C252" t="str">
            <v>มือจับกระทุ้งขวา (แปะ)  #019 PBM หางกลม(ลูกกลิ้ง)</v>
          </cell>
          <cell r="D252" t="str">
            <v>ขาว/ดำ/อบขาว</v>
          </cell>
          <cell r="E252" t="str">
            <v>ปลีก(ไม่ลงลัง)</v>
          </cell>
          <cell r="G252">
            <v>48.598199999999999</v>
          </cell>
          <cell r="H252">
            <v>52.000073999999998</v>
          </cell>
          <cell r="J252">
            <v>54.5</v>
          </cell>
          <cell r="K252">
            <v>54.5</v>
          </cell>
          <cell r="L252">
            <v>56</v>
          </cell>
          <cell r="M252">
            <v>58</v>
          </cell>
          <cell r="N252">
            <v>62</v>
          </cell>
        </row>
        <row r="253">
          <cell r="B253" t="str">
            <v>N/A</v>
          </cell>
          <cell r="C253" t="str">
            <v>มือจับกระทุ้งซ้าย + กระทุ้งขวา (แปะ) #012 PBM หลังดำ,หลังขาว</v>
          </cell>
          <cell r="D253" t="str">
            <v>ขาว/ดำ/อบขาว</v>
          </cell>
          <cell r="E253" t="str">
            <v>100ตัว/ลัง</v>
          </cell>
          <cell r="G253">
            <v>29.906600000000001</v>
          </cell>
          <cell r="H253">
            <v>32.000062</v>
          </cell>
          <cell r="J253">
            <v>34</v>
          </cell>
          <cell r="K253">
            <v>35</v>
          </cell>
          <cell r="L253">
            <v>40</v>
          </cell>
          <cell r="M253">
            <v>42</v>
          </cell>
          <cell r="N253">
            <v>44</v>
          </cell>
        </row>
        <row r="254">
          <cell r="B254" t="str">
            <v>N/A</v>
          </cell>
          <cell r="C254" t="str">
            <v>มือจับกระทุ้งซ้าย + กระทุ้งขวา (แปะ) #012 PBM หลังดำ,หลังขาว</v>
          </cell>
          <cell r="D254" t="str">
            <v>ขาว/ดำ/อบขาว</v>
          </cell>
          <cell r="E254" t="str">
            <v>ปลีก(ไม่ลงลัง)</v>
          </cell>
          <cell r="G254">
            <v>39.252299999999998</v>
          </cell>
          <cell r="H254">
            <v>41.999960999999999</v>
          </cell>
          <cell r="J254">
            <v>44</v>
          </cell>
          <cell r="K254">
            <v>44</v>
          </cell>
          <cell r="L254">
            <v>46</v>
          </cell>
          <cell r="M254">
            <v>48</v>
          </cell>
          <cell r="N254">
            <v>50</v>
          </cell>
        </row>
        <row r="255">
          <cell r="B255" t="str">
            <v>N/A</v>
          </cell>
          <cell r="C255" t="str">
            <v>มือจับกระทุ้งซ้าย (แปะ) ท้ายรู RUNNER  สีเทาเข้มซาฮาร่า</v>
          </cell>
          <cell r="D255" t="str">
            <v>เทาซาฮาร่า</v>
          </cell>
          <cell r="G255">
            <v>56</v>
          </cell>
          <cell r="H255">
            <v>59.92</v>
          </cell>
          <cell r="J255">
            <v>62.5</v>
          </cell>
          <cell r="K255">
            <v>62.5</v>
          </cell>
          <cell r="L255">
            <v>65</v>
          </cell>
          <cell r="M255">
            <v>70</v>
          </cell>
          <cell r="N255">
            <v>75</v>
          </cell>
        </row>
        <row r="256">
          <cell r="B256" t="str">
            <v>N/A</v>
          </cell>
          <cell r="C256" t="str">
            <v>มือจับกระทุ้งขวา (แปะ) ท้ายรู RUNNER สีเทาเข้มซาฮาร่า</v>
          </cell>
          <cell r="D256" t="str">
            <v>เทาซาฮาร่า</v>
          </cell>
          <cell r="G256">
            <v>56</v>
          </cell>
          <cell r="H256">
            <v>59.92</v>
          </cell>
          <cell r="J256">
            <v>62.5</v>
          </cell>
          <cell r="K256">
            <v>62.5</v>
          </cell>
          <cell r="L256">
            <v>65</v>
          </cell>
          <cell r="M256">
            <v>70</v>
          </cell>
          <cell r="N256">
            <v>75</v>
          </cell>
        </row>
        <row r="257">
          <cell r="B257" t="str">
            <v>N/A</v>
          </cell>
          <cell r="C257" t="str">
            <v>มือจับกระทุ้งซ้าย (แปะ) มือจับปลายเปิด RN-L รหัสRN023  สีเทาเข้มซาฮาร่า</v>
          </cell>
          <cell r="D257" t="str">
            <v>เทาซาฮาร่า</v>
          </cell>
          <cell r="G257">
            <v>81</v>
          </cell>
          <cell r="H257">
            <v>86.67</v>
          </cell>
          <cell r="J257">
            <v>93</v>
          </cell>
          <cell r="K257">
            <v>93</v>
          </cell>
          <cell r="L257">
            <v>95</v>
          </cell>
          <cell r="M257">
            <v>100</v>
          </cell>
          <cell r="N257">
            <v>105</v>
          </cell>
        </row>
        <row r="258">
          <cell r="B258" t="str">
            <v>N/A</v>
          </cell>
          <cell r="C258" t="str">
            <v>มือจับกระทุ้งขวา (แปะ) มือจับปลายเปิด RN-R รหัสRN023  สีเทาเข้มซาฮาร่า</v>
          </cell>
          <cell r="D258" t="str">
            <v>เทาซาฮาร่า</v>
          </cell>
          <cell r="G258">
            <v>81</v>
          </cell>
          <cell r="H258">
            <v>86.67</v>
          </cell>
          <cell r="J258">
            <v>93</v>
          </cell>
          <cell r="K258">
            <v>93</v>
          </cell>
          <cell r="L258">
            <v>95</v>
          </cell>
          <cell r="M258">
            <v>100</v>
          </cell>
          <cell r="N258">
            <v>105</v>
          </cell>
        </row>
        <row r="259">
          <cell r="B259" t="str">
            <v>N/A</v>
          </cell>
          <cell r="C259" t="str">
            <v xml:space="preserve">มือจับกระทุ้งขวา #HD443 </v>
          </cell>
          <cell r="D259" t="str">
            <v>สีดำ</v>
          </cell>
          <cell r="E259" t="str">
            <v>ลัง/200ตัว (ราคาปลีก)</v>
          </cell>
          <cell r="G259">
            <v>24.42</v>
          </cell>
          <cell r="H259">
            <v>26.129400000000004</v>
          </cell>
          <cell r="J259">
            <v>28</v>
          </cell>
          <cell r="K259">
            <v>29</v>
          </cell>
          <cell r="L259">
            <v>30</v>
          </cell>
          <cell r="M259">
            <v>32</v>
          </cell>
          <cell r="N259">
            <v>35</v>
          </cell>
        </row>
        <row r="260">
          <cell r="B260" t="str">
            <v>NAN0004-0241211</v>
          </cell>
          <cell r="C260" t="str">
            <v>มือจับกระทุ้งซ้าย (แปะ) สีดำ/หลังขาว TTP</v>
          </cell>
          <cell r="D260" t="str">
            <v xml:space="preserve"> สีดำ/หลังขาว</v>
          </cell>
          <cell r="E260" t="str">
            <v>50ตัว/ลัง</v>
          </cell>
          <cell r="G260">
            <v>32.71</v>
          </cell>
          <cell r="H260">
            <v>34.999700000000004</v>
          </cell>
          <cell r="J260">
            <v>38</v>
          </cell>
          <cell r="K260">
            <v>38</v>
          </cell>
          <cell r="L260">
            <v>40</v>
          </cell>
          <cell r="M260">
            <v>45</v>
          </cell>
          <cell r="N260">
            <v>50</v>
          </cell>
        </row>
        <row r="261">
          <cell r="B261" t="str">
            <v>NAN0004-0241211</v>
          </cell>
          <cell r="C261" t="str">
            <v>มือจับกระทุ้งซ้าย (แปะ) สีดำ/หลังขาว TTP</v>
          </cell>
          <cell r="D261" t="str">
            <v xml:space="preserve"> สีดำ/หลังขาว</v>
          </cell>
          <cell r="E261" t="str">
            <v>50ตัว/ลัง</v>
          </cell>
          <cell r="G261">
            <v>32.71</v>
          </cell>
          <cell r="H261">
            <v>34.999700000000004</v>
          </cell>
          <cell r="J261">
            <v>38</v>
          </cell>
          <cell r="K261">
            <v>38</v>
          </cell>
          <cell r="L261">
            <v>40</v>
          </cell>
          <cell r="M261">
            <v>45</v>
          </cell>
          <cell r="N261">
            <v>50</v>
          </cell>
        </row>
        <row r="262">
          <cell r="B262" t="str">
            <v>NAN0011-0241210</v>
          </cell>
          <cell r="C262" t="str">
            <v>มือจับกระทุ้งซ้าย (แปะ) สีอบขาว/หลังดำ TTP</v>
          </cell>
          <cell r="D262" t="str">
            <v>สีอบขาว/หลังดำ</v>
          </cell>
          <cell r="E262" t="str">
            <v>50ตัว/ลัง</v>
          </cell>
          <cell r="G262">
            <v>32.71</v>
          </cell>
          <cell r="H262">
            <v>34.999700000000004</v>
          </cell>
          <cell r="J262">
            <v>38</v>
          </cell>
          <cell r="K262">
            <v>38</v>
          </cell>
          <cell r="L262">
            <v>40</v>
          </cell>
          <cell r="M262">
            <v>45</v>
          </cell>
          <cell r="N262">
            <v>50</v>
          </cell>
        </row>
        <row r="263">
          <cell r="B263" t="str">
            <v>E047040104D1000010</v>
          </cell>
          <cell r="C263" t="str">
            <v>มือจับกระทุ้งขวา (แปะ) สีอบขาว/หลังดำ TTP</v>
          </cell>
          <cell r="D263" t="str">
            <v xml:space="preserve"> สีอบขาว/หลังดำ</v>
          </cell>
          <cell r="E263" t="str">
            <v>50ตัว/ลัง</v>
          </cell>
          <cell r="G263">
            <v>32.71</v>
          </cell>
          <cell r="H263">
            <v>34.999700000000004</v>
          </cell>
          <cell r="J263">
            <v>38</v>
          </cell>
          <cell r="K263">
            <v>38</v>
          </cell>
          <cell r="L263">
            <v>40</v>
          </cell>
          <cell r="M263">
            <v>45</v>
          </cell>
          <cell r="N263">
            <v>50</v>
          </cell>
        </row>
        <row r="264">
          <cell r="B264" t="str">
            <v>N/A</v>
          </cell>
          <cell r="C264" t="str">
            <v>มือจับกระทุ้ง U2  (ข้างซ้าย/ข้างขวา)</v>
          </cell>
          <cell r="D264" t="str">
            <v>อบขาว/พ่นดำ</v>
          </cell>
          <cell r="E264" t="str">
            <v>ลังละ 100</v>
          </cell>
          <cell r="G264">
            <v>67</v>
          </cell>
          <cell r="H264">
            <v>71.69</v>
          </cell>
          <cell r="J264">
            <v>75</v>
          </cell>
          <cell r="K264">
            <v>75</v>
          </cell>
          <cell r="L264">
            <v>78</v>
          </cell>
          <cell r="M264">
            <v>80</v>
          </cell>
          <cell r="N264">
            <v>85</v>
          </cell>
        </row>
        <row r="265">
          <cell r="B265" t="str">
            <v>รหัส</v>
          </cell>
          <cell r="C265" t="str">
            <v>มือจับบานเลื่อน (รุ่นเล็ก)</v>
          </cell>
          <cell r="D265" t="str">
            <v>สี</v>
          </cell>
          <cell r="E265" t="str">
            <v>บรรจุ/หมายเหตุ</v>
          </cell>
          <cell r="F265" t="str">
            <v>ราคาตั้ง</v>
          </cell>
          <cell r="G265" t="str">
            <v>RE 
ก่อนVAT</v>
          </cell>
          <cell r="H265" t="str">
            <v>ทุน
รวม VAT</v>
          </cell>
          <cell r="J265" t="str">
            <v>SDM</v>
          </cell>
          <cell r="K265" t="str">
            <v>W1</v>
          </cell>
          <cell r="L265" t="str">
            <v>W2</v>
          </cell>
          <cell r="M265" t="str">
            <v>R1</v>
          </cell>
          <cell r="N265" t="str">
            <v>R2</v>
          </cell>
        </row>
        <row r="266">
          <cell r="B266" t="str">
            <v>N/A</v>
          </cell>
          <cell r="C266" t="str">
            <v>มือจับล็อค A2 TOP</v>
          </cell>
          <cell r="D266" t="str">
            <v>ขาว/ชา/ดำ/อบขาว</v>
          </cell>
          <cell r="E266" t="str">
            <v>100ชุด/ลัง</v>
          </cell>
          <cell r="G266">
            <v>23.36</v>
          </cell>
          <cell r="H266">
            <v>24.995200000000001</v>
          </cell>
          <cell r="J266">
            <v>26.25</v>
          </cell>
          <cell r="K266">
            <v>26.25</v>
          </cell>
          <cell r="L266">
            <v>27</v>
          </cell>
          <cell r="M266">
            <v>27.75</v>
          </cell>
          <cell r="N266">
            <v>29.5</v>
          </cell>
        </row>
        <row r="267">
          <cell r="B267" t="str">
            <v>N/A</v>
          </cell>
          <cell r="C267" t="str">
            <v xml:space="preserve">มือจับล็อคกุญแจ A4  TOP  </v>
          </cell>
          <cell r="D267" t="str">
            <v>ขาว/ชา/ดำ/อบขาว</v>
          </cell>
          <cell r="E267" t="str">
            <v>100ชุด/ลัง</v>
          </cell>
          <cell r="G267">
            <v>32.71</v>
          </cell>
          <cell r="H267">
            <v>34.999700000000004</v>
          </cell>
          <cell r="J267">
            <v>36.5</v>
          </cell>
          <cell r="K267">
            <v>36.5</v>
          </cell>
          <cell r="L267">
            <v>37.75</v>
          </cell>
          <cell r="M267">
            <v>39</v>
          </cell>
          <cell r="N267">
            <v>41.5</v>
          </cell>
        </row>
        <row r="268">
          <cell r="B268" t="str">
            <v>N/A</v>
          </cell>
          <cell r="C268" t="str">
            <v>มือจับเรียบมีรู A10  TOP</v>
          </cell>
          <cell r="D268" t="str">
            <v>ขาว/ชา/ดำ/อบขาว</v>
          </cell>
          <cell r="E268" t="str">
            <v>200ชุด/ลัง</v>
          </cell>
          <cell r="G268">
            <v>13.08</v>
          </cell>
          <cell r="H268">
            <v>13.995600000000001</v>
          </cell>
          <cell r="J268">
            <v>15</v>
          </cell>
          <cell r="K268">
            <v>15</v>
          </cell>
          <cell r="L268">
            <v>15.25</v>
          </cell>
          <cell r="M268">
            <v>15.75</v>
          </cell>
          <cell r="N268">
            <v>16.5</v>
          </cell>
        </row>
        <row r="269">
          <cell r="B269" t="str">
            <v>N/A</v>
          </cell>
          <cell r="C269" t="str">
            <v>มือจับเรียบไม่มีรู A11 TOP</v>
          </cell>
          <cell r="D269" t="str">
            <v>ขาว/ชา/ดำ/อบขาว</v>
          </cell>
          <cell r="E269" t="str">
            <v>200ชุด/ลัง</v>
          </cell>
          <cell r="G269">
            <v>13.08</v>
          </cell>
          <cell r="H269">
            <v>13.995600000000001</v>
          </cell>
          <cell r="J269">
            <v>15</v>
          </cell>
          <cell r="K269">
            <v>15</v>
          </cell>
          <cell r="L269">
            <v>15.25</v>
          </cell>
          <cell r="M269">
            <v>15.75</v>
          </cell>
          <cell r="N269">
            <v>16.5</v>
          </cell>
        </row>
        <row r="270">
          <cell r="B270" t="str">
            <v>E002040203D2100200</v>
          </cell>
          <cell r="C270" t="str">
            <v xml:space="preserve">มือจับล็อค A2 TOP (s) </v>
          </cell>
          <cell r="D270" t="str">
            <v>ขาว/ชา/ดำ/อบขาว</v>
          </cell>
          <cell r="E270" t="str">
            <v>100ชุด/ลัง</v>
          </cell>
          <cell r="G270">
            <v>21.45</v>
          </cell>
          <cell r="H270">
            <v>22.951499999999999</v>
          </cell>
          <cell r="J270">
            <v>24</v>
          </cell>
          <cell r="K270">
            <v>24</v>
          </cell>
          <cell r="L270">
            <v>24.5</v>
          </cell>
          <cell r="M270">
            <v>26</v>
          </cell>
          <cell r="N270">
            <v>27</v>
          </cell>
        </row>
        <row r="271">
          <cell r="B271" t="str">
            <v>E002040203D2200400</v>
          </cell>
          <cell r="C271" t="str">
            <v>มือจับล็อคกุญแจ A4  TOP (s)                  /กุญแจ 2ดอก</v>
          </cell>
          <cell r="D271" t="str">
            <v>ขาว/ชา/ดำ/อบขาว</v>
          </cell>
          <cell r="E271" t="str">
            <v>100ชุด/ลัง</v>
          </cell>
          <cell r="G271">
            <v>34.65</v>
          </cell>
          <cell r="H271">
            <v>37.075499999999998</v>
          </cell>
          <cell r="J271">
            <v>38.75</v>
          </cell>
          <cell r="K271">
            <v>39</v>
          </cell>
          <cell r="L271">
            <v>40</v>
          </cell>
          <cell r="M271">
            <v>42</v>
          </cell>
          <cell r="N271">
            <v>44</v>
          </cell>
        </row>
        <row r="272">
          <cell r="B272" t="str">
            <v>N/A</v>
          </cell>
          <cell r="C272" t="str">
            <v>มือจับเรียบมีรู A10  TOP (s)       (ขายราคาเก่า ห้ามเติมสต็อก)</v>
          </cell>
          <cell r="D272" t="str">
            <v>ขาว/ชา/ดำ/อบขาว</v>
          </cell>
          <cell r="E272" t="str">
            <v>200ชุด/ลัง</v>
          </cell>
          <cell r="G272">
            <v>14</v>
          </cell>
          <cell r="H272">
            <v>14.98</v>
          </cell>
          <cell r="J272">
            <v>15.75</v>
          </cell>
          <cell r="K272">
            <v>15.75</v>
          </cell>
          <cell r="L272">
            <v>16.5</v>
          </cell>
          <cell r="M272">
            <v>17</v>
          </cell>
          <cell r="N272">
            <v>18</v>
          </cell>
        </row>
        <row r="273">
          <cell r="B273" t="str">
            <v>N/A</v>
          </cell>
          <cell r="C273" t="str">
            <v>มือจับเรียบไม่มีรู A11  TOP (s)       (ขายราคาเก่า ห้ามเติมสต็อก)</v>
          </cell>
          <cell r="D273" t="str">
            <v>ขาว/ชา/ดำ/อบขาว</v>
          </cell>
          <cell r="E273" t="str">
            <v>200ชุด/ลัง</v>
          </cell>
          <cell r="G273">
            <v>14</v>
          </cell>
          <cell r="H273">
            <v>14.98</v>
          </cell>
          <cell r="J273">
            <v>15.75</v>
          </cell>
          <cell r="K273">
            <v>15.75</v>
          </cell>
          <cell r="L273">
            <v>16.5</v>
          </cell>
          <cell r="M273">
            <v>17</v>
          </cell>
          <cell r="N273">
            <v>18</v>
          </cell>
        </row>
        <row r="274">
          <cell r="B274" t="str">
            <v>N/A</v>
          </cell>
          <cell r="C274" t="str">
            <v>มือจับล็อค รุ่นเล็ก  TOP X TRA</v>
          </cell>
          <cell r="D274" t="str">
            <v>ขาว/ชา/ดำ/อบขาว</v>
          </cell>
          <cell r="E274" t="str">
            <v>100ชุด/ลัง</v>
          </cell>
          <cell r="G274">
            <v>31.775700000000001</v>
          </cell>
          <cell r="H274">
            <v>33.999999000000003</v>
          </cell>
          <cell r="J274">
            <v>35.5</v>
          </cell>
          <cell r="K274">
            <v>35.5</v>
          </cell>
          <cell r="L274">
            <v>36.75</v>
          </cell>
          <cell r="M274">
            <v>37.75</v>
          </cell>
          <cell r="N274">
            <v>40</v>
          </cell>
        </row>
        <row r="275">
          <cell r="B275" t="str">
            <v>N/A</v>
          </cell>
          <cell r="C275" t="str">
            <v>มือจับล็อคกุญแจ รุ่นเล็ก  TOP X TRA</v>
          </cell>
          <cell r="D275" t="str">
            <v>ขาว/ชา/ดำ/อบขาว</v>
          </cell>
          <cell r="E275" t="str">
            <v>100ชุด/ลัง</v>
          </cell>
          <cell r="G275">
            <v>42.056100000000001</v>
          </cell>
          <cell r="H275">
            <v>45.000027000000003</v>
          </cell>
          <cell r="J275">
            <v>47</v>
          </cell>
          <cell r="K275">
            <v>47</v>
          </cell>
          <cell r="L275">
            <v>48.5</v>
          </cell>
          <cell r="M275">
            <v>50</v>
          </cell>
          <cell r="N275">
            <v>53</v>
          </cell>
        </row>
        <row r="276">
          <cell r="B276" t="str">
            <v>N/A</v>
          </cell>
          <cell r="C276" t="str">
            <v>มือจับเรียบมีรู รุ่นเล็ก  TOP X TRA</v>
          </cell>
          <cell r="D276" t="str">
            <v>ขาว/ชา/ดำ/อบขาว</v>
          </cell>
          <cell r="E276" t="str">
            <v>200ชุด/ลัง</v>
          </cell>
          <cell r="G276">
            <v>14.9533</v>
          </cell>
          <cell r="H276">
            <v>16.000031</v>
          </cell>
          <cell r="J276">
            <v>17</v>
          </cell>
          <cell r="K276">
            <v>17</v>
          </cell>
          <cell r="L276">
            <v>17.25</v>
          </cell>
          <cell r="M276">
            <v>18</v>
          </cell>
          <cell r="N276">
            <v>19</v>
          </cell>
        </row>
        <row r="277">
          <cell r="B277" t="str">
            <v>N/A</v>
          </cell>
          <cell r="C277" t="str">
            <v>มือจับเรียบไม่มีรู  รุ่นเล็ก  TOP X TRA</v>
          </cell>
          <cell r="D277" t="str">
            <v>ขาว/ชา/ดำ/อบขาว</v>
          </cell>
          <cell r="E277" t="str">
            <v>200ชุด/ลัง</v>
          </cell>
          <cell r="G277">
            <v>14.9533</v>
          </cell>
          <cell r="H277">
            <v>16.000031</v>
          </cell>
          <cell r="J277">
            <v>17</v>
          </cell>
          <cell r="K277">
            <v>17</v>
          </cell>
          <cell r="L277">
            <v>17.25</v>
          </cell>
          <cell r="M277">
            <v>18</v>
          </cell>
          <cell r="N277">
            <v>19</v>
          </cell>
        </row>
        <row r="278">
          <cell r="B278" t="str">
            <v>N/A</v>
          </cell>
          <cell r="C278" t="str">
            <v>มือจับล็อค รุ่นเล็ก TTP-S</v>
          </cell>
          <cell r="D278" t="str">
            <v>ขาว/ชา/ดำ/อบขาว</v>
          </cell>
          <cell r="E278" t="str">
            <v>100ตัว/ลัง</v>
          </cell>
          <cell r="G278">
            <v>18.600000000000001</v>
          </cell>
          <cell r="H278">
            <v>19.902000000000001</v>
          </cell>
          <cell r="J278">
            <v>21</v>
          </cell>
          <cell r="K278">
            <v>22</v>
          </cell>
          <cell r="L278">
            <v>23</v>
          </cell>
          <cell r="M278">
            <v>24</v>
          </cell>
          <cell r="N278">
            <v>25</v>
          </cell>
        </row>
        <row r="279">
          <cell r="B279" t="str">
            <v>N/A</v>
          </cell>
          <cell r="C279" t="str">
            <v>มือจับกุญแจ รุ่นเล็ก TTS-S</v>
          </cell>
          <cell r="D279" t="str">
            <v>ขาว/ชา/ดำ/อบขาว</v>
          </cell>
          <cell r="E279" t="str">
            <v>100ตัว/ลัง</v>
          </cell>
          <cell r="G279">
            <v>35.1</v>
          </cell>
          <cell r="H279">
            <v>37.557000000000002</v>
          </cell>
          <cell r="J279">
            <v>40</v>
          </cell>
          <cell r="K279">
            <v>42</v>
          </cell>
          <cell r="L279">
            <v>44</v>
          </cell>
          <cell r="M279">
            <v>46</v>
          </cell>
          <cell r="N279">
            <v>48</v>
          </cell>
        </row>
        <row r="280">
          <cell r="B280" t="str">
            <v>N/A</v>
          </cell>
          <cell r="C280" t="str">
            <v>มือจับเรียบมีรู รุ่นเล็ก  TTP-S</v>
          </cell>
          <cell r="D280" t="str">
            <v>ขาว/ชา/ดำ/อบขาว</v>
          </cell>
          <cell r="E280" t="str">
            <v>200ตัว/ลัง</v>
          </cell>
          <cell r="G280">
            <v>14.82</v>
          </cell>
          <cell r="H280">
            <v>15.857400000000002</v>
          </cell>
          <cell r="J280">
            <v>17</v>
          </cell>
          <cell r="K280">
            <v>18</v>
          </cell>
          <cell r="L280">
            <v>18.5</v>
          </cell>
          <cell r="M280">
            <v>19</v>
          </cell>
          <cell r="N280">
            <v>20</v>
          </cell>
        </row>
        <row r="281">
          <cell r="B281" t="str">
            <v>N/A</v>
          </cell>
          <cell r="C281" t="str">
            <v>มือจับเรียบไม่มีรู รุ่นเล็ก  TTP-S</v>
          </cell>
          <cell r="D281" t="str">
            <v>ขาว/ชา/ดำ/อบขาว</v>
          </cell>
          <cell r="E281" t="str">
            <v>200ตัว/ลัง</v>
          </cell>
          <cell r="G281">
            <v>14.82</v>
          </cell>
          <cell r="H281">
            <v>15.857400000000002</v>
          </cell>
          <cell r="J281">
            <v>17</v>
          </cell>
          <cell r="K281">
            <v>18</v>
          </cell>
          <cell r="L281">
            <v>18.5</v>
          </cell>
          <cell r="M281">
            <v>19</v>
          </cell>
          <cell r="N281">
            <v>20</v>
          </cell>
        </row>
        <row r="282">
          <cell r="B282" t="str">
            <v>ไชยอิค่อน</v>
          </cell>
          <cell r="C282" t="str">
            <v>มือจับล็อค รุ่นเล็ก  CEKON</v>
          </cell>
          <cell r="D282" t="str">
            <v>สีอบขาว</v>
          </cell>
          <cell r="G282">
            <v>36.18</v>
          </cell>
          <cell r="H282">
            <v>38.712600000000002</v>
          </cell>
          <cell r="J282">
            <v>40.5</v>
          </cell>
          <cell r="K282">
            <v>40.5</v>
          </cell>
          <cell r="L282">
            <v>42</v>
          </cell>
          <cell r="M282">
            <v>43</v>
          </cell>
          <cell r="N282">
            <v>46</v>
          </cell>
        </row>
        <row r="283">
          <cell r="B283" t="str">
            <v>ไชยอิค่อน</v>
          </cell>
          <cell r="C283" t="str">
            <v>มือจับล็อคกุญแจ รุ่นเล็ก  CEKON</v>
          </cell>
          <cell r="D283" t="str">
            <v>สีอบขาว</v>
          </cell>
          <cell r="G283">
            <v>37.78</v>
          </cell>
          <cell r="H283">
            <v>40.424600000000005</v>
          </cell>
          <cell r="J283">
            <v>43</v>
          </cell>
          <cell r="K283">
            <v>43</v>
          </cell>
          <cell r="L283">
            <v>45</v>
          </cell>
          <cell r="M283">
            <v>46</v>
          </cell>
          <cell r="N283">
            <v>48</v>
          </cell>
        </row>
        <row r="284">
          <cell r="B284" t="str">
            <v>ไชยอิค่อน</v>
          </cell>
          <cell r="C284" t="str">
            <v>มือจับเรียบมีรู รุ่นเล็ก  CEKON</v>
          </cell>
          <cell r="D284" t="str">
            <v>สีอบขาว</v>
          </cell>
          <cell r="G284">
            <v>13.08</v>
          </cell>
          <cell r="H284">
            <v>13.995600000000001</v>
          </cell>
          <cell r="J284">
            <v>14.75</v>
          </cell>
          <cell r="K284">
            <v>14.75</v>
          </cell>
          <cell r="L284">
            <v>15</v>
          </cell>
          <cell r="M284">
            <v>15.5</v>
          </cell>
          <cell r="N284">
            <v>16.5</v>
          </cell>
        </row>
        <row r="285">
          <cell r="B285" t="str">
            <v>ไชยอิค่อน</v>
          </cell>
          <cell r="C285" t="str">
            <v>มือจับเรียบไม่มีรู รุ่นเล็ก  CEKON</v>
          </cell>
          <cell r="D285" t="str">
            <v>สีอบขาว</v>
          </cell>
          <cell r="G285">
            <v>19.579999999999998</v>
          </cell>
          <cell r="H285">
            <v>20.950599999999998</v>
          </cell>
          <cell r="J285">
            <v>22</v>
          </cell>
          <cell r="K285">
            <v>22</v>
          </cell>
          <cell r="L285">
            <v>22.5</v>
          </cell>
          <cell r="M285">
            <v>23.5</v>
          </cell>
          <cell r="N285">
            <v>24.5</v>
          </cell>
        </row>
        <row r="286">
          <cell r="B286" t="str">
            <v>รหัส</v>
          </cell>
          <cell r="C286" t="str">
            <v>มือจับบานเลื่อน (รุ่นใหญ่)</v>
          </cell>
          <cell r="D286" t="str">
            <v>สี</v>
          </cell>
          <cell r="E286" t="str">
            <v>บรรจุ/หมายเหตุ</v>
          </cell>
          <cell r="F286" t="str">
            <v>ราคาตั้ง</v>
          </cell>
          <cell r="G286" t="str">
            <v>RE 
ก่อนVAT</v>
          </cell>
          <cell r="H286" t="str">
            <v>ทุน
รวม VAT</v>
          </cell>
          <cell r="J286" t="str">
            <v>SDM</v>
          </cell>
          <cell r="K286" t="str">
            <v>W1</v>
          </cell>
          <cell r="L286" t="str">
            <v>W2</v>
          </cell>
          <cell r="M286" t="str">
            <v>R1</v>
          </cell>
          <cell r="N286" t="str">
            <v>R2</v>
          </cell>
        </row>
        <row r="287">
          <cell r="B287" t="str">
            <v>N/A</v>
          </cell>
          <cell r="C287" t="str">
            <v>มือจับล็อค รุ่นใหญ่ TOP</v>
          </cell>
          <cell r="D287" t="str">
            <v>ขาว/ชา/ดำ/อบขาว</v>
          </cell>
          <cell r="E287" t="str">
            <v>100ชุด/ลัง</v>
          </cell>
          <cell r="G287">
            <v>42.06</v>
          </cell>
          <cell r="H287">
            <v>45.004200000000004</v>
          </cell>
          <cell r="J287">
            <v>47.25</v>
          </cell>
          <cell r="K287">
            <v>47.25</v>
          </cell>
          <cell r="L287">
            <v>48.5</v>
          </cell>
          <cell r="M287">
            <v>50</v>
          </cell>
          <cell r="N287">
            <v>53</v>
          </cell>
        </row>
        <row r="288">
          <cell r="B288" t="str">
            <v>N/A</v>
          </cell>
          <cell r="C288" t="str">
            <v>มือจับล็อคกุญแจ รุ่นใหญ่ TOP /กุญแจ 3ดอก</v>
          </cell>
          <cell r="D288" t="str">
            <v>ขาว/ชา/ดำ/อบขาว</v>
          </cell>
          <cell r="E288" t="str">
            <v>50ชุด/ลัง</v>
          </cell>
          <cell r="G288">
            <v>144.86000000000001</v>
          </cell>
          <cell r="H288">
            <v>155.00020000000004</v>
          </cell>
          <cell r="J288">
            <v>163</v>
          </cell>
          <cell r="K288">
            <v>163</v>
          </cell>
          <cell r="L288">
            <v>167</v>
          </cell>
          <cell r="M288">
            <v>173</v>
          </cell>
          <cell r="N288">
            <v>183</v>
          </cell>
        </row>
        <row r="289">
          <cell r="B289" t="str">
            <v>N/A</v>
          </cell>
          <cell r="C289" t="str">
            <v>มือจับเรียบมีรู รุ่นใหญ่ TOP</v>
          </cell>
          <cell r="D289" t="str">
            <v>ขาว/ชา/ดำ/อบขาว</v>
          </cell>
          <cell r="E289" t="str">
            <v>200ชุด/ลัง</v>
          </cell>
          <cell r="G289">
            <v>28.04</v>
          </cell>
          <cell r="H289">
            <v>30.002800000000001</v>
          </cell>
          <cell r="I289" t="str">
            <v xml:space="preserve"> </v>
          </cell>
          <cell r="J289">
            <v>31.5</v>
          </cell>
          <cell r="K289">
            <v>31.5</v>
          </cell>
          <cell r="L289">
            <v>32.25</v>
          </cell>
          <cell r="M289">
            <v>34</v>
          </cell>
          <cell r="N289">
            <v>35.5</v>
          </cell>
        </row>
        <row r="290">
          <cell r="B290" t="str">
            <v>N/A</v>
          </cell>
          <cell r="C290" t="str">
            <v>มือจับเรียบไม่มีรู รุ่นใหญ่ TOP</v>
          </cell>
          <cell r="D290" t="str">
            <v>ขาว/ชา/ดำ/อบขาว</v>
          </cell>
          <cell r="E290" t="str">
            <v>200ชุด/ลัง</v>
          </cell>
          <cell r="G290">
            <v>28.04</v>
          </cell>
          <cell r="H290">
            <v>30.002800000000001</v>
          </cell>
          <cell r="J290">
            <v>31.5</v>
          </cell>
          <cell r="K290">
            <v>31.5</v>
          </cell>
          <cell r="L290">
            <v>32.25</v>
          </cell>
          <cell r="M290">
            <v>34</v>
          </cell>
          <cell r="N290">
            <v>35.5</v>
          </cell>
        </row>
        <row r="291">
          <cell r="B291" t="str">
            <v>N/A</v>
          </cell>
          <cell r="C291" t="str">
            <v>มือจับดับเบิ้ลคลิกล็อค</v>
          </cell>
          <cell r="D291" t="str">
            <v>ขาว/ชา/ดำ/อบขาว</v>
          </cell>
          <cell r="E291" t="str">
            <v>50ตัว/ลัง</v>
          </cell>
          <cell r="G291">
            <v>120</v>
          </cell>
          <cell r="H291">
            <v>128.4</v>
          </cell>
          <cell r="J291">
            <v>135</v>
          </cell>
          <cell r="K291">
            <v>140</v>
          </cell>
          <cell r="L291">
            <v>145</v>
          </cell>
          <cell r="M291">
            <v>155</v>
          </cell>
          <cell r="N291">
            <v>165</v>
          </cell>
        </row>
        <row r="292">
          <cell r="B292" t="str">
            <v>N/A</v>
          </cell>
          <cell r="C292" t="str">
            <v>มือจับดับเบิ้ลล็อค TOP</v>
          </cell>
          <cell r="D292" t="str">
            <v>ขาว/ชา/ดำ/อบขาว</v>
          </cell>
          <cell r="E292" t="str">
            <v>50ตัว/ลัง</v>
          </cell>
          <cell r="G292">
            <v>119</v>
          </cell>
          <cell r="H292">
            <v>127.33000000000001</v>
          </cell>
          <cell r="J292">
            <v>135</v>
          </cell>
          <cell r="K292">
            <v>135</v>
          </cell>
          <cell r="L292">
            <v>140</v>
          </cell>
          <cell r="M292">
            <v>145</v>
          </cell>
          <cell r="N292">
            <v>150</v>
          </cell>
        </row>
        <row r="293">
          <cell r="B293" t="str">
            <v>N/A</v>
          </cell>
          <cell r="C293" t="str">
            <v>มือจับบานเลื่อนออโต้ล็อค TOP</v>
          </cell>
          <cell r="D293" t="str">
            <v>ขาว/ชา/ดำ/อบขาว</v>
          </cell>
          <cell r="E293" t="str">
            <v>50ตัว/ลัง</v>
          </cell>
          <cell r="G293">
            <v>60</v>
          </cell>
          <cell r="H293">
            <v>64.2</v>
          </cell>
          <cell r="J293">
            <v>68</v>
          </cell>
          <cell r="K293">
            <v>68</v>
          </cell>
          <cell r="L293">
            <v>70</v>
          </cell>
          <cell r="M293">
            <v>75</v>
          </cell>
          <cell r="N293">
            <v>80</v>
          </cell>
        </row>
        <row r="294">
          <cell r="B294" t="str">
            <v>E002040203D2109800</v>
          </cell>
          <cell r="C294" t="str">
            <v xml:space="preserve">มือจับล็อค รุ่นใหญ่ TOP (s)  </v>
          </cell>
          <cell r="D294" t="str">
            <v>ขาว/ชา/ดำ/อบขาว</v>
          </cell>
          <cell r="E294" t="str">
            <v>100ชุด/ลัง</v>
          </cell>
          <cell r="G294">
            <v>47</v>
          </cell>
          <cell r="H294">
            <v>50.290000000000006</v>
          </cell>
          <cell r="J294">
            <v>52.5</v>
          </cell>
          <cell r="K294">
            <v>52.5</v>
          </cell>
          <cell r="L294">
            <v>54.25</v>
          </cell>
          <cell r="M294">
            <v>56</v>
          </cell>
          <cell r="N294">
            <v>60</v>
          </cell>
        </row>
        <row r="295">
          <cell r="B295" t="str">
            <v>E002040203D2209800</v>
          </cell>
          <cell r="C295" t="str">
            <v>มือจับล็อคกุญแจ รุ่นใหญ่ (s)  /กุญแจ 2ดอก (ห้ามเติมสต็อกบางสี)</v>
          </cell>
          <cell r="D295" t="str">
            <v>ขาว/ชา/ดำ/อบขาว</v>
          </cell>
          <cell r="E295" t="str">
            <v>50ชุด/ลัง</v>
          </cell>
          <cell r="G295">
            <v>126</v>
          </cell>
          <cell r="H295">
            <v>134.82000000000002</v>
          </cell>
          <cell r="J295">
            <v>140</v>
          </cell>
          <cell r="K295">
            <v>140</v>
          </cell>
          <cell r="L295">
            <v>145</v>
          </cell>
          <cell r="M295">
            <v>150</v>
          </cell>
          <cell r="N295">
            <v>155</v>
          </cell>
        </row>
        <row r="296">
          <cell r="B296" t="str">
            <v>E002040203D2309800</v>
          </cell>
          <cell r="C296" t="str">
            <v>มือจับเรียบมีรู รุ่นใหญ่ TOP (s)             ( ห้ามเติมสต็อกบางสี)</v>
          </cell>
          <cell r="D296" t="str">
            <v>ขาว/ชา/ดำ/อบขาว</v>
          </cell>
          <cell r="E296" t="str">
            <v>200ชุด/ลัง</v>
          </cell>
          <cell r="G296">
            <v>25</v>
          </cell>
          <cell r="H296">
            <v>26.75</v>
          </cell>
          <cell r="J296">
            <v>28</v>
          </cell>
          <cell r="K296">
            <v>28</v>
          </cell>
          <cell r="L296">
            <v>28.75</v>
          </cell>
          <cell r="M296">
            <v>29.75</v>
          </cell>
          <cell r="N296">
            <v>31.5</v>
          </cell>
        </row>
        <row r="297">
          <cell r="B297" t="str">
            <v>E002040203D2409800</v>
          </cell>
          <cell r="C297" t="str">
            <v>มือจับเรียบไม่มีรู รุ่นใหญ่ TOP (s)          (ห้ามเติมสต็อกบางสี)</v>
          </cell>
          <cell r="D297" t="str">
            <v>ขาว/ชา/ดำ/อบขาว</v>
          </cell>
          <cell r="E297" t="str">
            <v>200ชุด/ลัง</v>
          </cell>
          <cell r="G297">
            <v>24</v>
          </cell>
          <cell r="H297">
            <v>25.68</v>
          </cell>
          <cell r="J297">
            <v>27</v>
          </cell>
          <cell r="K297">
            <v>27</v>
          </cell>
          <cell r="L297">
            <v>27.75</v>
          </cell>
          <cell r="M297">
            <v>28.5</v>
          </cell>
          <cell r="N297">
            <v>31</v>
          </cell>
        </row>
        <row r="298">
          <cell r="B298" t="str">
            <v>N/A</v>
          </cell>
          <cell r="C298" t="str">
            <v>จมูกรับล็อค มือจับบานเลื่อนรุ่นใหญ่</v>
          </cell>
          <cell r="G298">
            <v>15</v>
          </cell>
          <cell r="H298">
            <v>16.05</v>
          </cell>
          <cell r="J298">
            <v>18</v>
          </cell>
          <cell r="K298">
            <v>20</v>
          </cell>
          <cell r="L298">
            <v>23</v>
          </cell>
          <cell r="M298">
            <v>25</v>
          </cell>
          <cell r="N298">
            <v>28</v>
          </cell>
        </row>
        <row r="299">
          <cell r="B299" t="str">
            <v>N/A</v>
          </cell>
          <cell r="C299" t="str">
            <v>จมูกรับล็อคพร้อมน็อต มือจับบานเลื่อนรุ่นใหญ่</v>
          </cell>
          <cell r="G299">
            <v>20</v>
          </cell>
          <cell r="H299">
            <v>21.400000000000002</v>
          </cell>
          <cell r="J299">
            <v>23</v>
          </cell>
          <cell r="K299">
            <v>25</v>
          </cell>
          <cell r="L299">
            <v>28</v>
          </cell>
          <cell r="M299">
            <v>30</v>
          </cell>
          <cell r="N299">
            <v>32</v>
          </cell>
        </row>
        <row r="300">
          <cell r="B300" t="str">
            <v>N/A</v>
          </cell>
          <cell r="C300" t="str">
            <v xml:space="preserve">มือจับล็อค รุ่นใหญ่ Runner </v>
          </cell>
          <cell r="D300" t="str">
            <v>สีเทาซาฮาร่า</v>
          </cell>
          <cell r="E300" t="str">
            <v>สั่งผลิตตามจำนวน</v>
          </cell>
          <cell r="G300">
            <v>78</v>
          </cell>
          <cell r="H300">
            <v>83.460000000000008</v>
          </cell>
          <cell r="J300">
            <v>87</v>
          </cell>
          <cell r="L300">
            <v>90</v>
          </cell>
          <cell r="M300">
            <v>93</v>
          </cell>
          <cell r="N300">
            <v>100</v>
          </cell>
        </row>
        <row r="301">
          <cell r="B301" t="str">
            <v>N/A</v>
          </cell>
          <cell r="C301" t="str">
            <v xml:space="preserve">มือจับล็อค+กุญแจ รุ่นใหญ่  Runner </v>
          </cell>
          <cell r="D301" t="str">
            <v>สีเทาซาฮาร่า</v>
          </cell>
          <cell r="E301" t="str">
            <v>สั่งผลิตตามจำนวน</v>
          </cell>
          <cell r="G301">
            <v>177</v>
          </cell>
          <cell r="H301">
            <v>189.39000000000001</v>
          </cell>
          <cell r="J301">
            <v>200</v>
          </cell>
          <cell r="L301">
            <v>205</v>
          </cell>
          <cell r="M301">
            <v>215</v>
          </cell>
          <cell r="N301">
            <v>220</v>
          </cell>
        </row>
        <row r="302">
          <cell r="B302" t="str">
            <v>N/A</v>
          </cell>
          <cell r="C302" t="str">
            <v xml:space="preserve">มือจับเรียบมีรู รุ่นใหญ่  Runner </v>
          </cell>
          <cell r="D302" t="str">
            <v>สีเทาซาฮาร่า</v>
          </cell>
          <cell r="E302" t="str">
            <v>สั่งผลิตตามจำนวน</v>
          </cell>
          <cell r="G302">
            <v>47</v>
          </cell>
          <cell r="H302">
            <v>50.290000000000006</v>
          </cell>
          <cell r="J302">
            <v>53</v>
          </cell>
          <cell r="L302">
            <v>55</v>
          </cell>
          <cell r="M302">
            <v>58</v>
          </cell>
          <cell r="N302">
            <v>60</v>
          </cell>
        </row>
        <row r="303">
          <cell r="B303" t="str">
            <v>N/A</v>
          </cell>
          <cell r="C303" t="str">
            <v xml:space="preserve">มือจับเรียบไม่มีรู รุ่นใหญ่  Runner </v>
          </cell>
          <cell r="D303" t="str">
            <v>สีเทาซาฮาร่า</v>
          </cell>
          <cell r="E303" t="str">
            <v>สั่งผลิตตามจำนวน</v>
          </cell>
          <cell r="G303">
            <v>47</v>
          </cell>
          <cell r="H303">
            <v>50.290000000000006</v>
          </cell>
          <cell r="J303">
            <v>53</v>
          </cell>
          <cell r="L303">
            <v>55</v>
          </cell>
          <cell r="M303">
            <v>58</v>
          </cell>
          <cell r="N303">
            <v>60</v>
          </cell>
        </row>
        <row r="304">
          <cell r="B304" t="str">
            <v>N/A</v>
          </cell>
          <cell r="C304" t="str">
            <v>กุญแจดับเลิ้ลล็อค Runner</v>
          </cell>
          <cell r="G304">
            <v>119</v>
          </cell>
          <cell r="H304">
            <v>127.33000000000001</v>
          </cell>
          <cell r="J304">
            <v>135</v>
          </cell>
          <cell r="L304">
            <v>140</v>
          </cell>
          <cell r="M304">
            <v>145</v>
          </cell>
          <cell r="N304">
            <v>150</v>
          </cell>
        </row>
        <row r="305">
          <cell r="B305" t="str">
            <v>N/A</v>
          </cell>
          <cell r="C305" t="str">
            <v>มือจับล็อค รุ่นใหญ่ TOP X TRA</v>
          </cell>
          <cell r="D305" t="str">
            <v>ขาว/ชา/ดำ/อบขาว</v>
          </cell>
          <cell r="E305" t="str">
            <v>100ตัว/ลัง</v>
          </cell>
          <cell r="G305">
            <v>51.4009</v>
          </cell>
          <cell r="H305">
            <v>54.998963000000003</v>
          </cell>
          <cell r="J305">
            <v>57.5</v>
          </cell>
          <cell r="K305">
            <v>57.5</v>
          </cell>
          <cell r="L305">
            <v>59.5</v>
          </cell>
          <cell r="M305">
            <v>61.5</v>
          </cell>
          <cell r="N305">
            <v>65</v>
          </cell>
        </row>
        <row r="306">
          <cell r="B306" t="str">
            <v>N/A</v>
          </cell>
          <cell r="C306" t="str">
            <v>มือจับล็อคกุญแจ รุ่นใหญ่ TOP X TRA</v>
          </cell>
          <cell r="D306" t="str">
            <v>ขาว/ชา/ดำ/อบขาว</v>
          </cell>
          <cell r="E306" t="str">
            <v>50ตัว/ลัง</v>
          </cell>
          <cell r="G306">
            <v>154.2056</v>
          </cell>
          <cell r="H306">
            <v>164.99999200000002</v>
          </cell>
          <cell r="J306">
            <v>172</v>
          </cell>
          <cell r="K306">
            <v>172</v>
          </cell>
          <cell r="L306">
            <v>178</v>
          </cell>
          <cell r="M306">
            <v>185</v>
          </cell>
          <cell r="N306">
            <v>195</v>
          </cell>
        </row>
        <row r="307">
          <cell r="B307" t="str">
            <v>N/A</v>
          </cell>
          <cell r="C307" t="str">
            <v>มือจับเรียบมีรู รุ่นใหญ่ TOP X TRA</v>
          </cell>
          <cell r="D307" t="str">
            <v>ขาว/ชา/ดำ/อบขาว</v>
          </cell>
          <cell r="E307" t="str">
            <v>200ตัว/ลัง</v>
          </cell>
          <cell r="G307">
            <v>28.97</v>
          </cell>
          <cell r="H307">
            <v>30.997900000000001</v>
          </cell>
          <cell r="J307">
            <v>32.5</v>
          </cell>
          <cell r="K307">
            <v>32.5</v>
          </cell>
          <cell r="L307">
            <v>33.5</v>
          </cell>
          <cell r="M307">
            <v>34.5</v>
          </cell>
          <cell r="N307">
            <v>36.5</v>
          </cell>
        </row>
        <row r="308">
          <cell r="B308" t="str">
            <v>N/A</v>
          </cell>
          <cell r="C308" t="str">
            <v>มือจับเรียบไม่มีรู รุ่นใหญ่  TOP X TRA</v>
          </cell>
          <cell r="D308" t="str">
            <v>ขาว/ชา/ดำ/อบขาว</v>
          </cell>
          <cell r="E308" t="str">
            <v>200ตัว/ลัง</v>
          </cell>
          <cell r="G308">
            <v>28.97</v>
          </cell>
          <cell r="H308">
            <v>30.997900000000001</v>
          </cell>
          <cell r="J308">
            <v>32.5</v>
          </cell>
          <cell r="K308">
            <v>32.5</v>
          </cell>
          <cell r="L308">
            <v>33.5</v>
          </cell>
          <cell r="M308">
            <v>34.5</v>
          </cell>
          <cell r="N308">
            <v>36.5</v>
          </cell>
        </row>
        <row r="309">
          <cell r="B309" t="str">
            <v>N/A</v>
          </cell>
          <cell r="C309" t="str">
            <v>มือจับล็อค รุ่นใหญ่  HUSZA #SE340</v>
          </cell>
          <cell r="D309" t="str">
            <v>ขาว/ชา/ดำ/อบขาว</v>
          </cell>
          <cell r="E309" t="str">
            <v>100ตัว/ลัง</v>
          </cell>
          <cell r="G309">
            <v>98.691599999999994</v>
          </cell>
          <cell r="H309">
            <v>105.60001200000001</v>
          </cell>
          <cell r="J309">
            <v>110</v>
          </cell>
          <cell r="K309">
            <v>110</v>
          </cell>
          <cell r="L309">
            <v>114</v>
          </cell>
          <cell r="M309">
            <v>118</v>
          </cell>
          <cell r="N309">
            <v>125</v>
          </cell>
        </row>
        <row r="310">
          <cell r="B310" t="str">
            <v>N/A</v>
          </cell>
          <cell r="C310" t="str">
            <v>มือจับกุญแจ รุ่นใหญ่  HUSZA #SE380</v>
          </cell>
          <cell r="D310" t="str">
            <v>ขาว/ชา/ดำ/อบขาว</v>
          </cell>
          <cell r="E310" t="str">
            <v>100ตัว/ลัง</v>
          </cell>
          <cell r="G310">
            <v>149.5795</v>
          </cell>
          <cell r="H310">
            <v>160.05006500000002</v>
          </cell>
          <cell r="J310">
            <v>167</v>
          </cell>
          <cell r="K310">
            <v>167</v>
          </cell>
          <cell r="L310">
            <v>172</v>
          </cell>
          <cell r="M310">
            <v>178</v>
          </cell>
          <cell r="N310">
            <v>189</v>
          </cell>
        </row>
        <row r="311">
          <cell r="B311" t="str">
            <v>N/A</v>
          </cell>
          <cell r="C311" t="str">
            <v>มือจับเรียบมีรู รุ่นใหญ่ HUSZA #SE330-1</v>
          </cell>
          <cell r="D311" t="str">
            <v>ขาว/ชา/ดำ/อบขาว</v>
          </cell>
          <cell r="E311" t="str">
            <v>100ตัว/ลัง</v>
          </cell>
          <cell r="G311">
            <v>54.392600000000002</v>
          </cell>
          <cell r="H311">
            <v>58.200082000000002</v>
          </cell>
          <cell r="J311">
            <v>61</v>
          </cell>
          <cell r="K311">
            <v>61</v>
          </cell>
          <cell r="L311">
            <v>63</v>
          </cell>
          <cell r="M311">
            <v>65</v>
          </cell>
          <cell r="N311">
            <v>68.5</v>
          </cell>
        </row>
        <row r="312">
          <cell r="B312" t="str">
            <v>N/A</v>
          </cell>
          <cell r="C312" t="str">
            <v>มือจับเรียบไม่มีรู รุ่นใหญ่  HUSZA #SE330-2</v>
          </cell>
          <cell r="D312" t="str">
            <v>ขาว/ชา/ดำ/อบขาว</v>
          </cell>
          <cell r="E312" t="str">
            <v>100ตัว/ลัง</v>
          </cell>
          <cell r="G312">
            <v>54.392600000000002</v>
          </cell>
          <cell r="H312">
            <v>58.200082000000002</v>
          </cell>
          <cell r="J312">
            <v>61</v>
          </cell>
          <cell r="K312">
            <v>61</v>
          </cell>
          <cell r="L312">
            <v>63</v>
          </cell>
          <cell r="M312">
            <v>65</v>
          </cell>
          <cell r="N312">
            <v>68.5</v>
          </cell>
        </row>
        <row r="313">
          <cell r="B313" t="str">
            <v>N/A</v>
          </cell>
          <cell r="C313" t="str">
            <v>มือจับล็อค รุ่นใหญ่  HUSZA #SE340</v>
          </cell>
          <cell r="D313" t="str">
            <v>ขาว/ชา/ดำ/อบขาว</v>
          </cell>
          <cell r="E313" t="str">
            <v>100ตัว/ลัง  *เบิกบางไทรเท่านั้น</v>
          </cell>
          <cell r="G313">
            <v>41.121499999999997</v>
          </cell>
          <cell r="H313">
            <v>44.000005000000002</v>
          </cell>
          <cell r="J313">
            <v>48</v>
          </cell>
          <cell r="K313">
            <v>50</v>
          </cell>
          <cell r="L313">
            <v>52</v>
          </cell>
          <cell r="M313">
            <v>55</v>
          </cell>
          <cell r="N313">
            <v>58</v>
          </cell>
        </row>
        <row r="314">
          <cell r="B314" t="str">
            <v>N/A</v>
          </cell>
          <cell r="C314" t="str">
            <v>มือจับกุญแจ รุ่นใหญ่  HUSZA #SE380</v>
          </cell>
          <cell r="D314" t="str">
            <v>ขาว/ชา/ดำ/อบขาว</v>
          </cell>
          <cell r="E314" t="str">
            <v>100ตัว/ลัง  *เบิกบางไทรเท่านั้น</v>
          </cell>
          <cell r="G314">
            <v>65.537400000000005</v>
          </cell>
          <cell r="H314">
            <v>70.125018000000011</v>
          </cell>
          <cell r="J314">
            <v>77</v>
          </cell>
          <cell r="K314">
            <v>82</v>
          </cell>
          <cell r="L314">
            <v>85</v>
          </cell>
          <cell r="M314">
            <v>88</v>
          </cell>
          <cell r="N314">
            <v>90</v>
          </cell>
        </row>
        <row r="315">
          <cell r="B315" t="str">
            <v>N/A</v>
          </cell>
          <cell r="C315" t="str">
            <v>มือจับเรียบมีรู รุ่นใหญ่ HUSZA #SE330-1</v>
          </cell>
          <cell r="D315" t="str">
            <v>ขาว/ชา/ดำ/อบขาว</v>
          </cell>
          <cell r="E315" t="str">
            <v>100ตัว/ลัง  *เบิกบางไทรเท่านั้น</v>
          </cell>
          <cell r="G315">
            <v>25.233699999999999</v>
          </cell>
          <cell r="H315">
            <v>27.000059</v>
          </cell>
          <cell r="J315">
            <v>28.5</v>
          </cell>
          <cell r="K315">
            <v>29</v>
          </cell>
          <cell r="L315">
            <v>30</v>
          </cell>
          <cell r="M315">
            <v>32</v>
          </cell>
          <cell r="N315">
            <v>34</v>
          </cell>
        </row>
        <row r="316">
          <cell r="B316" t="str">
            <v>N/A</v>
          </cell>
          <cell r="C316" t="str">
            <v>มือจับเรียบไม่มีรู รุ่นใหญ่  HUSZA #SE330-2</v>
          </cell>
          <cell r="D316" t="str">
            <v>ขาว/ชา/ดำ/อบขาว</v>
          </cell>
          <cell r="E316" t="str">
            <v>100ตัว/ลัง  *เบิกบางไทรเท่านั้น</v>
          </cell>
          <cell r="G316">
            <v>25.233699999999999</v>
          </cell>
          <cell r="H316">
            <v>27.000059</v>
          </cell>
          <cell r="J316">
            <v>28.5</v>
          </cell>
          <cell r="K316">
            <v>29</v>
          </cell>
          <cell r="L316">
            <v>30</v>
          </cell>
          <cell r="M316">
            <v>32</v>
          </cell>
          <cell r="N316">
            <v>34</v>
          </cell>
        </row>
        <row r="317">
          <cell r="B317" t="str">
            <v>N/A</v>
          </cell>
          <cell r="C317" t="str">
            <v>มือจับล็อค รุ่นใหญ่  HUSZA #SE340</v>
          </cell>
          <cell r="D317" t="str">
            <v>ราคาสำหรับซื้อ</v>
          </cell>
          <cell r="E317" t="str">
            <v>1ลัง แถม 1 ลัง (100ตัว/ลัง)</v>
          </cell>
          <cell r="G317">
            <v>87.383200000000002</v>
          </cell>
          <cell r="H317">
            <v>93.50002400000001</v>
          </cell>
          <cell r="J317">
            <v>98</v>
          </cell>
          <cell r="K317">
            <v>98</v>
          </cell>
          <cell r="L317">
            <v>102</v>
          </cell>
          <cell r="M317">
            <v>104</v>
          </cell>
          <cell r="N317">
            <v>110</v>
          </cell>
        </row>
        <row r="318">
          <cell r="B318" t="str">
            <v>N/A</v>
          </cell>
          <cell r="C318" t="str">
            <v>มือจับกุญแจ รุ่นใหญ่  HUSZA #SE380</v>
          </cell>
          <cell r="E318" t="str">
            <v>1ลัง แถม 1 ลัง (100ตัว/ลัง)</v>
          </cell>
          <cell r="G318">
            <v>140.3271</v>
          </cell>
          <cell r="H318">
            <v>150.14999700000001</v>
          </cell>
          <cell r="J318">
            <v>160</v>
          </cell>
          <cell r="K318">
            <v>160</v>
          </cell>
          <cell r="L318">
            <v>164</v>
          </cell>
          <cell r="M318">
            <v>170</v>
          </cell>
          <cell r="N318">
            <v>180</v>
          </cell>
        </row>
        <row r="319">
          <cell r="B319" t="str">
            <v>N/A</v>
          </cell>
          <cell r="C319" t="str">
            <v>มือจับเรียบมีรู รุ่นใหญ่ HUSZA #SE330-1</v>
          </cell>
          <cell r="E319" t="str">
            <v>1ลัง แถม 1 ลัง (100ตัว/ลัง)</v>
          </cell>
          <cell r="G319">
            <v>51.028100000000002</v>
          </cell>
          <cell r="H319">
            <v>54.600067000000003</v>
          </cell>
          <cell r="J319">
            <v>57</v>
          </cell>
          <cell r="K319">
            <v>57</v>
          </cell>
          <cell r="L319">
            <v>60</v>
          </cell>
          <cell r="M319">
            <v>62</v>
          </cell>
          <cell r="N319">
            <v>66</v>
          </cell>
        </row>
        <row r="320">
          <cell r="B320" t="str">
            <v>N/A</v>
          </cell>
          <cell r="C320" t="str">
            <v>มือจับเรียบไม่มีรู รุ่นใหญ่  HUSZA #SE330-2</v>
          </cell>
          <cell r="E320" t="str">
            <v>1ลัง แถม 1 ลัง (100ตัว/ลัง)</v>
          </cell>
          <cell r="G320">
            <v>51.028100000000002</v>
          </cell>
          <cell r="H320">
            <v>54.600067000000003</v>
          </cell>
          <cell r="J320">
            <v>57</v>
          </cell>
          <cell r="K320">
            <v>57</v>
          </cell>
          <cell r="L320">
            <v>60</v>
          </cell>
          <cell r="M320">
            <v>62</v>
          </cell>
          <cell r="N320">
            <v>66</v>
          </cell>
        </row>
        <row r="321">
          <cell r="B321" t="str">
            <v>N/A</v>
          </cell>
          <cell r="C321" t="str">
            <v>มือจับล็อค รุ่นใหญ่ CCC  (ราคา สั่งไม่ถึง 12ลัง)  (โปร12ลังแถม1ลัง) สินค้า Pre-Order</v>
          </cell>
          <cell r="D321" t="str">
            <v>ขาว/ชา/ดำ/อบขาว</v>
          </cell>
          <cell r="E321" t="str">
            <v>100ตัว/ลัง</v>
          </cell>
          <cell r="G321">
            <v>51.401899999999998</v>
          </cell>
          <cell r="H321">
            <v>55.000033000000002</v>
          </cell>
          <cell r="J321">
            <v>58</v>
          </cell>
          <cell r="K321">
            <v>58</v>
          </cell>
          <cell r="L321">
            <v>60</v>
          </cell>
          <cell r="M321">
            <v>63</v>
          </cell>
          <cell r="N321">
            <v>65</v>
          </cell>
        </row>
        <row r="322">
          <cell r="B322" t="str">
            <v>N/A</v>
          </cell>
          <cell r="C322" t="str">
            <v>มือจับล็อค รุ่นใหญ่ CCC    (ราคาโปร 12ลัง*แถม 1ลัง) *เฉลี่ยต้นทุนของแถม    สินค้า Pre-Order</v>
          </cell>
          <cell r="D322" t="str">
            <v>ขาว/ชา/ดำ/อบขาว</v>
          </cell>
          <cell r="E322" t="str">
            <v>100ตัว/ลัง</v>
          </cell>
          <cell r="G322">
            <v>47.448</v>
          </cell>
          <cell r="H322">
            <v>50.769360000000006</v>
          </cell>
          <cell r="J322">
            <v>53</v>
          </cell>
          <cell r="K322">
            <v>53</v>
          </cell>
          <cell r="L322">
            <v>55</v>
          </cell>
          <cell r="M322">
            <v>60</v>
          </cell>
          <cell r="N322">
            <v>63</v>
          </cell>
        </row>
        <row r="323">
          <cell r="B323" t="str">
            <v>N/A</v>
          </cell>
          <cell r="C323" t="str">
            <v>มือจับล็อค รุ่นใหญ่ CCC    (ราคาโปร 30ลัง*แถม 4ลัง) *เฉลี่ยต้นทุนของแถม    สินค้า Pre-Order</v>
          </cell>
          <cell r="D323" t="str">
            <v>ขาว/ชา/ดำ/อบขาว</v>
          </cell>
          <cell r="E323" t="str">
            <v>100ตัว/ลัง</v>
          </cell>
          <cell r="G323">
            <v>45.354599999999998</v>
          </cell>
          <cell r="H323">
            <v>48.529422000000004</v>
          </cell>
          <cell r="J323">
            <v>51</v>
          </cell>
          <cell r="K323">
            <v>53</v>
          </cell>
          <cell r="L323">
            <v>55</v>
          </cell>
          <cell r="M323">
            <v>58</v>
          </cell>
          <cell r="N323">
            <v>60</v>
          </cell>
        </row>
        <row r="324">
          <cell r="B324" t="str">
            <v>N/A</v>
          </cell>
          <cell r="C324" t="str">
            <v>มือจับล็อคกุญแจ รุ่นใหญ่ CCC (กุญแจ 2ดอก)                               สินค้า Pre-Order</v>
          </cell>
          <cell r="D324" t="str">
            <v>ขาว/ชา/ดำ/อบขาว</v>
          </cell>
          <cell r="E324" t="str">
            <v>50ตัว/ลัง</v>
          </cell>
          <cell r="G324">
            <v>126.1683</v>
          </cell>
          <cell r="H324">
            <v>135.00008100000002</v>
          </cell>
          <cell r="J324">
            <v>142</v>
          </cell>
          <cell r="K324">
            <v>142</v>
          </cell>
          <cell r="L324">
            <v>146</v>
          </cell>
          <cell r="M324">
            <v>150</v>
          </cell>
          <cell r="N324">
            <v>160</v>
          </cell>
        </row>
        <row r="325">
          <cell r="B325" t="str">
            <v>N/A</v>
          </cell>
          <cell r="C325" t="str">
            <v>มือจับกุญแจ(เดี่ยว) รุ่นใหญ่ CCC (กุญแจ 2ดอก)                               สินค้า Pre-Order</v>
          </cell>
          <cell r="D325" t="str">
            <v>ขาว/ชา/ดำ/อบขาว</v>
          </cell>
          <cell r="E325" t="str">
            <v>50ตัว/ลัง</v>
          </cell>
          <cell r="G325">
            <v>60.747700000000002</v>
          </cell>
          <cell r="H325">
            <v>65.000039000000001</v>
          </cell>
          <cell r="J325">
            <v>68</v>
          </cell>
          <cell r="K325">
            <v>68</v>
          </cell>
          <cell r="L325">
            <v>70</v>
          </cell>
          <cell r="M325">
            <v>75</v>
          </cell>
          <cell r="N325">
            <v>80</v>
          </cell>
        </row>
        <row r="326">
          <cell r="B326" t="str">
            <v>N/A</v>
          </cell>
          <cell r="C326" t="str">
            <v>มือจับเรียบมีรู รุ่นใหญ่ CCC                                                       สินค้า Pre-Order</v>
          </cell>
          <cell r="D326" t="str">
            <v>ขาว/ชา/ดำ/อบขาว</v>
          </cell>
          <cell r="E326" t="str">
            <v>200ตัว/ลัง</v>
          </cell>
          <cell r="G326">
            <v>28.972000000000001</v>
          </cell>
          <cell r="H326">
            <v>31.000040000000002</v>
          </cell>
          <cell r="J326">
            <v>32.5</v>
          </cell>
          <cell r="K326">
            <v>32.5</v>
          </cell>
          <cell r="L326">
            <v>33.5</v>
          </cell>
          <cell r="M326">
            <v>34.5</v>
          </cell>
          <cell r="N326">
            <v>36.5</v>
          </cell>
        </row>
        <row r="327">
          <cell r="B327" t="str">
            <v>N/A</v>
          </cell>
          <cell r="C327" t="str">
            <v>มือจับเรียบไม่มีรู รุ่นใหญ่ CCC                                                   สินค้า Pre-Order</v>
          </cell>
          <cell r="D327" t="str">
            <v>ขาว/ชา/ดำ/อบขาว</v>
          </cell>
          <cell r="E327" t="str">
            <v>200ตัว/ลัง</v>
          </cell>
          <cell r="G327">
            <v>28.972000000000001</v>
          </cell>
          <cell r="H327">
            <v>31.000040000000002</v>
          </cell>
          <cell r="J327">
            <v>32.5</v>
          </cell>
          <cell r="K327">
            <v>32.5</v>
          </cell>
          <cell r="L327">
            <v>33.5</v>
          </cell>
          <cell r="M327">
            <v>34.5</v>
          </cell>
          <cell r="N327">
            <v>36.5</v>
          </cell>
        </row>
        <row r="328">
          <cell r="B328" t="str">
            <v>N/A</v>
          </cell>
          <cell r="C328" t="str">
            <v>มือจับล็อค รุ่นใหญ่ CEKON (คลิกล็อค)</v>
          </cell>
          <cell r="D328" t="str">
            <v>ขาว/ชา/ดำ/อบขาว</v>
          </cell>
          <cell r="E328" t="str">
            <v>100ตัว/ลัง</v>
          </cell>
          <cell r="G328">
            <v>70.093500000000006</v>
          </cell>
          <cell r="H328">
            <v>75.000045000000014</v>
          </cell>
          <cell r="J328">
            <v>78.5</v>
          </cell>
          <cell r="K328">
            <v>78.5</v>
          </cell>
          <cell r="L328">
            <v>81</v>
          </cell>
          <cell r="M328">
            <v>84</v>
          </cell>
          <cell r="N328">
            <v>89</v>
          </cell>
        </row>
        <row r="329">
          <cell r="B329" t="str">
            <v>N/A</v>
          </cell>
          <cell r="C329" t="str">
            <v>มือจับล็อคกุญแจ รุ่นใหญ่ CEKON (คลิกล็อค)</v>
          </cell>
          <cell r="D329" t="str">
            <v>ขาว/ชา/ดำ/อบขาว</v>
          </cell>
          <cell r="E329" t="str">
            <v>50ตัว/ลัง</v>
          </cell>
          <cell r="G329">
            <v>158.8785</v>
          </cell>
          <cell r="H329">
            <v>169.99999500000001</v>
          </cell>
          <cell r="J329">
            <v>178</v>
          </cell>
          <cell r="K329">
            <v>178</v>
          </cell>
          <cell r="L329">
            <v>183</v>
          </cell>
          <cell r="M329">
            <v>189</v>
          </cell>
          <cell r="N329">
            <v>200</v>
          </cell>
        </row>
        <row r="330">
          <cell r="B330" t="str">
            <v>N/A</v>
          </cell>
          <cell r="C330" t="str">
            <v>มือจับเรียบมีรู รุ่นใหญ่ CEKON (คลิกล็อค)</v>
          </cell>
          <cell r="D330" t="str">
            <v>ขาว/ชา/ดำ/อบขาว</v>
          </cell>
          <cell r="E330" t="str">
            <v>100ตัว/ลัง</v>
          </cell>
          <cell r="G330">
            <v>32.710299999999997</v>
          </cell>
          <cell r="H330">
            <v>35.000020999999997</v>
          </cell>
          <cell r="J330">
            <v>36.5</v>
          </cell>
          <cell r="K330">
            <v>36.5</v>
          </cell>
          <cell r="L330">
            <v>37.75</v>
          </cell>
          <cell r="M330">
            <v>39</v>
          </cell>
          <cell r="N330">
            <v>42</v>
          </cell>
        </row>
        <row r="331">
          <cell r="B331" t="str">
            <v>N/A</v>
          </cell>
          <cell r="C331" t="str">
            <v>มือจับเรียบไม่มีรู รุ่นใหญ่  CEKON (คลิกล็อค)</v>
          </cell>
          <cell r="D331" t="str">
            <v>ขาว/ชา/ดำ/อบขาว</v>
          </cell>
          <cell r="E331" t="str">
            <v>100ตัว/ลัง</v>
          </cell>
          <cell r="G331">
            <v>32.710299999999997</v>
          </cell>
          <cell r="H331">
            <v>35.000020999999997</v>
          </cell>
          <cell r="J331">
            <v>36.5</v>
          </cell>
          <cell r="K331">
            <v>36.5</v>
          </cell>
          <cell r="L331">
            <v>37.75</v>
          </cell>
          <cell r="M331">
            <v>39</v>
          </cell>
          <cell r="N331">
            <v>42</v>
          </cell>
        </row>
        <row r="332">
          <cell r="B332" t="str">
            <v>N/A</v>
          </cell>
          <cell r="C332" t="str">
            <v>5268-01 มือจับล็อค รุ่นใหญ่ PBM</v>
          </cell>
          <cell r="D332" t="str">
            <v>ขาว/ชา/ดำ/อบขาว</v>
          </cell>
          <cell r="E332" t="str">
            <v>100ตัว/ลัง (ขั้นต่ำ4ลัง)</v>
          </cell>
          <cell r="G332">
            <v>48.598199999999999</v>
          </cell>
          <cell r="H332">
            <v>52.000073999999998</v>
          </cell>
          <cell r="J332">
            <v>54.5</v>
          </cell>
          <cell r="K332">
            <v>54.5</v>
          </cell>
          <cell r="L332">
            <v>56</v>
          </cell>
          <cell r="M332">
            <v>58</v>
          </cell>
          <cell r="N332">
            <v>62</v>
          </cell>
        </row>
        <row r="333">
          <cell r="B333" t="str">
            <v>N/A</v>
          </cell>
          <cell r="C333" t="str">
            <v xml:space="preserve">5268-02 มือจับล็อคกุญแจ รุ่นใหญ่ PBM (กุญแจ 2ดอก)                    </v>
          </cell>
          <cell r="D333" t="str">
            <v>ขาว/ชา/ดำ/อบขาว</v>
          </cell>
          <cell r="E333" t="str">
            <v>50ตัว/ลัง</v>
          </cell>
          <cell r="G333">
            <v>137.38319999999999</v>
          </cell>
          <cell r="H333">
            <v>147.000024</v>
          </cell>
          <cell r="J333">
            <v>153.5</v>
          </cell>
          <cell r="K333">
            <v>153.5</v>
          </cell>
          <cell r="L333">
            <v>160</v>
          </cell>
          <cell r="M333">
            <v>165</v>
          </cell>
          <cell r="N333">
            <v>173</v>
          </cell>
        </row>
        <row r="334">
          <cell r="B334" t="str">
            <v>N/A</v>
          </cell>
          <cell r="C334" t="str">
            <v xml:space="preserve">5268-03 มือจับเรียบมีรู รุ่นใหญ่ PBM                                         </v>
          </cell>
          <cell r="D334" t="str">
            <v>ขาว/ชา/ดำ/อบขาว</v>
          </cell>
          <cell r="E334" t="str">
            <v>200ตัว/ลัง</v>
          </cell>
          <cell r="G334">
            <v>24.299099999999999</v>
          </cell>
          <cell r="H334">
            <v>26.000036999999999</v>
          </cell>
          <cell r="J334">
            <v>27.25</v>
          </cell>
          <cell r="K334">
            <v>27.25</v>
          </cell>
          <cell r="L334">
            <v>28</v>
          </cell>
          <cell r="M334">
            <v>29</v>
          </cell>
          <cell r="N334">
            <v>31</v>
          </cell>
        </row>
        <row r="335">
          <cell r="B335" t="str">
            <v>N/A</v>
          </cell>
          <cell r="C335" t="str">
            <v xml:space="preserve">5268-04 มือจับเรียบไม่มีรู รุ่นใหญ่ PBM                            </v>
          </cell>
          <cell r="D335" t="str">
            <v>ขาว/ชา/ดำ/อบขาว</v>
          </cell>
          <cell r="E335" t="str">
            <v>200ตัว/ลัง</v>
          </cell>
          <cell r="G335">
            <v>24.299099999999999</v>
          </cell>
          <cell r="H335">
            <v>26.000036999999999</v>
          </cell>
          <cell r="J335">
            <v>27.25</v>
          </cell>
          <cell r="K335">
            <v>27.25</v>
          </cell>
          <cell r="L335">
            <v>28</v>
          </cell>
          <cell r="M335">
            <v>29</v>
          </cell>
          <cell r="N335">
            <v>31</v>
          </cell>
        </row>
        <row r="336">
          <cell r="B336" t="str">
            <v>รหัส</v>
          </cell>
          <cell r="C336" t="str">
            <v>มือจับหูช้าง</v>
          </cell>
          <cell r="D336" t="str">
            <v>สี</v>
          </cell>
          <cell r="E336" t="str">
            <v>บรรจุ/หมายเหตุ</v>
          </cell>
          <cell r="F336" t="str">
            <v>ราคาตั้ง</v>
          </cell>
          <cell r="G336" t="str">
            <v>RE 
ก่อนVAT</v>
          </cell>
          <cell r="H336" t="str">
            <v>ทุน
รวม VAT</v>
          </cell>
          <cell r="J336" t="str">
            <v>SDM</v>
          </cell>
          <cell r="K336" t="str">
            <v>W1</v>
          </cell>
          <cell r="L336" t="str">
            <v>W2</v>
          </cell>
          <cell r="M336" t="str">
            <v>R1</v>
          </cell>
          <cell r="N336" t="str">
            <v>R2</v>
          </cell>
        </row>
        <row r="337">
          <cell r="B337" t="str">
            <v>N/A</v>
          </cell>
          <cell r="C337" t="str">
            <v>มือจับล็อค MHZ-102 HUSZA (หูช้าง)</v>
          </cell>
          <cell r="D337" t="str">
            <v>ขาว/ชา/ดำ/อบขาว</v>
          </cell>
          <cell r="E337" t="str">
            <v>ลัง/20ตัว</v>
          </cell>
          <cell r="G337">
            <v>114.3926</v>
          </cell>
          <cell r="H337">
            <v>122.40008200000001</v>
          </cell>
          <cell r="J337">
            <v>142</v>
          </cell>
          <cell r="K337">
            <v>142</v>
          </cell>
          <cell r="L337">
            <v>147</v>
          </cell>
          <cell r="M337">
            <v>152</v>
          </cell>
          <cell r="N337">
            <v>160</v>
          </cell>
        </row>
        <row r="338">
          <cell r="B338" t="str">
            <v>N/A</v>
          </cell>
          <cell r="C338" t="str">
            <v>มือจับล็อคกุญแจ MHZ-103 HUSZA (หูช้าง)</v>
          </cell>
          <cell r="D338" t="str">
            <v>ขาว/ชา/ดำ/อบขาว</v>
          </cell>
          <cell r="E338" t="str">
            <v>ลัง/20ตัว</v>
          </cell>
          <cell r="G338">
            <v>134.5795</v>
          </cell>
          <cell r="H338">
            <v>144.00006500000001</v>
          </cell>
          <cell r="J338">
            <v>168</v>
          </cell>
          <cell r="K338">
            <v>168</v>
          </cell>
          <cell r="L338">
            <v>173</v>
          </cell>
          <cell r="M338">
            <v>178</v>
          </cell>
          <cell r="N338">
            <v>190</v>
          </cell>
        </row>
        <row r="339">
          <cell r="B339" t="str">
            <v>N/A</v>
          </cell>
          <cell r="C339" t="str">
            <v>มือจับเรียบมีรู MHZ-100 HUSZA (หูช้าง)</v>
          </cell>
          <cell r="D339" t="str">
            <v>ขาว/ชา/ดำ/อบขาว</v>
          </cell>
          <cell r="E339" t="str">
            <v>ลัง/20ตัว</v>
          </cell>
          <cell r="G339">
            <v>87.476699999999994</v>
          </cell>
          <cell r="H339">
            <v>93.600069000000005</v>
          </cell>
          <cell r="J339">
            <v>109</v>
          </cell>
          <cell r="K339">
            <v>109</v>
          </cell>
          <cell r="L339">
            <v>112</v>
          </cell>
          <cell r="M339">
            <v>116</v>
          </cell>
          <cell r="N339">
            <v>123</v>
          </cell>
        </row>
        <row r="340">
          <cell r="B340" t="str">
            <v>N/A</v>
          </cell>
          <cell r="C340" t="str">
            <v>มือจับเรียบไม่มีรู MHZ-101 HUSZA (หูช้าง)</v>
          </cell>
          <cell r="D340" t="str">
            <v>ขาว/ชา/ดำ/อบขาว</v>
          </cell>
          <cell r="E340" t="str">
            <v>ลัง/20ตัว</v>
          </cell>
          <cell r="G340">
            <v>87.476699999999994</v>
          </cell>
          <cell r="H340">
            <v>93.600069000000005</v>
          </cell>
          <cell r="J340">
            <v>109</v>
          </cell>
          <cell r="K340">
            <v>109</v>
          </cell>
          <cell r="L340">
            <v>112</v>
          </cell>
          <cell r="M340">
            <v>116</v>
          </cell>
          <cell r="N340">
            <v>123</v>
          </cell>
        </row>
        <row r="341">
          <cell r="B341" t="str">
            <v>N/A</v>
          </cell>
          <cell r="C341" t="str">
            <v>มือจับล็อคหูช้าง CEKON (กล่องแดง)</v>
          </cell>
          <cell r="D341" t="str">
            <v>ขาว/ชา/ดำ/อบขาว</v>
          </cell>
          <cell r="E341" t="str">
            <v>ลัง/20ตัว</v>
          </cell>
          <cell r="G341">
            <v>127.1</v>
          </cell>
          <cell r="H341">
            <v>135.99700000000001</v>
          </cell>
          <cell r="J341">
            <v>142</v>
          </cell>
          <cell r="K341">
            <v>142</v>
          </cell>
          <cell r="L341">
            <v>148</v>
          </cell>
          <cell r="M341">
            <v>155</v>
          </cell>
          <cell r="N341">
            <v>160</v>
          </cell>
        </row>
        <row r="342">
          <cell r="B342" t="str">
            <v>N/A</v>
          </cell>
          <cell r="C342" t="str">
            <v>มือจับกุญแจหูช้าง CEKON (กล่องฟ้า)</v>
          </cell>
          <cell r="D342" t="str">
            <v>ขาว/ชา/ดำ/อบขาว</v>
          </cell>
          <cell r="E342" t="str">
            <v>ลัง/20ตัว</v>
          </cell>
          <cell r="G342">
            <v>149.53</v>
          </cell>
          <cell r="H342">
            <v>159.99710000000002</v>
          </cell>
          <cell r="J342">
            <v>168</v>
          </cell>
          <cell r="K342">
            <v>168</v>
          </cell>
          <cell r="L342">
            <v>173</v>
          </cell>
          <cell r="M342">
            <v>178</v>
          </cell>
          <cell r="N342">
            <v>190</v>
          </cell>
        </row>
        <row r="343">
          <cell r="B343" t="str">
            <v>N/A</v>
          </cell>
          <cell r="C343" t="str">
            <v>มือจับมีรูหูช้าง CEKON (กล่องเหลือง)</v>
          </cell>
          <cell r="D343" t="str">
            <v>ขาว/ชา/ดำ/อบขาว</v>
          </cell>
          <cell r="E343" t="str">
            <v>ลัง/20ตัว</v>
          </cell>
          <cell r="G343">
            <v>97.196299999999994</v>
          </cell>
          <cell r="H343">
            <v>104.000041</v>
          </cell>
          <cell r="J343">
            <v>109</v>
          </cell>
          <cell r="K343">
            <v>110</v>
          </cell>
          <cell r="L343">
            <v>112</v>
          </cell>
          <cell r="M343">
            <v>116</v>
          </cell>
          <cell r="N343">
            <v>123</v>
          </cell>
        </row>
        <row r="344">
          <cell r="B344" t="str">
            <v>N/A</v>
          </cell>
          <cell r="C344" t="str">
            <v>มือจับไม่มีรูหูช้าง CEKON (กล่องเขียว)</v>
          </cell>
          <cell r="D344" t="str">
            <v>ขาว/ชา/ดำ/อบขาว</v>
          </cell>
          <cell r="E344" t="str">
            <v>ลัง/20ตัว</v>
          </cell>
          <cell r="G344">
            <v>97.196299999999994</v>
          </cell>
          <cell r="H344">
            <v>104.000041</v>
          </cell>
          <cell r="J344">
            <v>109</v>
          </cell>
          <cell r="K344">
            <v>110</v>
          </cell>
          <cell r="L344">
            <v>112</v>
          </cell>
          <cell r="M344">
            <v>116</v>
          </cell>
          <cell r="N344">
            <v>123</v>
          </cell>
        </row>
        <row r="345">
          <cell r="B345" t="str">
            <v>N/A</v>
          </cell>
          <cell r="C345" t="str">
            <v>มือจับล็อคหูช้าง ล็อค PBM #205-D1</v>
          </cell>
          <cell r="D345" t="str">
            <v>สีดำ/สีอบขาว</v>
          </cell>
          <cell r="E345" t="str">
            <v>50ตัว/ลัง</v>
          </cell>
          <cell r="G345">
            <v>186.91589999999999</v>
          </cell>
          <cell r="H345">
            <v>200.000013</v>
          </cell>
          <cell r="J345">
            <v>208.5</v>
          </cell>
          <cell r="K345">
            <v>208.5</v>
          </cell>
          <cell r="L345">
            <v>216</v>
          </cell>
          <cell r="M345">
            <v>225</v>
          </cell>
          <cell r="N345">
            <v>236</v>
          </cell>
        </row>
        <row r="346">
          <cell r="B346" t="str">
            <v>N/A</v>
          </cell>
          <cell r="C346" t="str">
            <v>มือจับกุญแจหูช้าง กุญแจ PBM #205-D2</v>
          </cell>
          <cell r="D346" t="str">
            <v>สีดำ/สีอบขาว</v>
          </cell>
          <cell r="E346" t="str">
            <v>50ตัว/ลัง</v>
          </cell>
          <cell r="G346">
            <v>191.58879999999999</v>
          </cell>
          <cell r="H346">
            <v>205.00001600000002</v>
          </cell>
          <cell r="J346">
            <v>213.75</v>
          </cell>
          <cell r="K346">
            <v>213.75</v>
          </cell>
          <cell r="L346">
            <v>222</v>
          </cell>
          <cell r="M346">
            <v>228</v>
          </cell>
          <cell r="N346">
            <v>242</v>
          </cell>
        </row>
        <row r="347">
          <cell r="B347" t="str">
            <v>N/A</v>
          </cell>
          <cell r="C347" t="str">
            <v>มือจับเรียบมีรูหูช้าง PBM #205-D3</v>
          </cell>
          <cell r="D347" t="str">
            <v>สีดำ/สีอบขาว</v>
          </cell>
          <cell r="E347" t="str">
            <v>50ตัว/ลัง</v>
          </cell>
          <cell r="G347">
            <v>102.8038</v>
          </cell>
          <cell r="H347">
            <v>110.000066</v>
          </cell>
          <cell r="J347">
            <v>114.75</v>
          </cell>
          <cell r="K347">
            <v>114.75</v>
          </cell>
          <cell r="L347">
            <v>119</v>
          </cell>
          <cell r="M347">
            <v>123</v>
          </cell>
          <cell r="N347">
            <v>130</v>
          </cell>
        </row>
        <row r="348">
          <cell r="B348" t="str">
            <v>N/A</v>
          </cell>
          <cell r="C348" t="str">
            <v>มือจับเรียบไม่มีรูหูช้างPBM #205-D4</v>
          </cell>
          <cell r="D348" t="str">
            <v>สีดำ/สีอบขาว</v>
          </cell>
          <cell r="E348" t="str">
            <v>50ตัว/ลัง</v>
          </cell>
          <cell r="G348">
            <v>98.130899999999997</v>
          </cell>
          <cell r="H348">
            <v>105.000063</v>
          </cell>
          <cell r="J348">
            <v>109.5</v>
          </cell>
          <cell r="K348">
            <v>109.5</v>
          </cell>
          <cell r="L348">
            <v>114</v>
          </cell>
          <cell r="M348">
            <v>117</v>
          </cell>
          <cell r="N348">
            <v>124</v>
          </cell>
        </row>
        <row r="349">
          <cell r="B349" t="str">
            <v>N/A</v>
          </cell>
          <cell r="C349" t="str">
            <v>มือจับเรียบ+กุญแจคอม้า MHZ-300</v>
          </cell>
          <cell r="D349" t="str">
            <v>ขาวอลู/ดำ/ชา/อบขาว</v>
          </cell>
          <cell r="E349" t="str">
            <v>12ชุด/ลัง</v>
          </cell>
          <cell r="G349">
            <v>403.73840000000001</v>
          </cell>
          <cell r="H349">
            <v>432.00008800000006</v>
          </cell>
          <cell r="J349">
            <v>450</v>
          </cell>
          <cell r="K349">
            <v>450</v>
          </cell>
          <cell r="L349">
            <v>475</v>
          </cell>
          <cell r="M349">
            <v>485</v>
          </cell>
          <cell r="N349">
            <v>515</v>
          </cell>
        </row>
        <row r="350">
          <cell r="B350" t="str">
            <v>รหัส</v>
          </cell>
          <cell r="C350" t="str">
            <v>มือจับบานเลื่อน (รุ่นใหญ่ - สีเทาซาฮาร่า) ขอราคาใหม่ที่ PM</v>
          </cell>
          <cell r="D350" t="str">
            <v>สี</v>
          </cell>
          <cell r="E350" t="str">
            <v>บรรจุ/หมายเหตุ</v>
          </cell>
          <cell r="F350" t="str">
            <v>ราคาตั้ง</v>
          </cell>
          <cell r="G350" t="str">
            <v>RE 
ก่อนVAT</v>
          </cell>
          <cell r="H350" t="str">
            <v>ทุน
รวม VAT</v>
          </cell>
          <cell r="J350" t="str">
            <v>SDM</v>
          </cell>
          <cell r="K350" t="str">
            <v>W1</v>
          </cell>
          <cell r="L350" t="str">
            <v>W2</v>
          </cell>
          <cell r="M350" t="str">
            <v>R1</v>
          </cell>
          <cell r="N350" t="str">
            <v>R2</v>
          </cell>
        </row>
        <row r="351">
          <cell r="B351" t="str">
            <v>N/A</v>
          </cell>
          <cell r="C351" t="str">
            <v>มือจับล็อค รุ่นใหญ่  HUSZA #SE340</v>
          </cell>
          <cell r="D351" t="str">
            <v>เทาซาฮาร่า</v>
          </cell>
          <cell r="E351" t="str">
            <v xml:space="preserve"> 100ตัว/ลัง-สต็อกที่ HY</v>
          </cell>
          <cell r="G351">
            <v>56.074750000000002</v>
          </cell>
          <cell r="H351">
            <v>59.999982500000009</v>
          </cell>
          <cell r="J351">
            <v>63</v>
          </cell>
          <cell r="K351">
            <v>63</v>
          </cell>
          <cell r="L351">
            <v>65</v>
          </cell>
          <cell r="M351">
            <v>70</v>
          </cell>
          <cell r="N351">
            <v>75</v>
          </cell>
        </row>
        <row r="352">
          <cell r="B352" t="str">
            <v>N/A</v>
          </cell>
          <cell r="C352" t="str">
            <v>มือจับกุญแจ รุ่นใหญ่  HUSZA #SE380</v>
          </cell>
          <cell r="D352" t="str">
            <v>เทาซาฮาร่า</v>
          </cell>
          <cell r="E352" t="str">
            <v>100ตัว/ลัง (ขั้นต่ำ2ลัง)</v>
          </cell>
          <cell r="G352">
            <v>81.775700000000001</v>
          </cell>
          <cell r="H352">
            <v>87.499999000000003</v>
          </cell>
          <cell r="J352">
            <v>92</v>
          </cell>
          <cell r="K352">
            <v>92</v>
          </cell>
          <cell r="L352">
            <v>95</v>
          </cell>
          <cell r="M352">
            <v>98</v>
          </cell>
          <cell r="N352">
            <v>105</v>
          </cell>
        </row>
        <row r="353">
          <cell r="B353" t="str">
            <v>N/A</v>
          </cell>
          <cell r="C353" t="str">
            <v>มือจับเรียบมีรู รุ่นใหญ่ HUSZA #SE330-1</v>
          </cell>
          <cell r="D353" t="str">
            <v>เทาซาฮาร่า</v>
          </cell>
          <cell r="E353" t="str">
            <v>100ตัว/ลัง (ขั้นต่ำ2ลัง)</v>
          </cell>
          <cell r="G353">
            <v>32.710299999999997</v>
          </cell>
          <cell r="H353">
            <v>35.000020999999997</v>
          </cell>
          <cell r="J353">
            <v>38</v>
          </cell>
          <cell r="K353">
            <v>38</v>
          </cell>
          <cell r="L353">
            <v>39</v>
          </cell>
          <cell r="M353">
            <v>40</v>
          </cell>
          <cell r="N353">
            <v>45</v>
          </cell>
        </row>
        <row r="354">
          <cell r="B354" t="str">
            <v>N/A</v>
          </cell>
          <cell r="C354" t="str">
            <v>มือจับเรียบไม่มีรู รุ่นใหญ่  HUSZA #SE330-2</v>
          </cell>
          <cell r="D354" t="str">
            <v>เทาซาฮาร่า</v>
          </cell>
          <cell r="E354" t="str">
            <v>100ตัว/ลัง (ขั้นต่ำ2ลัง)</v>
          </cell>
          <cell r="G354">
            <v>32.710299999999997</v>
          </cell>
          <cell r="H354">
            <v>35.000020999999997</v>
          </cell>
          <cell r="J354">
            <v>38</v>
          </cell>
          <cell r="K354">
            <v>38</v>
          </cell>
          <cell r="L354">
            <v>39</v>
          </cell>
          <cell r="M354">
            <v>40</v>
          </cell>
          <cell r="N354">
            <v>45</v>
          </cell>
        </row>
        <row r="355">
          <cell r="B355" t="str">
            <v>N/A</v>
          </cell>
          <cell r="C355" t="str">
            <v>มือจับล็อค รุ่นใหญ่  HUSZA #SE340</v>
          </cell>
          <cell r="D355" t="str">
            <v>เทาซาฮาร่า</v>
          </cell>
          <cell r="E355" t="str">
            <v>100ตัว/ลัง</v>
          </cell>
          <cell r="G355">
            <v>112.1495</v>
          </cell>
          <cell r="H355">
            <v>119.99996500000002</v>
          </cell>
          <cell r="J355">
            <v>125</v>
          </cell>
          <cell r="K355">
            <v>125</v>
          </cell>
          <cell r="L355">
            <v>130</v>
          </cell>
          <cell r="M355">
            <v>135</v>
          </cell>
          <cell r="N355">
            <v>140</v>
          </cell>
        </row>
        <row r="356">
          <cell r="B356" t="str">
            <v>N/A</v>
          </cell>
          <cell r="C356" t="str">
            <v>มือจับกุญแจ รุ่นใหญ่  HUSZA #SE380</v>
          </cell>
          <cell r="D356" t="str">
            <v>เทาซาฮาร่า</v>
          </cell>
          <cell r="E356" t="str">
            <v>100ตัว/ลัง</v>
          </cell>
          <cell r="G356">
            <v>163.5514</v>
          </cell>
          <cell r="H356">
            <v>174.99999800000001</v>
          </cell>
          <cell r="J356">
            <v>183</v>
          </cell>
          <cell r="K356">
            <v>183</v>
          </cell>
          <cell r="L356">
            <v>190</v>
          </cell>
          <cell r="M356">
            <v>195</v>
          </cell>
          <cell r="N356">
            <v>205</v>
          </cell>
        </row>
        <row r="357">
          <cell r="B357" t="str">
            <v>N/A</v>
          </cell>
          <cell r="C357" t="str">
            <v>มือจับเรียบมีรู รุ่นใหญ่ HUSZA #SE330-1</v>
          </cell>
          <cell r="D357" t="str">
            <v>เทาซาฮาร่า</v>
          </cell>
          <cell r="E357" t="str">
            <v>100ตัว/ลัง</v>
          </cell>
          <cell r="G357">
            <v>65.420599999999993</v>
          </cell>
          <cell r="H357">
            <v>70.000041999999993</v>
          </cell>
          <cell r="J357">
            <v>75</v>
          </cell>
          <cell r="K357">
            <v>75</v>
          </cell>
          <cell r="L357">
            <v>78</v>
          </cell>
          <cell r="M357">
            <v>80</v>
          </cell>
          <cell r="N357">
            <v>85</v>
          </cell>
        </row>
        <row r="358">
          <cell r="B358" t="str">
            <v>N/A</v>
          </cell>
          <cell r="C358" t="str">
            <v>มือจับเรียบไม่มีรู รุ่นใหญ่  HUSZA #SE330-2</v>
          </cell>
          <cell r="D358" t="str">
            <v>เทาซาฮาร่า</v>
          </cell>
          <cell r="E358" t="str">
            <v>100ตัว/ลัง</v>
          </cell>
          <cell r="G358">
            <v>65.420599999999993</v>
          </cell>
          <cell r="H358">
            <v>70.000041999999993</v>
          </cell>
          <cell r="J358">
            <v>75</v>
          </cell>
          <cell r="K358">
            <v>75</v>
          </cell>
          <cell r="L358">
            <v>78</v>
          </cell>
          <cell r="M358">
            <v>80</v>
          </cell>
          <cell r="N358">
            <v>85</v>
          </cell>
        </row>
        <row r="359">
          <cell r="B359" t="str">
            <v>N/A</v>
          </cell>
          <cell r="C359" t="str">
            <v xml:space="preserve">มือจับล็อค รุ่นใหญ่ TOP (s)  </v>
          </cell>
          <cell r="D359" t="str">
            <v>เทาซาฮาร่า</v>
          </cell>
          <cell r="E359" t="str">
            <v>100ชุด/ลัง</v>
          </cell>
          <cell r="G359">
            <v>62</v>
          </cell>
          <cell r="H359">
            <v>66.34</v>
          </cell>
          <cell r="J359">
            <v>70</v>
          </cell>
          <cell r="K359">
            <v>72</v>
          </cell>
          <cell r="L359">
            <v>75</v>
          </cell>
          <cell r="M359">
            <v>78</v>
          </cell>
          <cell r="N359">
            <v>80</v>
          </cell>
        </row>
        <row r="360">
          <cell r="B360" t="str">
            <v>N/A</v>
          </cell>
          <cell r="C360" t="str">
            <v xml:space="preserve">มือจับล็อคกุญแจ รุ่นใหญ่ (s)  /กุญแจ 2ดอก </v>
          </cell>
          <cell r="D360" t="str">
            <v>เทาซาฮาร่า</v>
          </cell>
          <cell r="E360" t="str">
            <v>50ชุด/ลัง</v>
          </cell>
          <cell r="G360">
            <v>141</v>
          </cell>
          <cell r="H360">
            <v>150.87</v>
          </cell>
          <cell r="J360">
            <v>160</v>
          </cell>
          <cell r="K360">
            <v>163</v>
          </cell>
          <cell r="L360">
            <v>170</v>
          </cell>
          <cell r="M360">
            <v>175</v>
          </cell>
          <cell r="N360">
            <v>180</v>
          </cell>
        </row>
        <row r="361">
          <cell r="B361" t="str">
            <v>N/A</v>
          </cell>
          <cell r="C361" t="str">
            <v xml:space="preserve">มือจับเรียบมีรู รุ่นใหญ่ TOP (s)         </v>
          </cell>
          <cell r="D361" t="str">
            <v>เทาซาฮาร่า</v>
          </cell>
          <cell r="E361" t="str">
            <v>200ชุด/ลัง</v>
          </cell>
          <cell r="G361">
            <v>40</v>
          </cell>
          <cell r="H361">
            <v>42.800000000000004</v>
          </cell>
          <cell r="J361">
            <v>45</v>
          </cell>
          <cell r="K361">
            <v>46</v>
          </cell>
          <cell r="L361">
            <v>48</v>
          </cell>
          <cell r="M361">
            <v>50</v>
          </cell>
          <cell r="N361">
            <v>55</v>
          </cell>
        </row>
        <row r="362">
          <cell r="B362" t="str">
            <v>N/A</v>
          </cell>
          <cell r="C362" t="str">
            <v xml:space="preserve">มือจับเรียบไม่มีรู รุ่นใหญ่ TOP (s)    </v>
          </cell>
          <cell r="D362" t="str">
            <v>เทาซาฮาร่า</v>
          </cell>
          <cell r="E362" t="str">
            <v>200ชุด/ลัง</v>
          </cell>
          <cell r="G362">
            <v>39</v>
          </cell>
          <cell r="H362">
            <v>41.730000000000004</v>
          </cell>
          <cell r="J362">
            <v>45</v>
          </cell>
          <cell r="K362">
            <v>46</v>
          </cell>
          <cell r="L362">
            <v>48</v>
          </cell>
          <cell r="M362">
            <v>50</v>
          </cell>
          <cell r="N362">
            <v>55</v>
          </cell>
        </row>
        <row r="363">
          <cell r="B363" t="str">
            <v>NEW / Pre - order</v>
          </cell>
          <cell r="C363" t="str">
            <v>มือจับล็อค รุ่นใหญ่ CEKON (คลิกล็อค)</v>
          </cell>
          <cell r="D363" t="str">
            <v>เทาซาฮาร่า</v>
          </cell>
          <cell r="G363">
            <v>77.093500000000006</v>
          </cell>
          <cell r="H363">
            <v>82.490045000000009</v>
          </cell>
          <cell r="J363">
            <v>86</v>
          </cell>
          <cell r="K363">
            <v>86</v>
          </cell>
          <cell r="L363">
            <v>90</v>
          </cell>
          <cell r="M363">
            <v>93</v>
          </cell>
          <cell r="N363">
            <v>98</v>
          </cell>
        </row>
        <row r="364">
          <cell r="B364" t="str">
            <v>NEW / Pre - order</v>
          </cell>
          <cell r="C364" t="str">
            <v>มือจับล็อคกุญแจ รุ่นใหญ่ CEKON (คลิกล็อค)</v>
          </cell>
          <cell r="D364" t="str">
            <v>เทาซาฮาร่า</v>
          </cell>
          <cell r="G364">
            <v>168.8785</v>
          </cell>
          <cell r="H364">
            <v>180.699995</v>
          </cell>
          <cell r="J364">
            <v>188.5</v>
          </cell>
          <cell r="K364">
            <v>188.5</v>
          </cell>
          <cell r="L364">
            <v>195</v>
          </cell>
          <cell r="M364">
            <v>200</v>
          </cell>
          <cell r="N364">
            <v>215</v>
          </cell>
        </row>
        <row r="365">
          <cell r="B365" t="str">
            <v>NEW / Pre - order</v>
          </cell>
          <cell r="C365" t="str">
            <v>มือจับเรียบมีรู รุ่นใหญ่ CEKON (คลิกล็อค)</v>
          </cell>
          <cell r="D365" t="str">
            <v>เทาซาฮาร่า</v>
          </cell>
          <cell r="G365">
            <v>37.710299999999997</v>
          </cell>
          <cell r="H365">
            <v>40.350020999999998</v>
          </cell>
          <cell r="J365">
            <v>42.5</v>
          </cell>
          <cell r="K365">
            <v>42.5</v>
          </cell>
          <cell r="L365">
            <v>43.5</v>
          </cell>
          <cell r="M365">
            <v>45</v>
          </cell>
          <cell r="N365">
            <v>50</v>
          </cell>
        </row>
        <row r="366">
          <cell r="B366" t="str">
            <v>NEW / Pre - order</v>
          </cell>
          <cell r="C366" t="str">
            <v>มือจับเรียบไม่มีรู รุ่นใหญ่  CEKON (คลิกล็อค)</v>
          </cell>
          <cell r="D366" t="str">
            <v>เทาซาฮาร่า</v>
          </cell>
          <cell r="G366">
            <v>37.710299999999997</v>
          </cell>
          <cell r="H366">
            <v>40.350020999999998</v>
          </cell>
          <cell r="J366">
            <v>42.5</v>
          </cell>
          <cell r="K366">
            <v>42.5</v>
          </cell>
          <cell r="L366">
            <v>43.5</v>
          </cell>
          <cell r="M366">
            <v>45</v>
          </cell>
          <cell r="N366">
            <v>50</v>
          </cell>
        </row>
        <row r="367">
          <cell r="B367" t="str">
            <v>N/A</v>
          </cell>
          <cell r="C367" t="str">
            <v>มือจับเรียบไม่มีรู HI-P สีเทาซาฮาร่า</v>
          </cell>
          <cell r="D367" t="str">
            <v>เทาซาฮาร่า</v>
          </cell>
          <cell r="E367" t="str">
            <v>stock KK =15</v>
          </cell>
          <cell r="G367">
            <v>50</v>
          </cell>
          <cell r="H367">
            <v>53.5</v>
          </cell>
          <cell r="J367">
            <v>56</v>
          </cell>
          <cell r="K367">
            <v>56</v>
          </cell>
          <cell r="L367">
            <v>58</v>
          </cell>
          <cell r="M367">
            <v>60</v>
          </cell>
          <cell r="N367">
            <v>63</v>
          </cell>
        </row>
        <row r="368">
          <cell r="B368" t="str">
            <v>NEW / Pre - order</v>
          </cell>
          <cell r="C368" t="str">
            <v xml:space="preserve">มือจับล็อค รุ่นใหญ่ CCC                          </v>
          </cell>
          <cell r="D368" t="str">
            <v>เทาซาฮาร่า</v>
          </cell>
          <cell r="E368">
            <v>0</v>
          </cell>
          <cell r="G368">
            <v>57.943899999999999</v>
          </cell>
          <cell r="H368">
            <v>61.999973000000004</v>
          </cell>
          <cell r="J368">
            <v>65</v>
          </cell>
          <cell r="K368">
            <v>65</v>
          </cell>
          <cell r="L368">
            <v>68</v>
          </cell>
          <cell r="M368">
            <v>70</v>
          </cell>
          <cell r="N368">
            <v>75</v>
          </cell>
        </row>
        <row r="369">
          <cell r="B369" t="str">
            <v>NEW / Pre - order</v>
          </cell>
          <cell r="C369" t="str">
            <v xml:space="preserve">มือจับล็อคกุญแจ รุ่นใหญ่ CCC (กุญแจ 2ดอก) </v>
          </cell>
          <cell r="D369" t="str">
            <v>เทาซาฮาร่า</v>
          </cell>
          <cell r="G369">
            <v>135.51400000000001</v>
          </cell>
          <cell r="H369">
            <v>144.99998000000002</v>
          </cell>
          <cell r="J369">
            <v>152</v>
          </cell>
          <cell r="K369">
            <v>152</v>
          </cell>
          <cell r="L369">
            <v>158</v>
          </cell>
          <cell r="M369">
            <v>165</v>
          </cell>
          <cell r="N369">
            <v>175</v>
          </cell>
        </row>
        <row r="370">
          <cell r="B370" t="str">
            <v>NEW / Pre - order</v>
          </cell>
          <cell r="C370" t="str">
            <v xml:space="preserve">มือจับเรียบมีรู/ไม่มีรู รุ่นใหญ่ CCC         </v>
          </cell>
          <cell r="D370" t="str">
            <v>เทาซาฮาร่า</v>
          </cell>
          <cell r="G370">
            <v>33.6449</v>
          </cell>
          <cell r="H370">
            <v>36.000043000000005</v>
          </cell>
          <cell r="J370">
            <v>37.5</v>
          </cell>
          <cell r="K370">
            <v>37.5</v>
          </cell>
          <cell r="L370">
            <v>39</v>
          </cell>
          <cell r="M370">
            <v>40</v>
          </cell>
          <cell r="N370">
            <v>45</v>
          </cell>
        </row>
        <row r="371">
          <cell r="B371" t="str">
            <v>รหัส</v>
          </cell>
          <cell r="C371" t="str">
            <v>มือจับเขาควาย บานเปิด</v>
          </cell>
          <cell r="D371" t="str">
            <v>สี</v>
          </cell>
          <cell r="E371" t="str">
            <v>บรรจุ/หมายเหตุ</v>
          </cell>
          <cell r="F371" t="str">
            <v>ราคาตั้ง</v>
          </cell>
          <cell r="G371" t="str">
            <v>RE 
ก่อนVAT</v>
          </cell>
          <cell r="H371" t="str">
            <v>ทุน
รวม VAT</v>
          </cell>
          <cell r="J371" t="str">
            <v>SDM</v>
          </cell>
          <cell r="K371" t="str">
            <v>W1</v>
          </cell>
          <cell r="L371" t="str">
            <v>W2</v>
          </cell>
          <cell r="M371" t="str">
            <v>R1</v>
          </cell>
          <cell r="N371" t="str">
            <v>R2</v>
          </cell>
        </row>
        <row r="372">
          <cell r="B372" t="str">
            <v>N/A</v>
          </cell>
          <cell r="C372" t="str">
            <v>มือจับเขาควาย แบบเหลี่ยมรูกลาง PBM #030-B-02</v>
          </cell>
          <cell r="D372" t="str">
            <v>สีดำ/อบขาว</v>
          </cell>
          <cell r="E372" t="str">
            <v>ลัง/20ตัว</v>
          </cell>
          <cell r="G372">
            <v>196.26169999999999</v>
          </cell>
          <cell r="H372">
            <v>210.00001900000001</v>
          </cell>
          <cell r="J372">
            <v>220</v>
          </cell>
          <cell r="K372">
            <v>220</v>
          </cell>
          <cell r="L372">
            <v>230</v>
          </cell>
          <cell r="M372">
            <v>235</v>
          </cell>
          <cell r="N372">
            <v>250</v>
          </cell>
        </row>
        <row r="373">
          <cell r="D373" t="str">
            <v>N/A</v>
          </cell>
          <cell r="E373" t="str">
            <v>ปลีก(ไม่ลงลัง)</v>
          </cell>
          <cell r="G373">
            <v>214.95330000000001</v>
          </cell>
          <cell r="H373">
            <v>230.00003100000004</v>
          </cell>
          <cell r="J373">
            <v>240</v>
          </cell>
          <cell r="K373">
            <v>240</v>
          </cell>
          <cell r="L373">
            <v>250</v>
          </cell>
          <cell r="M373">
            <v>260</v>
          </cell>
          <cell r="N373">
            <v>275</v>
          </cell>
        </row>
        <row r="374">
          <cell r="B374" t="str">
            <v>N/A</v>
          </cell>
          <cell r="C374" t="str">
            <v>มือจับเขาควายดัมมี่ แบบเหลี่ยม  PBM #030-B0-02</v>
          </cell>
          <cell r="D374" t="str">
            <v>สีดำ/อบขาว</v>
          </cell>
          <cell r="E374" t="str">
            <v>ลัง/20ตัว</v>
          </cell>
          <cell r="G374">
            <v>196.26169999999999</v>
          </cell>
          <cell r="H374">
            <v>210.00001900000001</v>
          </cell>
          <cell r="J374">
            <v>220</v>
          </cell>
          <cell r="K374">
            <v>220</v>
          </cell>
          <cell r="L374">
            <v>230</v>
          </cell>
          <cell r="M374">
            <v>235</v>
          </cell>
          <cell r="N374">
            <v>250</v>
          </cell>
        </row>
        <row r="375">
          <cell r="D375" t="str">
            <v>N/A</v>
          </cell>
          <cell r="E375" t="str">
            <v>ปลีก(ไม่ลงลัง)</v>
          </cell>
          <cell r="G375">
            <v>214.95330000000001</v>
          </cell>
          <cell r="H375">
            <v>230.00003100000004</v>
          </cell>
          <cell r="J375">
            <v>240</v>
          </cell>
          <cell r="K375">
            <v>240</v>
          </cell>
          <cell r="L375">
            <v>250</v>
          </cell>
          <cell r="M375">
            <v>260</v>
          </cell>
          <cell r="N375">
            <v>275</v>
          </cell>
        </row>
        <row r="376">
          <cell r="B376" t="str">
            <v>NAN0004-0230000</v>
          </cell>
          <cell r="C376" t="str">
            <v>มือจับก้านโยกกุญแจ สีดำ KL #MZS20 พร้อมแกนเหลี่ยม 1 ตัว, น็อต 2 ตัว</v>
          </cell>
          <cell r="D376" t="str">
            <v>สีดำ</v>
          </cell>
          <cell r="E376" t="str">
            <v>ลัง/32ชุด</v>
          </cell>
          <cell r="G376">
            <v>158.08000000000001</v>
          </cell>
          <cell r="H376">
            <v>169.14560000000003</v>
          </cell>
          <cell r="J376">
            <v>185</v>
          </cell>
          <cell r="K376">
            <v>185</v>
          </cell>
          <cell r="L376">
            <v>200</v>
          </cell>
          <cell r="M376">
            <v>215</v>
          </cell>
          <cell r="N376">
            <v>250</v>
          </cell>
        </row>
        <row r="377">
          <cell r="D377" t="str">
            <v>สีดำ</v>
          </cell>
          <cell r="E377" t="str">
            <v>ปลีก(ไม่ลงลัง)</v>
          </cell>
          <cell r="G377">
            <v>158.08000000000001</v>
          </cell>
          <cell r="H377">
            <v>169.14560000000003</v>
          </cell>
          <cell r="J377">
            <v>200</v>
          </cell>
          <cell r="K377">
            <v>200</v>
          </cell>
          <cell r="L377">
            <v>220</v>
          </cell>
          <cell r="M377">
            <v>235</v>
          </cell>
          <cell r="N377">
            <v>265</v>
          </cell>
        </row>
        <row r="378">
          <cell r="B378" t="str">
            <v>NAN0004-0230001</v>
          </cell>
          <cell r="C378" t="str">
            <v>EURO มือจับก้านโยกดัมมี่ สีดำ KL #MZS320 พร้อมแกนเหลี่ยม 1 ตัว, น็อต 2 ตัว</v>
          </cell>
          <cell r="D378" t="str">
            <v>สีดำ</v>
          </cell>
          <cell r="E378" t="str">
            <v>ลัง/32ชุด</v>
          </cell>
          <cell r="G378">
            <v>162.44999999999999</v>
          </cell>
          <cell r="H378">
            <v>173.82149999999999</v>
          </cell>
          <cell r="J378">
            <v>185</v>
          </cell>
          <cell r="K378">
            <v>185</v>
          </cell>
          <cell r="L378">
            <v>200</v>
          </cell>
          <cell r="M378">
            <v>215</v>
          </cell>
          <cell r="N378">
            <v>250</v>
          </cell>
        </row>
        <row r="379">
          <cell r="D379" t="str">
            <v>สีดำ</v>
          </cell>
          <cell r="E379" t="str">
            <v>ปลีก(ไม่ลงลัง)</v>
          </cell>
          <cell r="G379">
            <v>162.44999999999999</v>
          </cell>
          <cell r="H379">
            <v>173.82149999999999</v>
          </cell>
          <cell r="J379">
            <v>200</v>
          </cell>
          <cell r="K379">
            <v>200</v>
          </cell>
          <cell r="L379">
            <v>220</v>
          </cell>
          <cell r="M379">
            <v>235</v>
          </cell>
          <cell r="N379">
            <v>265</v>
          </cell>
        </row>
        <row r="380">
          <cell r="B380" t="str">
            <v>รหัส</v>
          </cell>
          <cell r="C380" t="str">
            <v>กลอน</v>
          </cell>
          <cell r="D380" t="str">
            <v>สี</v>
          </cell>
          <cell r="E380" t="str">
            <v>บรรจุ/หมายเหตุ</v>
          </cell>
          <cell r="F380" t="str">
            <v>ราคาตั้ง</v>
          </cell>
          <cell r="G380" t="str">
            <v>RE 
ก่อนVAT</v>
          </cell>
          <cell r="H380" t="str">
            <v>ทุน
รวม VAT</v>
          </cell>
          <cell r="J380" t="str">
            <v>SDM</v>
          </cell>
          <cell r="K380" t="str">
            <v>W1</v>
          </cell>
          <cell r="L380" t="str">
            <v>W2</v>
          </cell>
          <cell r="M380" t="str">
            <v>R1</v>
          </cell>
          <cell r="N380" t="str">
            <v>R2</v>
          </cell>
        </row>
        <row r="381">
          <cell r="B381" t="str">
            <v>N/A</v>
          </cell>
          <cell r="C381" t="str">
            <v xml:space="preserve">กลอนประตูสวิง TOP </v>
          </cell>
          <cell r="D381" t="str">
            <v>ขาว/ชา/ดำ/อบขาว</v>
          </cell>
          <cell r="E381" t="str">
            <v>40ตัว/ลัง</v>
          </cell>
          <cell r="G381">
            <v>55</v>
          </cell>
          <cell r="H381">
            <v>58.85</v>
          </cell>
          <cell r="J381">
            <v>62</v>
          </cell>
          <cell r="K381">
            <v>62</v>
          </cell>
          <cell r="L381">
            <v>64</v>
          </cell>
          <cell r="M381">
            <v>68</v>
          </cell>
          <cell r="N381">
            <v>70</v>
          </cell>
        </row>
        <row r="382">
          <cell r="B382" t="str">
            <v>N/A</v>
          </cell>
          <cell r="C382" t="str">
            <v>ไกด์กลอนสวิง</v>
          </cell>
          <cell r="D382" t="str">
            <v>สีดำ</v>
          </cell>
          <cell r="G382">
            <v>4</v>
          </cell>
          <cell r="H382">
            <v>4.28</v>
          </cell>
          <cell r="J382">
            <v>4.5</v>
          </cell>
          <cell r="K382">
            <v>5</v>
          </cell>
          <cell r="L382">
            <v>5.25</v>
          </cell>
          <cell r="M382">
            <v>5.5</v>
          </cell>
          <cell r="N382">
            <v>6</v>
          </cell>
        </row>
        <row r="383">
          <cell r="B383" t="str">
            <v>N/A</v>
          </cell>
          <cell r="C383" t="str">
            <v>กลอนบานสวิง  SPP</v>
          </cell>
          <cell r="D383" t="str">
            <v>ทุกสี</v>
          </cell>
          <cell r="E383" t="str">
            <v>ขั้นต่ำ 1ลัง/100</v>
          </cell>
          <cell r="G383">
            <v>39.252400000000002</v>
          </cell>
          <cell r="H383">
            <v>42.000068000000006</v>
          </cell>
          <cell r="J383">
            <v>44</v>
          </cell>
          <cell r="K383">
            <v>44</v>
          </cell>
          <cell r="L383">
            <v>46</v>
          </cell>
          <cell r="M383">
            <v>48</v>
          </cell>
          <cell r="N383">
            <v>50</v>
          </cell>
        </row>
        <row r="384">
          <cell r="B384" t="str">
            <v>N/A</v>
          </cell>
          <cell r="C384" t="str">
            <v>กลอนบานสวิง  SPP</v>
          </cell>
          <cell r="D384" t="str">
            <v>ทุกสี</v>
          </cell>
          <cell r="E384" t="str">
            <v>ขั้นต่ำ 4ลัง*100</v>
          </cell>
          <cell r="G384">
            <v>35.514099999999999</v>
          </cell>
          <cell r="H384">
            <v>38.000087000000001</v>
          </cell>
          <cell r="J384">
            <v>40</v>
          </cell>
          <cell r="K384">
            <v>40</v>
          </cell>
          <cell r="L384">
            <v>44</v>
          </cell>
          <cell r="M384">
            <v>45</v>
          </cell>
          <cell r="N384">
            <v>48</v>
          </cell>
        </row>
        <row r="385">
          <cell r="B385" t="str">
            <v>N/A</v>
          </cell>
          <cell r="C385" t="str">
            <v>กลอนประตูสวิง PBM</v>
          </cell>
          <cell r="D385" t="str">
            <v>ขาว/ดำ/อบขาว</v>
          </cell>
          <cell r="E385" t="str">
            <v>ขั้นต่ำ 50ตัว /ลัง</v>
          </cell>
          <cell r="G385">
            <v>51.401869158799997</v>
          </cell>
          <cell r="H385">
            <v>54.999999999916</v>
          </cell>
          <cell r="J385">
            <v>57.5</v>
          </cell>
          <cell r="K385">
            <v>57.5</v>
          </cell>
          <cell r="L385">
            <v>60</v>
          </cell>
          <cell r="M385">
            <v>62</v>
          </cell>
          <cell r="N385">
            <v>65</v>
          </cell>
        </row>
        <row r="386">
          <cell r="B386" t="str">
            <v>N/A</v>
          </cell>
          <cell r="C386" t="str">
            <v xml:space="preserve">กลอนประตูสวิง PBM          </v>
          </cell>
          <cell r="D386" t="str">
            <v>ขาว/ดำ/อบขาว</v>
          </cell>
          <cell r="E386" t="str">
            <v>ปลีก</v>
          </cell>
          <cell r="G386">
            <v>54.205599999999997</v>
          </cell>
          <cell r="H386">
            <v>57.999991999999999</v>
          </cell>
          <cell r="J386">
            <v>61</v>
          </cell>
          <cell r="K386">
            <v>61</v>
          </cell>
          <cell r="L386">
            <v>63</v>
          </cell>
          <cell r="M386">
            <v>65</v>
          </cell>
          <cell r="N386">
            <v>69</v>
          </cell>
        </row>
        <row r="387">
          <cell r="B387" t="str">
            <v>N/A</v>
          </cell>
          <cell r="C387" t="str">
            <v>กลอนประตูสวิง TEMCO                                                ( Pre-Order)</v>
          </cell>
          <cell r="D387" t="str">
            <v>ขาวอลู/ดำ/ชา/อบขาว</v>
          </cell>
          <cell r="E387" t="str">
            <v>50ตัว /ลัง</v>
          </cell>
          <cell r="G387">
            <v>45.560699999999997</v>
          </cell>
          <cell r="H387">
            <v>48.749949000000001</v>
          </cell>
          <cell r="J387">
            <v>52</v>
          </cell>
          <cell r="K387">
            <v>52</v>
          </cell>
          <cell r="L387">
            <v>55</v>
          </cell>
          <cell r="M387">
            <v>58</v>
          </cell>
          <cell r="N387">
            <v>60</v>
          </cell>
        </row>
        <row r="388">
          <cell r="B388" t="str">
            <v>รหัส</v>
          </cell>
          <cell r="C388" t="str">
            <v>กุญแจขอบิด-สวิงบิด</v>
          </cell>
          <cell r="D388" t="str">
            <v>สี</v>
          </cell>
          <cell r="E388" t="str">
            <v>บรรจุ/หมายเหตุ</v>
          </cell>
          <cell r="F388" t="str">
            <v>ราคาตั้ง</v>
          </cell>
          <cell r="G388" t="str">
            <v>RE 
ก่อนVAT</v>
          </cell>
          <cell r="H388" t="str">
            <v>ทุน
รวม VAT</v>
          </cell>
          <cell r="J388" t="str">
            <v>SDM</v>
          </cell>
          <cell r="K388" t="str">
            <v>W1</v>
          </cell>
          <cell r="L388" t="str">
            <v>W2</v>
          </cell>
          <cell r="M388" t="str">
            <v>R1</v>
          </cell>
          <cell r="N388" t="str">
            <v>R2</v>
          </cell>
        </row>
        <row r="389">
          <cell r="B389" t="str">
            <v>N/A</v>
          </cell>
          <cell r="C389" t="str">
            <v>กุญแจอลูมิเนียมบานเลื่อน ไข-บิด ยี่ห้อ Yale รุ่น 2856S/CT สีเงิน, รุ่น 2856B/CT สีดำ</v>
          </cell>
          <cell r="D389" t="str">
            <v>สีเงิน/สีดำ</v>
          </cell>
          <cell r="E389" t="str">
            <v>สินค้าซื้อเงินสด(ต้องเก็บลูกค้า100%)</v>
          </cell>
          <cell r="G389">
            <v>1640</v>
          </cell>
          <cell r="H389">
            <v>1754.8000000000002</v>
          </cell>
          <cell r="J389">
            <v>1850</v>
          </cell>
          <cell r="K389">
            <v>1900</v>
          </cell>
          <cell r="L389">
            <v>1950</v>
          </cell>
          <cell r="M389">
            <v>2000</v>
          </cell>
          <cell r="N389">
            <v>2050</v>
          </cell>
        </row>
        <row r="390">
          <cell r="B390" t="str">
            <v>N/A</v>
          </cell>
          <cell r="C390" t="str">
            <v>กุญแจสวิงลูกบิด TOP (กุญแจ 3ดอก)</v>
          </cell>
          <cell r="D390" t="str">
            <v>ขาว/ชา/ดำ/อบขาว</v>
          </cell>
          <cell r="E390" t="str">
            <v>20ตัว/ลัง</v>
          </cell>
          <cell r="G390">
            <v>233.64485981300001</v>
          </cell>
          <cell r="H390">
            <v>249.99999999991002</v>
          </cell>
          <cell r="J390">
            <v>262</v>
          </cell>
          <cell r="K390">
            <v>262</v>
          </cell>
          <cell r="L390">
            <v>270</v>
          </cell>
          <cell r="M390">
            <v>276</v>
          </cell>
          <cell r="N390">
            <v>295</v>
          </cell>
        </row>
        <row r="391">
          <cell r="B391" t="str">
            <v>N/A</v>
          </cell>
          <cell r="C391" t="str">
            <v>กุญแจเกี่ยวลูกบิด TOP (กุญแจ 3ดอก)</v>
          </cell>
          <cell r="D391" t="str">
            <v>ขาว/ชา/ดำ/อบขาว</v>
          </cell>
          <cell r="E391" t="str">
            <v>20ตัว/ลัง</v>
          </cell>
          <cell r="G391">
            <v>233.64485981300001</v>
          </cell>
          <cell r="H391">
            <v>249.99999999991002</v>
          </cell>
          <cell r="J391">
            <v>262</v>
          </cell>
          <cell r="K391">
            <v>262</v>
          </cell>
          <cell r="L391">
            <v>270</v>
          </cell>
          <cell r="M391">
            <v>276</v>
          </cell>
          <cell r="N391">
            <v>295</v>
          </cell>
        </row>
        <row r="392">
          <cell r="B392" t="str">
            <v>N/A</v>
          </cell>
          <cell r="C392" t="str">
            <v>กุญแจสวิงลูกบิด TOP (กุญแจ 3ดอก)                **แบบทำ Master key 1ด้าน</v>
          </cell>
          <cell r="D392" t="str">
            <v>ขาว/ชา/ดำ/อบขาว</v>
          </cell>
          <cell r="E392" t="str">
            <v>20ตัว/ลัง</v>
          </cell>
          <cell r="G392">
            <v>261.6823</v>
          </cell>
          <cell r="H392">
            <v>280.00006100000002</v>
          </cell>
          <cell r="J392">
            <v>291.67606354370002</v>
          </cell>
          <cell r="K392">
            <v>291.67606354370002</v>
          </cell>
          <cell r="L392">
            <v>301.06558558927401</v>
          </cell>
          <cell r="M392">
            <v>311.11366777832006</v>
          </cell>
          <cell r="N392">
            <v>329.42567176772002</v>
          </cell>
        </row>
        <row r="393">
          <cell r="B393" t="str">
            <v>N/A</v>
          </cell>
          <cell r="C393" t="str">
            <v>กุญแจสวิงลูกบิด TOP (กุญแจ 3ดอก)                **แบบทำ Master key 2ด้าน</v>
          </cell>
          <cell r="D393" t="str">
            <v>ขาว/ชา/ดำ/อบขาว</v>
          </cell>
          <cell r="E393" t="str">
            <v>20ตัว/ลัง</v>
          </cell>
          <cell r="G393">
            <v>299.06549999999999</v>
          </cell>
          <cell r="H393">
            <v>320.00008500000001</v>
          </cell>
          <cell r="J393">
            <v>333.34408854450004</v>
          </cell>
          <cell r="K393">
            <v>333.34408854450004</v>
          </cell>
          <cell r="L393">
            <v>344.07497139489004</v>
          </cell>
          <cell r="M393">
            <v>355.55849444520004</v>
          </cell>
          <cell r="N393">
            <v>376.48650000420002</v>
          </cell>
        </row>
        <row r="394">
          <cell r="B394" t="str">
            <v>N/A</v>
          </cell>
          <cell r="C394" t="str">
            <v>กุญแจเกี่ยวลูกบิด TOP (กุญแจ 3ดอก)               **แบบทำ Master key 1 ด้าน</v>
          </cell>
          <cell r="D394" t="str">
            <v>ขาว/ชา/ดำ/อบขาว</v>
          </cell>
          <cell r="E394" t="str">
            <v>20ตัว/ลัง</v>
          </cell>
          <cell r="G394">
            <v>261.68</v>
          </cell>
          <cell r="H394">
            <v>279.99760000000003</v>
          </cell>
          <cell r="J394">
            <v>291.67349992000004</v>
          </cell>
          <cell r="K394">
            <v>291.67349992000004</v>
          </cell>
          <cell r="L394">
            <v>301.06293943840006</v>
          </cell>
          <cell r="M394">
            <v>311.11093331200004</v>
          </cell>
          <cell r="N394">
            <v>329.42277635200003</v>
          </cell>
        </row>
        <row r="395">
          <cell r="B395" t="str">
            <v>N/A</v>
          </cell>
          <cell r="C395" t="str">
            <v>กุญแจเกี่ยวลูกบิด TOP (กุญแจ 3ดอก)               **แบบทำ Master key 2 ด้าน</v>
          </cell>
          <cell r="D395" t="str">
            <v>ขาว/ชา/ดำ/อบขาว</v>
          </cell>
          <cell r="E395" t="str">
            <v>20ตัว/ลัง</v>
          </cell>
          <cell r="G395">
            <v>299.07</v>
          </cell>
          <cell r="H395">
            <v>320.00490000000002</v>
          </cell>
          <cell r="J395">
            <v>333.34910433000005</v>
          </cell>
          <cell r="K395">
            <v>333.34910433000005</v>
          </cell>
          <cell r="L395">
            <v>344.08014864660004</v>
          </cell>
          <cell r="M395">
            <v>355.56384448800003</v>
          </cell>
          <cell r="N395">
            <v>376.49216494800004</v>
          </cell>
        </row>
        <row r="396">
          <cell r="C396" t="str">
            <v>CEKON+ Master key</v>
          </cell>
          <cell r="G396">
            <v>310</v>
          </cell>
          <cell r="H396">
            <v>331.70000000000005</v>
          </cell>
          <cell r="J396">
            <v>360</v>
          </cell>
          <cell r="K396">
            <v>365</v>
          </cell>
          <cell r="L396">
            <v>385</v>
          </cell>
          <cell r="M396">
            <v>390</v>
          </cell>
          <cell r="N396">
            <v>415</v>
          </cell>
        </row>
        <row r="397">
          <cell r="B397" t="str">
            <v>N/A</v>
          </cell>
          <cell r="C397" t="str">
            <v xml:space="preserve">กุญแจสวิงลูกบิด HERO  (กุญแจ 2ดอก) </v>
          </cell>
          <cell r="D397" t="str">
            <v>ขาว/ชา/ดำ/อบขาว</v>
          </cell>
          <cell r="E397" t="str">
            <v>20ตัว/ลัง</v>
          </cell>
          <cell r="G397">
            <v>186.91588784999999</v>
          </cell>
          <cell r="H397">
            <v>199.99999999950001</v>
          </cell>
          <cell r="J397">
            <v>209</v>
          </cell>
          <cell r="K397">
            <v>209</v>
          </cell>
          <cell r="L397">
            <v>215</v>
          </cell>
          <cell r="M397">
            <v>225</v>
          </cell>
          <cell r="N397">
            <v>235</v>
          </cell>
        </row>
        <row r="398">
          <cell r="B398" t="str">
            <v>N/A</v>
          </cell>
          <cell r="C398" t="str">
            <v>กุญแจเกี่ยวลูกบิด HERO (กุญแจ 2ดอก)</v>
          </cell>
          <cell r="D398" t="str">
            <v>ขาว/ชา/ดำ/อบขาว</v>
          </cell>
          <cell r="E398" t="str">
            <v>20ตัว/ลัง</v>
          </cell>
          <cell r="G398">
            <v>186.91588784999999</v>
          </cell>
          <cell r="H398">
            <v>199.99999999950001</v>
          </cell>
          <cell r="J398">
            <v>209</v>
          </cell>
          <cell r="K398">
            <v>209</v>
          </cell>
          <cell r="L398">
            <v>215</v>
          </cell>
          <cell r="M398">
            <v>225</v>
          </cell>
          <cell r="N398">
            <v>235</v>
          </cell>
        </row>
        <row r="399">
          <cell r="B399" t="str">
            <v>N/A</v>
          </cell>
          <cell r="C399" t="str">
            <v xml:space="preserve">กุญแจสวิงลูกบิด HERO  (กุญแจ 2ดอก) </v>
          </cell>
          <cell r="D399" t="str">
            <v>เบิกBS ขาว/ชา/ดำ/อบขาว</v>
          </cell>
          <cell r="E399" t="str">
            <v>(ซื้อ) 50ลัง แถม9ลัง (20/ลัง)</v>
          </cell>
          <cell r="G399">
            <v>158.4033</v>
          </cell>
          <cell r="H399">
            <v>169.49153100000001</v>
          </cell>
          <cell r="J399">
            <v>180</v>
          </cell>
          <cell r="K399">
            <v>185</v>
          </cell>
          <cell r="L399">
            <v>190</v>
          </cell>
          <cell r="M399">
            <v>200</v>
          </cell>
          <cell r="N399">
            <v>215</v>
          </cell>
        </row>
        <row r="400">
          <cell r="B400" t="str">
            <v>N/A</v>
          </cell>
          <cell r="C400" t="str">
            <v>กุญแจเกี่ยวลูกบิด HERO (กุญแจ 2ดอก)</v>
          </cell>
          <cell r="D400" t="str">
            <v>เบิกBS ขาว/ชา/ดำ/อบขาว</v>
          </cell>
          <cell r="E400" t="str">
            <v>(ซื้อ) 50ลัง แถม9ลัง (20/ลัง)</v>
          </cell>
          <cell r="G400">
            <v>158.4033</v>
          </cell>
          <cell r="H400">
            <v>169.49153100000001</v>
          </cell>
          <cell r="J400">
            <v>180</v>
          </cell>
          <cell r="K400">
            <v>185</v>
          </cell>
          <cell r="L400">
            <v>190</v>
          </cell>
          <cell r="M400">
            <v>200</v>
          </cell>
          <cell r="N400">
            <v>215</v>
          </cell>
        </row>
        <row r="401">
          <cell r="B401" t="str">
            <v>N/A</v>
          </cell>
          <cell r="C401" t="str">
            <v>กุญแจสวิงลูกบิด/ขอเกี่ยวบิด PBM  (กุญแจ 2ดอกหุ้มยาง)   /สินค้า Pre-Order</v>
          </cell>
          <cell r="D401" t="str">
            <v>ขาว/ชา/ดำ/อบขาว</v>
          </cell>
          <cell r="E401" t="str">
            <v>20ตัว/ลัง</v>
          </cell>
          <cell r="G401">
            <v>130.84</v>
          </cell>
          <cell r="H401">
            <v>139.99880000000002</v>
          </cell>
          <cell r="J401">
            <v>146</v>
          </cell>
          <cell r="K401">
            <v>146</v>
          </cell>
          <cell r="L401">
            <v>152</v>
          </cell>
          <cell r="M401">
            <v>156</v>
          </cell>
          <cell r="N401">
            <v>165</v>
          </cell>
        </row>
        <row r="402">
          <cell r="B402" t="str">
            <v>N/A</v>
          </cell>
          <cell r="C402" t="str">
            <v>กุญแจเกี่ยวลูกบิด PBM (กุญแจ 2ดอกหุ้มยาง)                 /สินค้า Pre-Order</v>
          </cell>
          <cell r="D402" t="str">
            <v>ขาว/ชา/ดำ/อบขาว</v>
          </cell>
          <cell r="E402" t="str">
            <v>20ตัว/ลัง</v>
          </cell>
          <cell r="G402">
            <v>130.84</v>
          </cell>
          <cell r="H402">
            <v>139.99880000000002</v>
          </cell>
          <cell r="J402">
            <v>146</v>
          </cell>
          <cell r="K402">
            <v>146</v>
          </cell>
          <cell r="L402">
            <v>152</v>
          </cell>
          <cell r="M402">
            <v>156</v>
          </cell>
          <cell r="N402">
            <v>165</v>
          </cell>
        </row>
        <row r="403">
          <cell r="B403" t="str">
            <v>N/A</v>
          </cell>
          <cell r="C403" t="str">
            <v>กุญแจสวิงลูกบิด PBM  (กุญแจ 2ดอกหุ้มยาง)                  /สินค้า Pre-Order</v>
          </cell>
          <cell r="D403" t="str">
            <v>ขาว/ชา/ดำ/อบขาว</v>
          </cell>
          <cell r="E403" t="str">
            <v>ปลีก</v>
          </cell>
          <cell r="G403">
            <v>157.0094</v>
          </cell>
          <cell r="H403">
            <v>168.000058</v>
          </cell>
          <cell r="J403">
            <v>175</v>
          </cell>
          <cell r="K403">
            <v>175</v>
          </cell>
          <cell r="L403">
            <v>185</v>
          </cell>
          <cell r="M403">
            <v>190</v>
          </cell>
          <cell r="N403">
            <v>200</v>
          </cell>
        </row>
        <row r="404">
          <cell r="B404" t="str">
            <v>N/A</v>
          </cell>
          <cell r="C404" t="str">
            <v>กุญแจสวิงบิด HOYA (กุญแจ 3ดอก หุ้มยาง)</v>
          </cell>
          <cell r="D404" t="str">
            <v>ขาว/ชา/ดำ/อบขาว</v>
          </cell>
          <cell r="E404" t="str">
            <v>20ตัว/ลัง</v>
          </cell>
          <cell r="G404">
            <v>124.2991</v>
          </cell>
          <cell r="H404">
            <v>133.00003699999999</v>
          </cell>
          <cell r="J404">
            <v>140</v>
          </cell>
          <cell r="K404">
            <v>150</v>
          </cell>
          <cell r="L404">
            <v>155</v>
          </cell>
          <cell r="M404">
            <v>160</v>
          </cell>
          <cell r="N404">
            <v>170</v>
          </cell>
        </row>
        <row r="405">
          <cell r="B405" t="str">
            <v>N/A</v>
          </cell>
          <cell r="C405" t="str">
            <v>กุญแจเกี่ยวลูกบิด HOYA (กุญแจ 3ดอก หุ้มยาง)</v>
          </cell>
          <cell r="D405" t="str">
            <v>ขาว/ชา/ดำ/อบขาว</v>
          </cell>
          <cell r="E405" t="str">
            <v>20ตัว/ลัง</v>
          </cell>
          <cell r="G405">
            <v>124.2991</v>
          </cell>
          <cell r="H405">
            <v>133.00003699999999</v>
          </cell>
          <cell r="J405">
            <v>140</v>
          </cell>
          <cell r="K405">
            <v>150</v>
          </cell>
          <cell r="L405">
            <v>155</v>
          </cell>
          <cell r="M405">
            <v>160</v>
          </cell>
          <cell r="N405">
            <v>170</v>
          </cell>
        </row>
        <row r="406">
          <cell r="B406" t="str">
            <v>N/A</v>
          </cell>
          <cell r="C406" t="str">
            <v>กุญแจบานเลื่อนคู่ 2หน้า CHINYO HD-313DCL (ล็อคกลาง833)</v>
          </cell>
          <cell r="D406" t="str">
            <v>ขาว/ชา/ดำ/อบขาว</v>
          </cell>
          <cell r="E406" t="str">
            <v>40ตัว/ลัง (ราคาลงลัง)</v>
          </cell>
          <cell r="G406">
            <v>384.4</v>
          </cell>
          <cell r="H406">
            <v>411.30799999999999</v>
          </cell>
          <cell r="J406">
            <v>450</v>
          </cell>
          <cell r="K406">
            <v>450</v>
          </cell>
          <cell r="L406">
            <v>465</v>
          </cell>
          <cell r="M406">
            <v>480</v>
          </cell>
          <cell r="N406">
            <v>515</v>
          </cell>
        </row>
        <row r="407">
          <cell r="B407" t="str">
            <v>N/A</v>
          </cell>
          <cell r="C407" t="str">
            <v>กุญแจบานเลื่อนเดี่ยว 2หน้า CHINYO HD-312DCL (ล็อคข้าง832)</v>
          </cell>
          <cell r="D407" t="str">
            <v>ขาว/ชา/ดำ/อบขาว</v>
          </cell>
          <cell r="E407" t="str">
            <v>40ตัว/ลัง (ราคาลงลัง)</v>
          </cell>
          <cell r="G407">
            <v>384.4</v>
          </cell>
          <cell r="H407">
            <v>411.30799999999999</v>
          </cell>
          <cell r="J407">
            <v>450</v>
          </cell>
          <cell r="K407">
            <v>450</v>
          </cell>
          <cell r="L407">
            <v>465</v>
          </cell>
          <cell r="M407">
            <v>480</v>
          </cell>
          <cell r="N407">
            <v>515</v>
          </cell>
        </row>
        <row r="408">
          <cell r="B408" t="str">
            <v>N/A</v>
          </cell>
          <cell r="C408" t="str">
            <v>กุญแจลูกบิดบานเลื่อนคอม้า HUSZA (ดอกแบน)</v>
          </cell>
          <cell r="D408" t="str">
            <v>สีขาวอลู/สีชา</v>
          </cell>
          <cell r="E408" t="str">
            <v>25ตัว/ลัง (เก่า)</v>
          </cell>
          <cell r="G408">
            <v>121.1215</v>
          </cell>
          <cell r="H408">
            <v>129.60000500000001</v>
          </cell>
          <cell r="J408">
            <v>160</v>
          </cell>
          <cell r="K408">
            <v>160</v>
          </cell>
          <cell r="L408">
            <v>165</v>
          </cell>
          <cell r="M408">
            <v>175</v>
          </cell>
          <cell r="N408">
            <v>200</v>
          </cell>
        </row>
        <row r="409">
          <cell r="B409" t="str">
            <v>N/A</v>
          </cell>
          <cell r="C409" t="str">
            <v>กุญแจลูกบิดบานเลื่อนคอม้า HUSZA (ดอกแบน)</v>
          </cell>
          <cell r="D409" t="str">
            <v>พ่นดำ/อบขาวนม</v>
          </cell>
          <cell r="E409" t="str">
            <v>25ตัว/ลัง (เก่า)</v>
          </cell>
          <cell r="G409">
            <v>134.57939999999999</v>
          </cell>
          <cell r="H409">
            <v>143.99995799999999</v>
          </cell>
          <cell r="J409">
            <v>180</v>
          </cell>
          <cell r="K409">
            <v>180</v>
          </cell>
          <cell r="L409">
            <v>185</v>
          </cell>
          <cell r="M409">
            <v>200</v>
          </cell>
          <cell r="N409">
            <v>210</v>
          </cell>
        </row>
        <row r="410">
          <cell r="B410" t="str">
            <v>N/A</v>
          </cell>
          <cell r="C410" t="str">
            <v>กุญแจสวิงลูกบิด CEKON (กุญแจ 3ดอก)                      /สินค้า Pre-Order</v>
          </cell>
          <cell r="D410" t="str">
            <v>ขาว/ชา/ดำ/อบขาว</v>
          </cell>
          <cell r="E410" t="str">
            <v>20ตัว/ลัง</v>
          </cell>
          <cell r="G410">
            <v>233.64485981300001</v>
          </cell>
          <cell r="H410">
            <v>249.99999999991002</v>
          </cell>
          <cell r="J410">
            <v>265</v>
          </cell>
          <cell r="K410">
            <v>270</v>
          </cell>
          <cell r="L410">
            <v>275</v>
          </cell>
          <cell r="M410">
            <v>280</v>
          </cell>
          <cell r="N410">
            <v>295</v>
          </cell>
        </row>
        <row r="411">
          <cell r="B411" t="str">
            <v>N/A</v>
          </cell>
          <cell r="C411" t="str">
            <v>กุญแจเกี่ยวลูกบิด CEKON (กุญแจ 3ดอก)                    /สินค้า Pre-Order</v>
          </cell>
          <cell r="D411" t="str">
            <v>ขาว/ชา/ดำ/อบขาว</v>
          </cell>
          <cell r="E411" t="str">
            <v>20ตัว/ลัง</v>
          </cell>
          <cell r="G411">
            <v>233.64485981300001</v>
          </cell>
          <cell r="H411">
            <v>249.99999999991002</v>
          </cell>
          <cell r="J411">
            <v>265</v>
          </cell>
          <cell r="K411">
            <v>270</v>
          </cell>
          <cell r="L411">
            <v>275</v>
          </cell>
          <cell r="M411">
            <v>280</v>
          </cell>
          <cell r="N411">
            <v>295</v>
          </cell>
        </row>
        <row r="412">
          <cell r="C412" t="str">
            <v>กุญแจเกี่ยวบิด/สวิงบิด CEKON (กุญแจ 3ดอก)                      รุ่นทำ Master key</v>
          </cell>
          <cell r="G412">
            <v>310</v>
          </cell>
          <cell r="H412">
            <v>331.70000000000005</v>
          </cell>
          <cell r="J412">
            <v>350</v>
          </cell>
          <cell r="K412">
            <v>365</v>
          </cell>
          <cell r="L412">
            <v>370</v>
          </cell>
          <cell r="M412">
            <v>390</v>
          </cell>
          <cell r="N412">
            <v>415</v>
          </cell>
        </row>
        <row r="413">
          <cell r="B413" t="str">
            <v>NAN0000</v>
          </cell>
          <cell r="C413" t="str">
            <v>HD-314 กุญแจชินโย 2IN1</v>
          </cell>
          <cell r="D413" t="str">
            <v>ดำ/อบขาว</v>
          </cell>
          <cell r="E413" t="str">
            <v>24ชุด/ลัง</v>
          </cell>
          <cell r="G413">
            <v>462.52</v>
          </cell>
          <cell r="H413">
            <v>494.89640000000003</v>
          </cell>
          <cell r="J413">
            <v>525</v>
          </cell>
          <cell r="K413">
            <v>525</v>
          </cell>
          <cell r="L413">
            <v>535</v>
          </cell>
          <cell r="M413">
            <v>550</v>
          </cell>
          <cell r="N413">
            <v>585</v>
          </cell>
        </row>
        <row r="414">
          <cell r="B414" t="str">
            <v>NAN0000</v>
          </cell>
          <cell r="C414" t="str">
            <v>HD-314 กุญแจชินโย 2IN1</v>
          </cell>
          <cell r="D414" t="str">
            <v>ดำ/อบขาว</v>
          </cell>
          <cell r="E414" t="str">
            <v>ไม่ลงลัง</v>
          </cell>
          <cell r="G414">
            <v>477.44</v>
          </cell>
          <cell r="H414">
            <v>510.86080000000004</v>
          </cell>
          <cell r="J414">
            <v>535</v>
          </cell>
          <cell r="K414">
            <v>535</v>
          </cell>
          <cell r="L414">
            <v>550</v>
          </cell>
          <cell r="M414">
            <v>575</v>
          </cell>
          <cell r="N414">
            <v>615</v>
          </cell>
        </row>
        <row r="416">
          <cell r="B416" t="str">
            <v>รหัส</v>
          </cell>
          <cell r="C416" t="str">
            <v>กลอน-กุญแจขอบิด-สวิงบิด สีเทาซาฮาร่า</v>
          </cell>
          <cell r="D416" t="str">
            <v>สี</v>
          </cell>
          <cell r="E416" t="str">
            <v>บรรจุ/หมายเหตุ</v>
          </cell>
          <cell r="F416" t="str">
            <v>ราคาตั้ง</v>
          </cell>
          <cell r="G416" t="str">
            <v>RE 
ก่อนVAT</v>
          </cell>
          <cell r="H416" t="str">
            <v>ทุน
รวม VAT</v>
          </cell>
          <cell r="J416" t="str">
            <v>SDM</v>
          </cell>
          <cell r="K416" t="str">
            <v>W1</v>
          </cell>
          <cell r="L416" t="str">
            <v>W2</v>
          </cell>
          <cell r="M416" t="str">
            <v>R1</v>
          </cell>
          <cell r="N416" t="str">
            <v>R2</v>
          </cell>
        </row>
        <row r="417">
          <cell r="B417" t="str">
            <v>N/A</v>
          </cell>
          <cell r="C417" t="str">
            <v>กลอนประตูสวิง TOP                                                        สินค้า Pre-Order</v>
          </cell>
          <cell r="D417" t="str">
            <v>สีเทาซาฮาร่า</v>
          </cell>
          <cell r="E417" t="str">
            <v>40ตัว/ลัง</v>
          </cell>
          <cell r="G417">
            <v>75</v>
          </cell>
          <cell r="H417">
            <v>80.25</v>
          </cell>
          <cell r="J417">
            <v>85</v>
          </cell>
          <cell r="K417">
            <v>85</v>
          </cell>
          <cell r="L417">
            <v>90</v>
          </cell>
          <cell r="M417">
            <v>95</v>
          </cell>
          <cell r="N417">
            <v>100</v>
          </cell>
        </row>
        <row r="418">
          <cell r="B418" t="str">
            <v>N/A</v>
          </cell>
          <cell r="C418" t="str">
            <v>กุญแจสวิงลูกบิด CEKON (กุญแจ 3ดอก)                            สินค้า Pre-Order</v>
          </cell>
          <cell r="D418" t="str">
            <v>สีเทาซาฮาร่า</v>
          </cell>
          <cell r="E418" t="str">
            <v>20ตัว/ลัง</v>
          </cell>
          <cell r="G418">
            <v>250</v>
          </cell>
          <cell r="H418">
            <v>267.5</v>
          </cell>
          <cell r="J418">
            <v>280</v>
          </cell>
          <cell r="K418">
            <v>280</v>
          </cell>
          <cell r="L418">
            <v>290</v>
          </cell>
          <cell r="M418">
            <v>300</v>
          </cell>
          <cell r="N418">
            <v>315</v>
          </cell>
        </row>
        <row r="419">
          <cell r="B419" t="str">
            <v>N/A</v>
          </cell>
          <cell r="C419" t="str">
            <v>กุญแจเกี่ยวลูกบิด CEKON (กุญแจ 3ดอก)                          สินค้า Pre-Order</v>
          </cell>
          <cell r="D419" t="str">
            <v>สีเทาซาฮาร่า</v>
          </cell>
          <cell r="E419" t="str">
            <v>20ตัว/ลัง</v>
          </cell>
          <cell r="G419">
            <v>250</v>
          </cell>
          <cell r="H419">
            <v>267.5</v>
          </cell>
          <cell r="J419">
            <v>280</v>
          </cell>
          <cell r="K419">
            <v>280</v>
          </cell>
          <cell r="L419">
            <v>290</v>
          </cell>
          <cell r="M419">
            <v>300</v>
          </cell>
          <cell r="N419">
            <v>315</v>
          </cell>
        </row>
        <row r="420">
          <cell r="B420" t="str">
            <v>รหัส</v>
          </cell>
          <cell r="C420" t="str">
            <v>ตลับกุญแจ-ไส้กุญแจ</v>
          </cell>
          <cell r="D420" t="str">
            <v>สี</v>
          </cell>
          <cell r="E420" t="str">
            <v>บรรจุ/หมายเหตุ</v>
          </cell>
          <cell r="F420" t="str">
            <v>ราคาตั้ง</v>
          </cell>
          <cell r="G420" t="str">
            <v>RE 
ก่อนVAT</v>
          </cell>
          <cell r="H420" t="str">
            <v>ทุน
รวม VAT</v>
          </cell>
          <cell r="J420" t="str">
            <v>SDM</v>
          </cell>
          <cell r="K420" t="str">
            <v>W1</v>
          </cell>
          <cell r="L420" t="str">
            <v>W2</v>
          </cell>
          <cell r="M420" t="str">
            <v>R1</v>
          </cell>
          <cell r="N420" t="str">
            <v>R2</v>
          </cell>
        </row>
        <row r="421">
          <cell r="B421" t="str">
            <v>N/A</v>
          </cell>
          <cell r="C421" t="str">
            <v>เสื้อกุญแจบานเปิด PBM 30*85 (3นิ้ว) #030-3085</v>
          </cell>
          <cell r="D421" t="str">
            <v>N/A</v>
          </cell>
          <cell r="E421" t="str">
            <v>ลัง/50ตัว</v>
          </cell>
          <cell r="G421">
            <v>255.14</v>
          </cell>
          <cell r="H421">
            <v>272.99979999999999</v>
          </cell>
          <cell r="J421">
            <v>285</v>
          </cell>
          <cell r="K421">
            <v>285</v>
          </cell>
          <cell r="L421">
            <v>295</v>
          </cell>
          <cell r="M421">
            <v>305</v>
          </cell>
          <cell r="N421">
            <v>325</v>
          </cell>
        </row>
        <row r="422">
          <cell r="D422" t="str">
            <v>N/A</v>
          </cell>
          <cell r="E422" t="str">
            <v>ปลีก(ไม่ลงลัง)</v>
          </cell>
          <cell r="G422">
            <v>275.70100000000002</v>
          </cell>
          <cell r="H422">
            <v>295.00007000000005</v>
          </cell>
          <cell r="J422">
            <v>310</v>
          </cell>
          <cell r="K422">
            <v>310</v>
          </cell>
          <cell r="L422">
            <v>320</v>
          </cell>
          <cell r="M422">
            <v>330</v>
          </cell>
          <cell r="N422">
            <v>360</v>
          </cell>
        </row>
        <row r="423">
          <cell r="B423" t="str">
            <v>NAN0000-0290010</v>
          </cell>
          <cell r="C423" t="str">
            <v>เสื้อกุญแจบานเปิด PBM 35*85 (4นิ้ว) #030-3585   (มาตรฐาน)</v>
          </cell>
          <cell r="D423" t="str">
            <v>N/A</v>
          </cell>
          <cell r="E423" t="str">
            <v>ลัง/50ตัว</v>
          </cell>
          <cell r="G423">
            <v>255.14</v>
          </cell>
          <cell r="H423">
            <v>272.99979999999999</v>
          </cell>
          <cell r="J423">
            <v>285</v>
          </cell>
          <cell r="K423">
            <v>285</v>
          </cell>
          <cell r="L423">
            <v>295</v>
          </cell>
          <cell r="M423">
            <v>305</v>
          </cell>
          <cell r="N423">
            <v>325</v>
          </cell>
        </row>
        <row r="424">
          <cell r="D424" t="str">
            <v>N/A</v>
          </cell>
          <cell r="E424" t="str">
            <v>ปลีก(ไม่ลงลัง)</v>
          </cell>
          <cell r="G424">
            <v>275.70100000000002</v>
          </cell>
          <cell r="H424">
            <v>295.00007000000005</v>
          </cell>
          <cell r="J424">
            <v>310</v>
          </cell>
          <cell r="K424">
            <v>310</v>
          </cell>
          <cell r="L424">
            <v>320</v>
          </cell>
          <cell r="M424">
            <v>330</v>
          </cell>
          <cell r="N424">
            <v>360</v>
          </cell>
        </row>
        <row r="425">
          <cell r="B425" t="str">
            <v>NAN0000-0290020</v>
          </cell>
          <cell r="C425" t="str">
            <v>ไส้กุญแจบานเปิด PBM 70mm. #030-70    (หมด)</v>
          </cell>
          <cell r="D425" t="str">
            <v>N/A</v>
          </cell>
          <cell r="E425" t="str">
            <v>ลัง/60ตัว</v>
          </cell>
          <cell r="G425">
            <v>255.14</v>
          </cell>
          <cell r="H425">
            <v>272.99979999999999</v>
          </cell>
          <cell r="J425">
            <v>285</v>
          </cell>
          <cell r="K425">
            <v>285</v>
          </cell>
          <cell r="L425">
            <v>295</v>
          </cell>
          <cell r="M425">
            <v>310</v>
          </cell>
          <cell r="N425">
            <v>325</v>
          </cell>
        </row>
        <row r="426">
          <cell r="B426" t="str">
            <v>NAN0000-0290020</v>
          </cell>
          <cell r="C426" t="str">
            <v>ไส้กุญแจบานเปิด PBM  65mm. #030-65 (บานเปิดธรรมดา)</v>
          </cell>
          <cell r="D426" t="str">
            <v>N/A</v>
          </cell>
          <cell r="E426" t="str">
            <v>ลัง/60ตัว</v>
          </cell>
          <cell r="G426">
            <v>255.14</v>
          </cell>
          <cell r="H426">
            <v>272.99979999999999</v>
          </cell>
          <cell r="J426">
            <v>285</v>
          </cell>
          <cell r="K426">
            <v>285</v>
          </cell>
          <cell r="L426">
            <v>295</v>
          </cell>
          <cell r="M426">
            <v>305</v>
          </cell>
          <cell r="N426">
            <v>325</v>
          </cell>
        </row>
        <row r="427">
          <cell r="D427" t="str">
            <v>N/A</v>
          </cell>
          <cell r="E427" t="str">
            <v>ปลีก(ไม่ลงลัง)</v>
          </cell>
          <cell r="G427">
            <v>275.70100000000002</v>
          </cell>
          <cell r="H427">
            <v>295.00007000000005</v>
          </cell>
          <cell r="J427">
            <v>310</v>
          </cell>
          <cell r="K427">
            <v>310</v>
          </cell>
          <cell r="L427">
            <v>320</v>
          </cell>
          <cell r="M427">
            <v>330</v>
          </cell>
          <cell r="N427">
            <v>360</v>
          </cell>
        </row>
        <row r="428">
          <cell r="B428" t="str">
            <v>N/A</v>
          </cell>
          <cell r="C428" t="str">
            <v>ไส้กุญแจบานเปิด PBM 75mm. #030-75 (บานเฟี๊ยม)</v>
          </cell>
          <cell r="D428" t="str">
            <v>N/A</v>
          </cell>
          <cell r="E428" t="str">
            <v>ลัง/60ตัว</v>
          </cell>
          <cell r="G428">
            <v>255.14</v>
          </cell>
          <cell r="H428">
            <v>272.99979999999999</v>
          </cell>
          <cell r="J428">
            <v>285</v>
          </cell>
          <cell r="K428">
            <v>285</v>
          </cell>
          <cell r="L428">
            <v>295</v>
          </cell>
          <cell r="M428">
            <v>305</v>
          </cell>
          <cell r="N428">
            <v>325</v>
          </cell>
        </row>
        <row r="429">
          <cell r="D429" t="str">
            <v>N/A</v>
          </cell>
          <cell r="E429" t="str">
            <v>ปลีก(ไม่ลงลัง)</v>
          </cell>
          <cell r="G429">
            <v>275.70100000000002</v>
          </cell>
          <cell r="H429">
            <v>295.00007000000005</v>
          </cell>
          <cell r="J429">
            <v>310</v>
          </cell>
          <cell r="K429">
            <v>310</v>
          </cell>
          <cell r="L429">
            <v>320</v>
          </cell>
          <cell r="M429">
            <v>330</v>
          </cell>
          <cell r="N429">
            <v>360</v>
          </cell>
        </row>
        <row r="431">
          <cell r="B431" t="str">
            <v>รหัส</v>
          </cell>
          <cell r="C431" t="str">
            <v>บานพับ 4แขน (บานพับกระทุ้ง)</v>
          </cell>
          <cell r="D431" t="str">
            <v>สี</v>
          </cell>
          <cell r="E431" t="str">
            <v>บรรจุ</v>
          </cell>
          <cell r="F431" t="str">
            <v>ราคาตั้ง</v>
          </cell>
          <cell r="G431" t="str">
            <v>ทุน
ก่อน VAT</v>
          </cell>
          <cell r="H431" t="str">
            <v>ทุน
รวม VAT</v>
          </cell>
          <cell r="J431" t="str">
            <v>SDM</v>
          </cell>
          <cell r="K431" t="str">
            <v>W1</v>
          </cell>
          <cell r="L431" t="str">
            <v>W2</v>
          </cell>
          <cell r="M431" t="str">
            <v>R1</v>
          </cell>
          <cell r="N431" t="str">
            <v>R2</v>
          </cell>
        </row>
        <row r="432">
          <cell r="B432" t="str">
            <v>E022080100H0000800</v>
          </cell>
          <cell r="C432" t="str">
            <v>บานพับกระทุ้งสี่แขน 8 นิ้ว HUSZA</v>
          </cell>
          <cell r="D432" t="str">
            <v>N/A</v>
          </cell>
          <cell r="E432" t="str">
            <v>ลัง/50คู่</v>
          </cell>
          <cell r="G432">
            <v>39.427999999999997</v>
          </cell>
          <cell r="H432">
            <v>42.187959999999997</v>
          </cell>
          <cell r="J432">
            <v>50</v>
          </cell>
          <cell r="K432">
            <v>50</v>
          </cell>
          <cell r="L432">
            <v>52</v>
          </cell>
          <cell r="M432">
            <v>54</v>
          </cell>
          <cell r="N432">
            <v>57</v>
          </cell>
        </row>
        <row r="433">
          <cell r="B433" t="str">
            <v>E022080100H0001000</v>
          </cell>
          <cell r="C433" t="str">
            <v>บานพับกระทุ้งสี่แขน 10 นิ้ว HUSZA</v>
          </cell>
          <cell r="D433" t="str">
            <v>N/A</v>
          </cell>
          <cell r="E433" t="str">
            <v>ลัง/50คู่</v>
          </cell>
          <cell r="G433">
            <v>50.466999999999999</v>
          </cell>
          <cell r="H433">
            <v>53.999690000000001</v>
          </cell>
          <cell r="J433">
            <v>64</v>
          </cell>
          <cell r="K433">
            <v>64</v>
          </cell>
          <cell r="L433">
            <v>66</v>
          </cell>
          <cell r="M433">
            <v>68</v>
          </cell>
          <cell r="N433">
            <v>72</v>
          </cell>
        </row>
        <row r="434">
          <cell r="B434" t="str">
            <v>E022080100H0001200</v>
          </cell>
          <cell r="C434" t="str">
            <v>บานพับกระทุ้งสี่แขน 12 นิ้ว HUSZA</v>
          </cell>
          <cell r="D434" t="str">
            <v>N/A</v>
          </cell>
          <cell r="E434" t="str">
            <v>ลัง/50คู่</v>
          </cell>
          <cell r="G434">
            <v>59.93</v>
          </cell>
          <cell r="H434">
            <v>64.125100000000003</v>
          </cell>
          <cell r="J434">
            <v>76</v>
          </cell>
          <cell r="K434">
            <v>76</v>
          </cell>
          <cell r="L434">
            <v>79</v>
          </cell>
          <cell r="M434">
            <v>81</v>
          </cell>
          <cell r="N434">
            <v>86</v>
          </cell>
        </row>
        <row r="435">
          <cell r="B435" t="str">
            <v>E022080100H0001400</v>
          </cell>
          <cell r="C435" t="str">
            <v>บานพับกระทุ้งสี่แขน 14 นิ้ว HUSZA</v>
          </cell>
          <cell r="D435" t="str">
            <v>N/A</v>
          </cell>
          <cell r="E435" t="str">
            <v>ลัง/50คู่</v>
          </cell>
          <cell r="G435">
            <v>69.393000000000001</v>
          </cell>
          <cell r="H435">
            <v>74.250510000000006</v>
          </cell>
          <cell r="J435">
            <v>88</v>
          </cell>
          <cell r="K435">
            <v>88</v>
          </cell>
          <cell r="L435">
            <v>90.5</v>
          </cell>
          <cell r="M435">
            <v>94</v>
          </cell>
          <cell r="N435">
            <v>100</v>
          </cell>
        </row>
        <row r="436">
          <cell r="B436" t="str">
            <v>E022080100H0001600</v>
          </cell>
          <cell r="C436" t="str">
            <v>บานพับกระทุ้งสี่แขน 16 นิ้ว HUSZA</v>
          </cell>
          <cell r="D436" t="str">
            <v>N/A</v>
          </cell>
          <cell r="E436" t="str">
            <v>ลัง/50คู่</v>
          </cell>
          <cell r="G436">
            <v>78.855000000000004</v>
          </cell>
          <cell r="H436">
            <v>84.374850000000009</v>
          </cell>
          <cell r="J436">
            <v>100</v>
          </cell>
          <cell r="K436">
            <v>100</v>
          </cell>
          <cell r="L436">
            <v>103</v>
          </cell>
          <cell r="M436">
            <v>108</v>
          </cell>
          <cell r="N436">
            <v>113</v>
          </cell>
        </row>
        <row r="437">
          <cell r="B437" t="str">
            <v>E022080100H0001800</v>
          </cell>
          <cell r="C437" t="str">
            <v>บานพับกระทุ้งสี่แขน 18 นิ้ว HUSZA</v>
          </cell>
          <cell r="D437" t="str">
            <v>N/A</v>
          </cell>
          <cell r="E437" t="str">
            <v>ลัง/50คู่</v>
          </cell>
          <cell r="G437">
            <v>99.882999999999996</v>
          </cell>
          <cell r="H437">
            <v>106.87481</v>
          </cell>
          <cell r="J437">
            <v>127</v>
          </cell>
          <cell r="K437">
            <v>127</v>
          </cell>
          <cell r="L437">
            <v>131</v>
          </cell>
          <cell r="M437">
            <v>135</v>
          </cell>
          <cell r="N437">
            <v>145</v>
          </cell>
        </row>
        <row r="438">
          <cell r="B438" t="str">
            <v>E022080100H0002000</v>
          </cell>
          <cell r="C438" t="str">
            <v>บานพับกระทุ้งสี่แขน 20 นิ้ว HUSZA</v>
          </cell>
          <cell r="D438" t="str">
            <v>N/A</v>
          </cell>
          <cell r="E438" t="str">
            <v>ลัง/50คู่</v>
          </cell>
          <cell r="G438">
            <v>112.15</v>
          </cell>
          <cell r="H438">
            <v>120.00050000000002</v>
          </cell>
          <cell r="J438">
            <v>142</v>
          </cell>
          <cell r="K438">
            <v>142</v>
          </cell>
          <cell r="L438">
            <v>147</v>
          </cell>
          <cell r="M438">
            <v>155</v>
          </cell>
          <cell r="N438">
            <v>160</v>
          </cell>
        </row>
        <row r="439">
          <cell r="B439" t="str">
            <v>E022080100H0002400</v>
          </cell>
          <cell r="C439" t="str">
            <v>บานพับกระทุ้งสี่แขน 24 นิ้ว HUSZA</v>
          </cell>
          <cell r="D439" t="str">
            <v>N/A</v>
          </cell>
          <cell r="E439" t="str">
            <v>ลัง/25คู่</v>
          </cell>
          <cell r="G439">
            <v>131.42500000000001</v>
          </cell>
          <cell r="H439">
            <v>140.62475000000003</v>
          </cell>
          <cell r="J439">
            <v>168</v>
          </cell>
          <cell r="K439">
            <v>168</v>
          </cell>
          <cell r="L439">
            <v>175</v>
          </cell>
          <cell r="M439">
            <v>180</v>
          </cell>
          <cell r="N439">
            <v>190</v>
          </cell>
        </row>
        <row r="440">
          <cell r="B440" t="str">
            <v>N/A</v>
          </cell>
          <cell r="C440" t="str">
            <v xml:space="preserve">บานพับกระทุ้งสี่แขน 6 นิ้ว HYDA #HD620                   </v>
          </cell>
          <cell r="D440" t="str">
            <v>N/A</v>
          </cell>
          <cell r="E440" t="str">
            <v>ลัง/25ชุด</v>
          </cell>
          <cell r="G440">
            <v>42.935000000000002</v>
          </cell>
          <cell r="H440">
            <v>45.940450000000006</v>
          </cell>
          <cell r="J440">
            <v>52</v>
          </cell>
          <cell r="K440">
            <v>52</v>
          </cell>
          <cell r="L440">
            <v>53</v>
          </cell>
          <cell r="M440">
            <v>55</v>
          </cell>
          <cell r="N440">
            <v>60</v>
          </cell>
        </row>
        <row r="441">
          <cell r="D441" t="str">
            <v>N/A</v>
          </cell>
          <cell r="E441" t="str">
            <v>ปลีก(ไม่ลงลัง)</v>
          </cell>
          <cell r="G441">
            <v>44.32</v>
          </cell>
          <cell r="H441">
            <v>47.422400000000003</v>
          </cell>
          <cell r="J441">
            <v>58</v>
          </cell>
          <cell r="K441">
            <v>58</v>
          </cell>
          <cell r="L441">
            <v>60</v>
          </cell>
          <cell r="M441">
            <v>62</v>
          </cell>
          <cell r="N441">
            <v>65</v>
          </cell>
        </row>
        <row r="442">
          <cell r="B442" t="str">
            <v>E004080100H6200800</v>
          </cell>
          <cell r="C442" t="str">
            <v xml:space="preserve">บานพับกระทุ้งสี่แขน 8 นิ้ว HYDA #HD620                   </v>
          </cell>
          <cell r="D442" t="str">
            <v>N/A</v>
          </cell>
          <cell r="E442" t="str">
            <v>ลัง/25ชุด</v>
          </cell>
          <cell r="G442">
            <v>47.74</v>
          </cell>
          <cell r="H442">
            <v>51.081800000000008</v>
          </cell>
          <cell r="J442">
            <v>55</v>
          </cell>
          <cell r="K442">
            <v>57</v>
          </cell>
          <cell r="L442">
            <v>58</v>
          </cell>
          <cell r="M442">
            <v>60</v>
          </cell>
          <cell r="N442">
            <v>63</v>
          </cell>
        </row>
        <row r="443">
          <cell r="D443" t="str">
            <v>N/A</v>
          </cell>
          <cell r="E443" t="str">
            <v>ปลีก(ไม่ลงลัง)</v>
          </cell>
          <cell r="G443">
            <v>49.28</v>
          </cell>
          <cell r="H443">
            <v>52.729600000000005</v>
          </cell>
          <cell r="J443">
            <v>60</v>
          </cell>
          <cell r="K443">
            <v>60</v>
          </cell>
          <cell r="L443">
            <v>63</v>
          </cell>
          <cell r="M443">
            <v>65</v>
          </cell>
          <cell r="N443">
            <v>70</v>
          </cell>
        </row>
        <row r="444">
          <cell r="B444" t="str">
            <v>E004080100H6201000</v>
          </cell>
          <cell r="C444" t="str">
            <v xml:space="preserve">บานพับกระทุ้งสี่แขน 10 นิ้ว HYDA #HD620               </v>
          </cell>
          <cell r="D444" t="str">
            <v>N/A</v>
          </cell>
          <cell r="E444" t="str">
            <v>ลัง/25ชุด</v>
          </cell>
          <cell r="G444">
            <v>53.63</v>
          </cell>
          <cell r="H444">
            <v>57.384100000000004</v>
          </cell>
          <cell r="J444">
            <v>63</v>
          </cell>
          <cell r="K444">
            <v>63</v>
          </cell>
          <cell r="L444">
            <v>65</v>
          </cell>
          <cell r="M444">
            <v>68</v>
          </cell>
          <cell r="N444">
            <v>72</v>
          </cell>
        </row>
        <row r="445">
          <cell r="D445" t="str">
            <v>N/A</v>
          </cell>
          <cell r="E445" t="str">
            <v>ปลีก(ไม่ลงลัง)</v>
          </cell>
          <cell r="G445">
            <v>55.36</v>
          </cell>
          <cell r="H445">
            <v>59.235200000000006</v>
          </cell>
          <cell r="J445">
            <v>65</v>
          </cell>
          <cell r="K445">
            <v>65</v>
          </cell>
          <cell r="L445">
            <v>68</v>
          </cell>
          <cell r="M445">
            <v>70</v>
          </cell>
          <cell r="N445">
            <v>75</v>
          </cell>
        </row>
        <row r="446">
          <cell r="B446" t="str">
            <v>E004080100H6201200</v>
          </cell>
          <cell r="C446" t="str">
            <v xml:space="preserve">บานพับกระทุ้งสี่แขน 12 นิ้ว HYDA #HD620                   </v>
          </cell>
          <cell r="D446" t="str">
            <v>N/A</v>
          </cell>
          <cell r="E446" t="str">
            <v>ลัง/25ชุด</v>
          </cell>
          <cell r="G446">
            <v>61.07</v>
          </cell>
          <cell r="H446">
            <v>65.34490000000001</v>
          </cell>
          <cell r="J446">
            <v>73</v>
          </cell>
          <cell r="K446">
            <v>73</v>
          </cell>
          <cell r="L446">
            <v>75</v>
          </cell>
          <cell r="M446">
            <v>78</v>
          </cell>
          <cell r="N446">
            <v>80</v>
          </cell>
        </row>
        <row r="447">
          <cell r="D447" t="str">
            <v>N/A</v>
          </cell>
          <cell r="E447" t="str">
            <v>ปลีก(ไม่ลงลัง)</v>
          </cell>
          <cell r="G447">
            <v>63.04</v>
          </cell>
          <cell r="H447">
            <v>67.452799999999996</v>
          </cell>
          <cell r="J447">
            <v>75</v>
          </cell>
          <cell r="K447">
            <v>75</v>
          </cell>
          <cell r="L447">
            <v>80</v>
          </cell>
          <cell r="M447">
            <v>83</v>
          </cell>
          <cell r="N447">
            <v>85</v>
          </cell>
        </row>
        <row r="448">
          <cell r="B448" t="str">
            <v>E004080100H6201400</v>
          </cell>
          <cell r="C448" t="str">
            <v xml:space="preserve">บานพับกระทุ้งสี่แขน 14 นิ้ว HYDA #HD620                </v>
          </cell>
          <cell r="D448" t="str">
            <v>N/A</v>
          </cell>
          <cell r="E448" t="str">
            <v>ลัง/25ชุด</v>
          </cell>
          <cell r="G448">
            <v>70.680000000000007</v>
          </cell>
          <cell r="H448">
            <v>75.627600000000015</v>
          </cell>
          <cell r="J448">
            <v>83</v>
          </cell>
          <cell r="K448">
            <v>85</v>
          </cell>
          <cell r="L448">
            <v>88</v>
          </cell>
          <cell r="M448">
            <v>95</v>
          </cell>
          <cell r="N448">
            <v>100</v>
          </cell>
        </row>
        <row r="449">
          <cell r="D449" t="str">
            <v>N/A</v>
          </cell>
          <cell r="E449" t="str">
            <v>ปลีก(ไม่ลงลัง)</v>
          </cell>
          <cell r="G449">
            <v>72.960000000000008</v>
          </cell>
          <cell r="H449">
            <v>78.067200000000014</v>
          </cell>
          <cell r="J449">
            <v>88</v>
          </cell>
          <cell r="K449">
            <v>88</v>
          </cell>
          <cell r="L449">
            <v>95</v>
          </cell>
          <cell r="M449">
            <v>100</v>
          </cell>
          <cell r="N449">
            <v>110</v>
          </cell>
        </row>
        <row r="450">
          <cell r="B450" t="str">
            <v>E004080100H6201600</v>
          </cell>
          <cell r="C450" t="str">
            <v xml:space="preserve">บานพับกระทุ้งสี่แขน 16 นิ้ว HYDA #HD620                    </v>
          </cell>
          <cell r="D450" t="str">
            <v>N/A</v>
          </cell>
          <cell r="E450" t="str">
            <v>ลัง/25ชุด</v>
          </cell>
          <cell r="G450">
            <v>79.36</v>
          </cell>
          <cell r="H450">
            <v>84.915199999999999</v>
          </cell>
          <cell r="J450">
            <v>93</v>
          </cell>
          <cell r="K450">
            <v>95</v>
          </cell>
          <cell r="L450">
            <v>98</v>
          </cell>
          <cell r="M450">
            <v>100</v>
          </cell>
          <cell r="N450">
            <v>108</v>
          </cell>
        </row>
        <row r="451">
          <cell r="D451" t="str">
            <v>N/A</v>
          </cell>
          <cell r="E451" t="str">
            <v>ปลีก(ไม่ลงลัง)</v>
          </cell>
          <cell r="G451">
            <v>81.92</v>
          </cell>
          <cell r="H451">
            <v>87.65440000000001</v>
          </cell>
          <cell r="J451">
            <v>97</v>
          </cell>
          <cell r="K451">
            <v>97</v>
          </cell>
          <cell r="L451">
            <v>100</v>
          </cell>
          <cell r="M451">
            <v>110</v>
          </cell>
          <cell r="N451">
            <v>115</v>
          </cell>
        </row>
        <row r="452">
          <cell r="B452" t="str">
            <v>E004080100H6201800</v>
          </cell>
          <cell r="C452" t="str">
            <v xml:space="preserve">บานพับกระทุ้งสี่แขน 18 นิ้ว HYDA #HD620                 </v>
          </cell>
          <cell r="D452" t="str">
            <v>N/A</v>
          </cell>
          <cell r="E452" t="str">
            <v>ลัง/25ชุด</v>
          </cell>
          <cell r="G452">
            <v>103.53999999999999</v>
          </cell>
          <cell r="H452">
            <v>110.7878</v>
          </cell>
          <cell r="J452">
            <v>123</v>
          </cell>
          <cell r="K452">
            <v>123</v>
          </cell>
          <cell r="L452">
            <v>125</v>
          </cell>
          <cell r="M452">
            <v>130</v>
          </cell>
          <cell r="N452">
            <v>140</v>
          </cell>
        </row>
        <row r="453">
          <cell r="D453" t="str">
            <v>N/A</v>
          </cell>
          <cell r="E453" t="str">
            <v>ปลีก(ไม่ลงลัง)</v>
          </cell>
          <cell r="G453">
            <v>106.88</v>
          </cell>
          <cell r="H453">
            <v>114.3616</v>
          </cell>
          <cell r="J453">
            <v>125</v>
          </cell>
          <cell r="K453">
            <v>125</v>
          </cell>
          <cell r="L453">
            <v>130</v>
          </cell>
          <cell r="M453">
            <v>135</v>
          </cell>
          <cell r="N453">
            <v>145</v>
          </cell>
        </row>
        <row r="454">
          <cell r="B454" t="str">
            <v>NAN0000-0603020</v>
          </cell>
          <cell r="C454" t="str">
            <v xml:space="preserve">บานพับกระทุ้งสี่แขน 20 นิ้ว HYDA #HD620                  </v>
          </cell>
          <cell r="D454" t="str">
            <v>N/A</v>
          </cell>
          <cell r="E454" t="str">
            <v>ลัง/25ชุด</v>
          </cell>
          <cell r="G454">
            <v>123.535</v>
          </cell>
          <cell r="H454">
            <v>132.18245000000002</v>
          </cell>
          <cell r="J454">
            <v>145</v>
          </cell>
          <cell r="K454">
            <v>145</v>
          </cell>
          <cell r="L454">
            <v>153</v>
          </cell>
          <cell r="M454">
            <v>155</v>
          </cell>
          <cell r="N454">
            <v>165</v>
          </cell>
        </row>
        <row r="455">
          <cell r="D455" t="str">
            <v>N/A</v>
          </cell>
          <cell r="E455" t="str">
            <v>ปลีก(ไม่ลงลัง)</v>
          </cell>
          <cell r="G455">
            <v>127.52</v>
          </cell>
          <cell r="H455">
            <v>136.44640000000001</v>
          </cell>
          <cell r="J455">
            <v>150</v>
          </cell>
          <cell r="K455">
            <v>150</v>
          </cell>
          <cell r="L455">
            <v>155</v>
          </cell>
          <cell r="M455">
            <v>160</v>
          </cell>
          <cell r="N455">
            <v>170</v>
          </cell>
        </row>
        <row r="456">
          <cell r="B456" t="str">
            <v>E004080100H6202400</v>
          </cell>
          <cell r="C456" t="str">
            <v xml:space="preserve">บานพับกระทุ้งสี่แขน 24 นิ้ว HYDA #HD620                  </v>
          </cell>
          <cell r="D456" t="str">
            <v>N/A</v>
          </cell>
          <cell r="E456" t="str">
            <v>ลัง/25ชุด</v>
          </cell>
          <cell r="G456">
            <v>187.24</v>
          </cell>
          <cell r="H456">
            <v>200.34680000000003</v>
          </cell>
          <cell r="J456">
            <v>210</v>
          </cell>
          <cell r="K456">
            <v>215</v>
          </cell>
          <cell r="L456">
            <v>225</v>
          </cell>
          <cell r="M456">
            <v>235</v>
          </cell>
          <cell r="N456">
            <v>250</v>
          </cell>
        </row>
        <row r="457">
          <cell r="D457" t="str">
            <v>N/A</v>
          </cell>
          <cell r="E457" t="str">
            <v>ปลีก(ไม่ลงลัง)</v>
          </cell>
          <cell r="G457">
            <v>193.28</v>
          </cell>
          <cell r="H457">
            <v>206.80960000000002</v>
          </cell>
          <cell r="J457">
            <v>215</v>
          </cell>
          <cell r="K457">
            <v>225</v>
          </cell>
          <cell r="L457">
            <v>235</v>
          </cell>
          <cell r="M457">
            <v>250</v>
          </cell>
          <cell r="N457">
            <v>265</v>
          </cell>
        </row>
        <row r="458">
          <cell r="B458" t="str">
            <v>E020080100H0000800</v>
          </cell>
          <cell r="C458" t="str">
            <v>บานพับบานกระทุ้ง 8นิ้ว DEE P</v>
          </cell>
          <cell r="D458" t="str">
            <v>N/A</v>
          </cell>
          <cell r="E458" t="str">
            <v>50/ลัง</v>
          </cell>
          <cell r="G458">
            <v>44</v>
          </cell>
          <cell r="H458">
            <v>47.080000000000005</v>
          </cell>
          <cell r="J458">
            <v>49.5</v>
          </cell>
          <cell r="K458">
            <v>49.5</v>
          </cell>
          <cell r="L458">
            <v>51</v>
          </cell>
          <cell r="M458">
            <v>53</v>
          </cell>
          <cell r="N458">
            <v>58</v>
          </cell>
        </row>
        <row r="459">
          <cell r="B459" t="str">
            <v>E020080100H0001000</v>
          </cell>
          <cell r="C459" t="str">
            <v>บานพับบานกระทุ้ง 10นิ้ว DEE P</v>
          </cell>
          <cell r="D459" t="str">
            <v>N/A</v>
          </cell>
          <cell r="E459" t="str">
            <v>50/ลัง</v>
          </cell>
          <cell r="G459">
            <v>55</v>
          </cell>
          <cell r="H459">
            <v>58.85</v>
          </cell>
          <cell r="J459">
            <v>62</v>
          </cell>
          <cell r="K459">
            <v>62</v>
          </cell>
          <cell r="L459">
            <v>64</v>
          </cell>
          <cell r="M459">
            <v>68</v>
          </cell>
          <cell r="N459">
            <v>70</v>
          </cell>
        </row>
        <row r="460">
          <cell r="B460" t="str">
            <v>E020080100H0001200</v>
          </cell>
          <cell r="C460" t="str">
            <v>บานพับบานกระทุ้ง 12นิ้ว DEE P</v>
          </cell>
          <cell r="D460" t="str">
            <v>N/A</v>
          </cell>
          <cell r="E460" t="str">
            <v>50/ลัง</v>
          </cell>
          <cell r="G460">
            <v>66</v>
          </cell>
          <cell r="H460">
            <v>70.62</v>
          </cell>
          <cell r="J460">
            <v>74</v>
          </cell>
          <cell r="K460">
            <v>74</v>
          </cell>
          <cell r="L460">
            <v>76</v>
          </cell>
          <cell r="M460">
            <v>79</v>
          </cell>
          <cell r="N460">
            <v>85</v>
          </cell>
        </row>
        <row r="461">
          <cell r="B461" t="str">
            <v>E020080100H0001400</v>
          </cell>
          <cell r="C461" t="str">
            <v>บานพับบานกระทุ้ง 14นิ้ว DEE P</v>
          </cell>
          <cell r="D461" t="str">
            <v>N/A</v>
          </cell>
          <cell r="E461" t="str">
            <v>50/ลัง</v>
          </cell>
          <cell r="G461">
            <v>77</v>
          </cell>
          <cell r="H461">
            <v>82.39</v>
          </cell>
          <cell r="J461">
            <v>86</v>
          </cell>
          <cell r="K461">
            <v>86</v>
          </cell>
          <cell r="L461">
            <v>89</v>
          </cell>
          <cell r="M461">
            <v>92</v>
          </cell>
          <cell r="N461">
            <v>98</v>
          </cell>
        </row>
        <row r="462">
          <cell r="B462" t="str">
            <v>E020080100H0001600</v>
          </cell>
          <cell r="C462" t="str">
            <v xml:space="preserve">บานพับบานกระทุ้ง 16นิ้ว DEE P </v>
          </cell>
          <cell r="D462" t="str">
            <v>N/A</v>
          </cell>
          <cell r="E462" t="str">
            <v>50/ลัง</v>
          </cell>
          <cell r="G462">
            <v>88</v>
          </cell>
          <cell r="H462">
            <v>94.160000000000011</v>
          </cell>
          <cell r="J462">
            <v>99</v>
          </cell>
          <cell r="K462">
            <v>99</v>
          </cell>
          <cell r="L462">
            <v>102</v>
          </cell>
          <cell r="M462">
            <v>105</v>
          </cell>
          <cell r="N462">
            <v>112</v>
          </cell>
        </row>
        <row r="463">
          <cell r="B463" t="str">
            <v>N/A</v>
          </cell>
          <cell r="C463" t="str">
            <v>บานพับบานกระทุ้ง 18นิ้ว DEE P</v>
          </cell>
          <cell r="D463" t="str">
            <v>N/A</v>
          </cell>
          <cell r="E463" t="str">
            <v>50/ลัง</v>
          </cell>
          <cell r="G463">
            <v>117</v>
          </cell>
          <cell r="H463">
            <v>125.19000000000001</v>
          </cell>
          <cell r="J463">
            <v>132</v>
          </cell>
          <cell r="K463">
            <v>132</v>
          </cell>
          <cell r="L463">
            <v>135</v>
          </cell>
          <cell r="M463">
            <v>140</v>
          </cell>
          <cell r="N463">
            <v>150</v>
          </cell>
        </row>
        <row r="464">
          <cell r="B464" t="str">
            <v>N/A</v>
          </cell>
          <cell r="C464" t="str">
            <v xml:space="preserve">บานพับบานกระทุ้ง 20นิ้ว DEE P </v>
          </cell>
          <cell r="D464" t="str">
            <v>N/A</v>
          </cell>
          <cell r="E464" t="str">
            <v>50/ลัง</v>
          </cell>
          <cell r="G464">
            <v>130</v>
          </cell>
          <cell r="H464">
            <v>139.1</v>
          </cell>
          <cell r="J464">
            <v>145</v>
          </cell>
          <cell r="K464">
            <v>145</v>
          </cell>
          <cell r="L464">
            <v>150</v>
          </cell>
          <cell r="M464">
            <v>155</v>
          </cell>
          <cell r="N464">
            <v>165</v>
          </cell>
        </row>
        <row r="465">
          <cell r="B465" t="str">
            <v>N/A</v>
          </cell>
          <cell r="C465" t="str">
            <v xml:space="preserve">บานพับบานกระทุ้ง 20นิ้ว DEE P </v>
          </cell>
          <cell r="D465" t="str">
            <v>N/A</v>
          </cell>
          <cell r="E465" t="str">
            <v>50/ลัง</v>
          </cell>
          <cell r="G465">
            <v>156</v>
          </cell>
          <cell r="H465">
            <v>166.92000000000002</v>
          </cell>
          <cell r="J465">
            <v>175</v>
          </cell>
          <cell r="K465">
            <v>175</v>
          </cell>
          <cell r="L465">
            <v>180</v>
          </cell>
          <cell r="M465">
            <v>190</v>
          </cell>
          <cell r="N465">
            <v>200</v>
          </cell>
        </row>
        <row r="466">
          <cell r="B466" t="str">
            <v>N/A</v>
          </cell>
          <cell r="C466" t="str">
            <v>บานพับบานกระทุ้ง 6" PBM                                       สินค้า Pre-Order</v>
          </cell>
          <cell r="D466" t="str">
            <v>N/A</v>
          </cell>
          <cell r="E466" t="str">
            <v>ลัง/50คู่</v>
          </cell>
          <cell r="G466">
            <v>40.654205607400002</v>
          </cell>
          <cell r="H466">
            <v>43.499999999918003</v>
          </cell>
          <cell r="J466">
            <v>45.5</v>
          </cell>
          <cell r="K466">
            <v>45.5</v>
          </cell>
          <cell r="L466">
            <v>47</v>
          </cell>
          <cell r="M466">
            <v>49</v>
          </cell>
          <cell r="N466">
            <v>52</v>
          </cell>
        </row>
        <row r="467">
          <cell r="B467" t="str">
            <v>N/A</v>
          </cell>
          <cell r="C467" t="str">
            <v>บานพับบานกระทุ้ง 8" PBM                                       สินค้า Pre-Order</v>
          </cell>
          <cell r="D467" t="str">
            <v>N/A</v>
          </cell>
          <cell r="E467" t="str">
            <v>ลัง/50คู่</v>
          </cell>
          <cell r="G467">
            <v>48.598199999999999</v>
          </cell>
          <cell r="H467">
            <v>52.000073999999998</v>
          </cell>
          <cell r="J467">
            <v>54.5</v>
          </cell>
          <cell r="K467">
            <v>54.5</v>
          </cell>
          <cell r="L467">
            <v>56</v>
          </cell>
          <cell r="M467">
            <v>58</v>
          </cell>
          <cell r="N467">
            <v>62</v>
          </cell>
        </row>
        <row r="468">
          <cell r="C468" t="str">
            <v>บานพับบานกระทุ้ง 8" PBM                                       สินค้า Pre-Order</v>
          </cell>
          <cell r="E468" t="str">
            <v>ปลีก</v>
          </cell>
          <cell r="G468">
            <v>56.074800000000003</v>
          </cell>
          <cell r="H468">
            <v>60.000036000000009</v>
          </cell>
          <cell r="J468">
            <v>62.5</v>
          </cell>
          <cell r="K468">
            <v>62.5</v>
          </cell>
          <cell r="L468">
            <v>65</v>
          </cell>
          <cell r="M468">
            <v>68</v>
          </cell>
          <cell r="N468">
            <v>72</v>
          </cell>
        </row>
        <row r="469">
          <cell r="B469" t="str">
            <v>N/A</v>
          </cell>
          <cell r="C469" t="str">
            <v>บานพับบานกระทุ้ง 10" PBM                                     สินค้า Pre-Order</v>
          </cell>
          <cell r="D469" t="str">
            <v>N/A</v>
          </cell>
          <cell r="E469" t="str">
            <v>ลัง/50คู่</v>
          </cell>
          <cell r="G469">
            <v>60.747700000000002</v>
          </cell>
          <cell r="H469">
            <v>65.000039000000001</v>
          </cell>
          <cell r="J469">
            <v>68</v>
          </cell>
          <cell r="K469">
            <v>68</v>
          </cell>
          <cell r="L469">
            <v>70</v>
          </cell>
          <cell r="M469">
            <v>73</v>
          </cell>
          <cell r="N469">
            <v>78</v>
          </cell>
        </row>
        <row r="470">
          <cell r="B470" t="str">
            <v>N/A</v>
          </cell>
          <cell r="C470" t="str">
            <v>บานพับบานกระทุ้ง 12" PBM                                     สินค้า Pre-Order</v>
          </cell>
          <cell r="D470" t="str">
            <v>N/A</v>
          </cell>
          <cell r="E470" t="str">
            <v>ลัง/50คู่</v>
          </cell>
          <cell r="G470">
            <v>72.897199999999998</v>
          </cell>
          <cell r="H470">
            <v>78.000004000000004</v>
          </cell>
          <cell r="J470">
            <v>81.5</v>
          </cell>
          <cell r="K470">
            <v>81.5</v>
          </cell>
          <cell r="L470">
            <v>84</v>
          </cell>
          <cell r="M470">
            <v>88</v>
          </cell>
          <cell r="N470">
            <v>92</v>
          </cell>
        </row>
        <row r="471">
          <cell r="C471" t="str">
            <v>บานพับบานกระทุ้ง 12" PBM                                     สินค้า Pre-Order</v>
          </cell>
          <cell r="E471" t="str">
            <v>ปลีก</v>
          </cell>
          <cell r="G471">
            <v>84.112200000000001</v>
          </cell>
          <cell r="H471">
            <v>90.000054000000006</v>
          </cell>
          <cell r="J471">
            <v>94</v>
          </cell>
          <cell r="K471">
            <v>94</v>
          </cell>
          <cell r="L471">
            <v>97</v>
          </cell>
          <cell r="M471">
            <v>100</v>
          </cell>
          <cell r="N471">
            <v>110</v>
          </cell>
        </row>
        <row r="472">
          <cell r="B472" t="str">
            <v>N/A</v>
          </cell>
          <cell r="C472" t="str">
            <v>บานพับบานกระทุ้ง 14" PBM                                      สินค้า Pre-Order</v>
          </cell>
          <cell r="D472" t="str">
            <v>N/A</v>
          </cell>
          <cell r="E472" t="str">
            <v>ลัง/50คู่</v>
          </cell>
          <cell r="G472">
            <v>85.046800000000005</v>
          </cell>
          <cell r="H472">
            <v>91.000076000000007</v>
          </cell>
          <cell r="J472">
            <v>95</v>
          </cell>
          <cell r="K472">
            <v>95</v>
          </cell>
          <cell r="L472">
            <v>98</v>
          </cell>
          <cell r="M472">
            <v>102</v>
          </cell>
          <cell r="N472">
            <v>108</v>
          </cell>
        </row>
        <row r="473">
          <cell r="B473" t="str">
            <v>N/A</v>
          </cell>
          <cell r="C473" t="str">
            <v>บานพับบานกระทุ้ง 16" PBM                                       สินค้า Pre-Order</v>
          </cell>
          <cell r="D473" t="str">
            <v>N/A</v>
          </cell>
          <cell r="E473" t="str">
            <v>ลัง/50คู่</v>
          </cell>
          <cell r="G473">
            <v>97.196299999999994</v>
          </cell>
          <cell r="H473">
            <v>104.000041</v>
          </cell>
          <cell r="J473">
            <v>109</v>
          </cell>
          <cell r="K473">
            <v>109</v>
          </cell>
          <cell r="L473">
            <v>112</v>
          </cell>
          <cell r="M473">
            <v>116</v>
          </cell>
          <cell r="N473">
            <v>123</v>
          </cell>
        </row>
        <row r="474">
          <cell r="B474" t="str">
            <v>N/A</v>
          </cell>
          <cell r="C474" t="str">
            <v>บานพับบานกระทุ้ง 18" PBM                                      สินค้า Pre-Order</v>
          </cell>
          <cell r="D474" t="str">
            <v>N/A</v>
          </cell>
          <cell r="E474" t="str">
            <v>ลัง/25คู่</v>
          </cell>
          <cell r="G474">
            <v>121.9627</v>
          </cell>
          <cell r="H474">
            <v>130.500089</v>
          </cell>
          <cell r="J474">
            <v>136</v>
          </cell>
          <cell r="K474">
            <v>136</v>
          </cell>
          <cell r="L474">
            <v>142</v>
          </cell>
          <cell r="M474">
            <v>145</v>
          </cell>
          <cell r="N474">
            <v>155</v>
          </cell>
        </row>
        <row r="475">
          <cell r="B475" t="str">
            <v>N/A</v>
          </cell>
          <cell r="C475" t="str">
            <v>บานพับบานกระทุ้ง 20" PBM                                      สินค้า Pre-Order</v>
          </cell>
          <cell r="D475" t="str">
            <v>N/A</v>
          </cell>
          <cell r="E475" t="str">
            <v>ลัง/25คู่</v>
          </cell>
          <cell r="G475">
            <v>135.51410000000001</v>
          </cell>
          <cell r="H475">
            <v>145.00008700000004</v>
          </cell>
          <cell r="J475">
            <v>152</v>
          </cell>
          <cell r="K475">
            <v>152</v>
          </cell>
          <cell r="L475">
            <v>156</v>
          </cell>
          <cell r="M475">
            <v>162</v>
          </cell>
          <cell r="N475">
            <v>172</v>
          </cell>
        </row>
        <row r="476">
          <cell r="B476" t="str">
            <v>N/A</v>
          </cell>
          <cell r="C476" t="str">
            <v>บานพับบานกระทุ้ง 22" PBM                                      สินค้า Pre-Order</v>
          </cell>
          <cell r="D476" t="str">
            <v>N/A</v>
          </cell>
          <cell r="E476" t="str">
            <v>ลัง/25คู่</v>
          </cell>
          <cell r="G476">
            <v>159.3458</v>
          </cell>
          <cell r="H476">
            <v>170.50000600000001</v>
          </cell>
          <cell r="J476">
            <v>178</v>
          </cell>
          <cell r="K476">
            <v>178</v>
          </cell>
          <cell r="L476">
            <v>184</v>
          </cell>
          <cell r="M476">
            <v>190</v>
          </cell>
          <cell r="N476">
            <v>200</v>
          </cell>
        </row>
        <row r="477">
          <cell r="B477" t="str">
            <v>N/A</v>
          </cell>
          <cell r="C477" t="str">
            <v>บานพับบานกระทุ้ง 24" PBM                                      สินค้า Pre-Order</v>
          </cell>
          <cell r="D477" t="str">
            <v>N/A</v>
          </cell>
          <cell r="E477" t="str">
            <v>ลัง/25คู่</v>
          </cell>
          <cell r="G477">
            <v>173.83179999999999</v>
          </cell>
          <cell r="H477">
            <v>186.00002599999999</v>
          </cell>
          <cell r="J477">
            <v>194</v>
          </cell>
          <cell r="K477">
            <v>194</v>
          </cell>
          <cell r="L477">
            <v>200</v>
          </cell>
          <cell r="M477">
            <v>208</v>
          </cell>
          <cell r="N477">
            <v>220</v>
          </cell>
        </row>
        <row r="478">
          <cell r="B478" t="str">
            <v>รหัส</v>
          </cell>
          <cell r="C478" t="str">
            <v>บานพับอื่นๆ/แขนค้ำบานเปิด</v>
          </cell>
          <cell r="D478" t="str">
            <v>สี</v>
          </cell>
          <cell r="E478" t="str">
            <v>บรรจุ</v>
          </cell>
          <cell r="F478" t="str">
            <v>ราคาตั้ง</v>
          </cell>
          <cell r="G478" t="str">
            <v>ทุน
ก่อน VAT</v>
          </cell>
          <cell r="H478" t="str">
            <v>ทุน
รวม VAT</v>
          </cell>
          <cell r="J478" t="str">
            <v>SDM</v>
          </cell>
          <cell r="K478" t="str">
            <v>W1</v>
          </cell>
          <cell r="L478" t="str">
            <v>W2</v>
          </cell>
          <cell r="M478" t="str">
            <v>R1</v>
          </cell>
          <cell r="N478" t="str">
            <v>R2</v>
          </cell>
        </row>
        <row r="479">
          <cell r="B479" t="str">
            <v>N/A</v>
          </cell>
          <cell r="C479" t="str">
            <v>แขนค้ำบานเปิด Support Arm 8นิ้ว</v>
          </cell>
          <cell r="D479" t="str">
            <v>SUS</v>
          </cell>
          <cell r="E479" t="str">
            <v>50คู่/ลัง</v>
          </cell>
          <cell r="G479">
            <v>196.26169999999999</v>
          </cell>
          <cell r="H479">
            <v>210.00001900000001</v>
          </cell>
          <cell r="J479">
            <v>220</v>
          </cell>
          <cell r="K479">
            <v>220</v>
          </cell>
          <cell r="L479">
            <v>230</v>
          </cell>
          <cell r="M479">
            <v>235</v>
          </cell>
          <cell r="N479">
            <v>250</v>
          </cell>
        </row>
        <row r="480">
          <cell r="B480" t="str">
            <v>N/A</v>
          </cell>
          <cell r="C480" t="str">
            <v>แขนค้ำบานเปิด Support Arm 10นิ้ว</v>
          </cell>
          <cell r="D480" t="str">
            <v>SUS</v>
          </cell>
          <cell r="E480" t="str">
            <v>50คู่/ลัง</v>
          </cell>
          <cell r="G480">
            <v>238.31780000000001</v>
          </cell>
          <cell r="H480">
            <v>255.00004600000003</v>
          </cell>
          <cell r="J480">
            <v>270</v>
          </cell>
          <cell r="K480">
            <v>270</v>
          </cell>
          <cell r="L480">
            <v>275</v>
          </cell>
          <cell r="M480">
            <v>285</v>
          </cell>
          <cell r="N480">
            <v>300</v>
          </cell>
        </row>
        <row r="481">
          <cell r="B481" t="str">
            <v>N/A</v>
          </cell>
          <cell r="C481" t="str">
            <v>แขนค้ำบานเปิด Support Arm 12นิ้ว</v>
          </cell>
          <cell r="D481" t="str">
            <v>SUS</v>
          </cell>
          <cell r="E481" t="str">
            <v>50คู่/ลัง</v>
          </cell>
          <cell r="G481">
            <v>266.35509999999999</v>
          </cell>
          <cell r="H481">
            <v>284.99995699999999</v>
          </cell>
          <cell r="J481">
            <v>300</v>
          </cell>
          <cell r="K481">
            <v>300</v>
          </cell>
          <cell r="L481">
            <v>310</v>
          </cell>
          <cell r="M481">
            <v>320</v>
          </cell>
          <cell r="N481">
            <v>340</v>
          </cell>
        </row>
        <row r="482">
          <cell r="B482" t="str">
            <v>N/A</v>
          </cell>
          <cell r="C482" t="str">
            <v>บานพับหน้าต่างมุ้ง วิกโก้ ข้างซ้าย สีอลูมิเนียม</v>
          </cell>
          <cell r="D482" t="str">
            <v>ขาวอลู</v>
          </cell>
          <cell r="E482" t="str">
            <v>ถุง/200ตัว</v>
          </cell>
          <cell r="G482">
            <v>3.4953271028000001</v>
          </cell>
          <cell r="H482">
            <v>3.7399999999960003</v>
          </cell>
          <cell r="J482">
            <v>4</v>
          </cell>
          <cell r="K482">
            <v>4</v>
          </cell>
          <cell r="L482">
            <v>4.25</v>
          </cell>
          <cell r="M482">
            <v>4.5</v>
          </cell>
          <cell r="N482">
            <v>5</v>
          </cell>
        </row>
        <row r="483">
          <cell r="B483" t="str">
            <v>N/A</v>
          </cell>
          <cell r="C483" t="str">
            <v xml:space="preserve">                "                   ข้างซ้าย สีดำ/ชา/อบขาว</v>
          </cell>
          <cell r="D483" t="str">
            <v>ชา/ดำ/อบขาว</v>
          </cell>
          <cell r="E483" t="str">
            <v>ถุง/200ตัว</v>
          </cell>
          <cell r="G483">
            <v>4.6869158878499997</v>
          </cell>
          <cell r="H483">
            <v>5.0149999999994996</v>
          </cell>
          <cell r="J483">
            <v>5.25</v>
          </cell>
          <cell r="K483">
            <v>5.25</v>
          </cell>
          <cell r="L483">
            <v>5.5</v>
          </cell>
          <cell r="M483">
            <v>6</v>
          </cell>
          <cell r="N483">
            <v>6.5</v>
          </cell>
        </row>
        <row r="484">
          <cell r="B484" t="str">
            <v>N/A</v>
          </cell>
          <cell r="C484" t="str">
            <v>บานพับหน้าต่างมุ้ง วิกโก้ ข้างขวา สีอลูมิเนียม</v>
          </cell>
          <cell r="D484" t="str">
            <v>ขาวอลู</v>
          </cell>
          <cell r="E484" t="str">
            <v>ถุง/200ตัว</v>
          </cell>
          <cell r="G484">
            <v>3.4953271028000001</v>
          </cell>
          <cell r="H484">
            <v>3.7399999999960003</v>
          </cell>
          <cell r="J484">
            <v>4</v>
          </cell>
          <cell r="K484">
            <v>4</v>
          </cell>
          <cell r="L484">
            <v>4.25</v>
          </cell>
          <cell r="M484">
            <v>4.5</v>
          </cell>
          <cell r="N484">
            <v>5</v>
          </cell>
        </row>
        <row r="485">
          <cell r="B485" t="str">
            <v>N/A</v>
          </cell>
          <cell r="C485" t="str">
            <v xml:space="preserve">                 "                 ข้างขวา สีดำ/ชา/อบขาว</v>
          </cell>
          <cell r="D485" t="str">
            <v>ชา/ดำ/อบขาว</v>
          </cell>
          <cell r="E485" t="str">
            <v>ถุง/200ตัว</v>
          </cell>
          <cell r="G485">
            <v>4.6869158878499997</v>
          </cell>
          <cell r="H485">
            <v>5.0149999999994996</v>
          </cell>
          <cell r="J485">
            <v>5.25</v>
          </cell>
          <cell r="K485">
            <v>5.25</v>
          </cell>
          <cell r="L485">
            <v>5.5</v>
          </cell>
          <cell r="M485">
            <v>6</v>
          </cell>
          <cell r="N485">
            <v>6.5</v>
          </cell>
        </row>
        <row r="486">
          <cell r="B486" t="str">
            <v>รหัส</v>
          </cell>
          <cell r="C486" t="str">
            <v>รายการ (อุปกรณ์งานมุ้ง)</v>
          </cell>
          <cell r="D486" t="str">
            <v>สี</v>
          </cell>
          <cell r="E486" t="str">
            <v>บรรจุ</v>
          </cell>
          <cell r="F486" t="str">
            <v>ราคาตั้ง</v>
          </cell>
          <cell r="G486" t="str">
            <v>ทุน
ก่อน VAT</v>
          </cell>
          <cell r="H486" t="str">
            <v>ทุน
รวม VAT</v>
          </cell>
          <cell r="J486" t="str">
            <v>SDM</v>
          </cell>
          <cell r="K486" t="str">
            <v>W1</v>
          </cell>
          <cell r="L486" t="str">
            <v>W2</v>
          </cell>
          <cell r="M486" t="str">
            <v>R1</v>
          </cell>
          <cell r="N486" t="str">
            <v>R2</v>
          </cell>
        </row>
        <row r="487">
          <cell r="B487" t="str">
            <v>E014090900I5000000</v>
          </cell>
          <cell r="C487" t="str">
            <v>ลูกกลิ้งอัดมุ้ง Geton</v>
          </cell>
          <cell r="D487" t="str">
            <v>ทุกสี</v>
          </cell>
          <cell r="E487" t="str">
            <v>ขั้นต่ำ100ตัว (ถุงละ1ตัว)</v>
          </cell>
          <cell r="G487">
            <v>43</v>
          </cell>
          <cell r="H487">
            <v>46.010000000000005</v>
          </cell>
          <cell r="J487">
            <v>48</v>
          </cell>
          <cell r="K487">
            <v>50</v>
          </cell>
          <cell r="L487">
            <v>53</v>
          </cell>
          <cell r="M487">
            <v>55</v>
          </cell>
          <cell r="N487">
            <v>60</v>
          </cell>
        </row>
        <row r="488">
          <cell r="B488" t="str">
            <v>E028090901I2200000</v>
          </cell>
          <cell r="C488" t="str">
            <v>ก้ามปูสี่เหลี่ยม</v>
          </cell>
          <cell r="D488" t="str">
            <v>ทุกสี</v>
          </cell>
          <cell r="E488" t="str">
            <v>5โหล/กล่อง</v>
          </cell>
          <cell r="G488">
            <v>5.43</v>
          </cell>
          <cell r="H488">
            <v>5.8101000000000003</v>
          </cell>
          <cell r="J488">
            <v>6.25</v>
          </cell>
          <cell r="K488">
            <v>6.25</v>
          </cell>
          <cell r="L488">
            <v>6.5</v>
          </cell>
          <cell r="M488">
            <v>6.75</v>
          </cell>
          <cell r="N488">
            <v>7</v>
          </cell>
        </row>
        <row r="489">
          <cell r="B489" t="str">
            <v>N/A</v>
          </cell>
          <cell r="C489" t="str">
            <v xml:space="preserve">ลูกบิดหางปลา          (รหัสเพื่อซื้อ)                             </v>
          </cell>
          <cell r="D489" t="str">
            <v>ถุงใหญ่ 1000ตัว</v>
          </cell>
          <cell r="E489" t="str">
            <v>ถุงละ 1000ตัว</v>
          </cell>
          <cell r="G489">
            <v>133.08420000000001</v>
          </cell>
          <cell r="H489">
            <v>142.40009400000002</v>
          </cell>
          <cell r="J489">
            <v>150</v>
          </cell>
          <cell r="K489">
            <v>155</v>
          </cell>
          <cell r="L489">
            <v>160</v>
          </cell>
          <cell r="M489">
            <v>170</v>
          </cell>
          <cell r="N489">
            <v>180</v>
          </cell>
        </row>
        <row r="490">
          <cell r="B490" t="str">
            <v>N/A</v>
          </cell>
          <cell r="C490" t="str">
            <v xml:space="preserve">ลูกบิดหางปลา                              </v>
          </cell>
          <cell r="D490" t="str">
            <v>ทุกสี -ชา/ดำ/ใส (ราคา/แพ๊ค)</v>
          </cell>
          <cell r="E490" t="str">
            <v>Re-pack ถุงละ 100ตัว</v>
          </cell>
          <cell r="G490">
            <v>13.308</v>
          </cell>
          <cell r="H490">
            <v>14.239560000000001</v>
          </cell>
          <cell r="J490">
            <v>15</v>
          </cell>
          <cell r="K490">
            <v>16</v>
          </cell>
          <cell r="L490">
            <v>18</v>
          </cell>
          <cell r="M490">
            <v>20</v>
          </cell>
          <cell r="N490">
            <v>25</v>
          </cell>
        </row>
        <row r="491">
          <cell r="B491" t="str">
            <v>NAN0011-0505000</v>
          </cell>
          <cell r="C491" t="str">
            <v xml:space="preserve">ก้ามปูแม่เหล็ก (ใหญ่) </v>
          </cell>
          <cell r="D491" t="str">
            <v>ชา / อบขาว</v>
          </cell>
          <cell r="E491" t="str">
            <v>ลัง/50กล่อง/12ตัว</v>
          </cell>
          <cell r="G491">
            <v>8.76</v>
          </cell>
          <cell r="H491">
            <v>9.3732000000000006</v>
          </cell>
          <cell r="J491">
            <v>10</v>
          </cell>
          <cell r="K491">
            <v>10</v>
          </cell>
          <cell r="L491">
            <v>10.25</v>
          </cell>
          <cell r="M491">
            <v>10.5</v>
          </cell>
          <cell r="N491">
            <v>11</v>
          </cell>
        </row>
        <row r="492">
          <cell r="B492" t="str">
            <v>E079090904I2100100</v>
          </cell>
          <cell r="C492" t="str">
            <v>ก้ามปูแม่เหล็ก (เล็ก) สีอบขาว</v>
          </cell>
          <cell r="D492" t="str">
            <v>อบขาว</v>
          </cell>
          <cell r="E492" t="str">
            <v>ลัง/20กล่อง/24ตัว</v>
          </cell>
          <cell r="G492">
            <v>5.61</v>
          </cell>
          <cell r="H492">
            <v>6.0027000000000008</v>
          </cell>
          <cell r="J492">
            <v>6.5</v>
          </cell>
          <cell r="K492">
            <v>6.5</v>
          </cell>
          <cell r="L492">
            <v>6.75</v>
          </cell>
          <cell r="M492">
            <v>7</v>
          </cell>
          <cell r="N492">
            <v>8</v>
          </cell>
        </row>
        <row r="493">
          <cell r="B493" t="str">
            <v>E077090902I2100100</v>
          </cell>
          <cell r="C493" t="str">
            <v>ก้ามปูแม่เหล็ก (เล็ก) สีชา</v>
          </cell>
          <cell r="D493" t="str">
            <v>ชา</v>
          </cell>
          <cell r="E493" t="str">
            <v>ลัง/50กล่อง/24ตัว</v>
          </cell>
          <cell r="G493">
            <v>5.61</v>
          </cell>
          <cell r="H493">
            <v>6.0027000000000008</v>
          </cell>
          <cell r="J493">
            <v>6.5</v>
          </cell>
          <cell r="K493">
            <v>6.5</v>
          </cell>
          <cell r="L493">
            <v>6.75</v>
          </cell>
          <cell r="M493">
            <v>7</v>
          </cell>
          <cell r="N493">
            <v>8</v>
          </cell>
        </row>
        <row r="494">
          <cell r="B494" t="str">
            <v>E015090903I6100000</v>
          </cell>
          <cell r="C494" t="str">
            <v>มือจับมุ้งแม่เหล็ก บานเดี่ยว สีดำ</v>
          </cell>
          <cell r="D494" t="str">
            <v>ดำ</v>
          </cell>
          <cell r="E494" t="str">
            <v>100ชุด/ลัง</v>
          </cell>
          <cell r="G494">
            <v>10.51</v>
          </cell>
          <cell r="H494">
            <v>11.245700000000001</v>
          </cell>
          <cell r="J494">
            <v>13.25</v>
          </cell>
          <cell r="K494">
            <v>13.25</v>
          </cell>
          <cell r="L494">
            <v>13.75</v>
          </cell>
          <cell r="M494">
            <v>14</v>
          </cell>
          <cell r="N494">
            <v>15</v>
          </cell>
        </row>
        <row r="495">
          <cell r="B495" t="str">
            <v>E015090904I6100000</v>
          </cell>
          <cell r="C495" t="str">
            <v>มือจับมุ้งแม่เหล็ก บานเดี่ยว สีอบขาว</v>
          </cell>
          <cell r="D495" t="str">
            <v>อบขาว</v>
          </cell>
          <cell r="E495" t="str">
            <v>100ชุด/ลัง</v>
          </cell>
          <cell r="G495">
            <v>11.35</v>
          </cell>
          <cell r="H495">
            <v>12.144500000000001</v>
          </cell>
          <cell r="J495">
            <v>14.25</v>
          </cell>
          <cell r="K495">
            <v>14.25</v>
          </cell>
          <cell r="L495">
            <v>14.75</v>
          </cell>
          <cell r="M495">
            <v>15</v>
          </cell>
          <cell r="N495">
            <v>16</v>
          </cell>
        </row>
        <row r="496">
          <cell r="B496" t="str">
            <v>E015090903I6200000</v>
          </cell>
          <cell r="C496" t="str">
            <v>มือจับมุ้งแม่เหล็ก บานคู่ สีดำ</v>
          </cell>
          <cell r="D496" t="str">
            <v>ดำ</v>
          </cell>
          <cell r="E496" t="str">
            <v>50ชุด/ลัง</v>
          </cell>
          <cell r="G496">
            <v>12.61</v>
          </cell>
          <cell r="H496">
            <v>13.492700000000001</v>
          </cell>
          <cell r="J496">
            <v>17</v>
          </cell>
          <cell r="K496">
            <v>17</v>
          </cell>
          <cell r="L496">
            <v>17.5</v>
          </cell>
          <cell r="M496">
            <v>18</v>
          </cell>
          <cell r="N496">
            <v>19.5</v>
          </cell>
        </row>
        <row r="497">
          <cell r="B497" t="str">
            <v>E015090904I6200000</v>
          </cell>
          <cell r="C497" t="str">
            <v>มือจับมุ้งแม่เหล็ก บานคู่ สีอบขาว</v>
          </cell>
          <cell r="D497" t="str">
            <v>อบขาว</v>
          </cell>
          <cell r="E497" t="str">
            <v>50ชุด/ลัง</v>
          </cell>
          <cell r="G497">
            <v>14.29</v>
          </cell>
          <cell r="H497">
            <v>15.2903</v>
          </cell>
          <cell r="J497">
            <v>18</v>
          </cell>
          <cell r="K497">
            <v>18</v>
          </cell>
          <cell r="L497">
            <v>18.5</v>
          </cell>
          <cell r="M497">
            <v>19</v>
          </cell>
          <cell r="N497">
            <v>20.5</v>
          </cell>
        </row>
        <row r="498">
          <cell r="B498" t="str">
            <v>N/A</v>
          </cell>
          <cell r="C498" t="str">
            <v>มือจับมุ้งแม่เหล็ก บานเดี่ยว สีดำ HYDA              (Pre-order)</v>
          </cell>
          <cell r="D498" t="str">
            <v>ดำ</v>
          </cell>
          <cell r="E498" t="str">
            <v>200ชุด/ลัง</v>
          </cell>
          <cell r="G498">
            <v>11.5</v>
          </cell>
          <cell r="H498">
            <v>12.305000000000001</v>
          </cell>
          <cell r="J498">
            <v>13</v>
          </cell>
          <cell r="K498">
            <v>13</v>
          </cell>
          <cell r="L498">
            <v>13.5</v>
          </cell>
          <cell r="M498">
            <v>13.75</v>
          </cell>
          <cell r="N498">
            <v>14.5</v>
          </cell>
        </row>
        <row r="499">
          <cell r="B499" t="str">
            <v>N/A</v>
          </cell>
          <cell r="C499" t="str">
            <v>มือจับมุ้งแม่เหล็ก บานเดี่ยว สีอบขาว HYDA        (Pre-order)</v>
          </cell>
          <cell r="D499" t="str">
            <v>อบขาว</v>
          </cell>
          <cell r="E499" t="str">
            <v>200ชุด/ลัง</v>
          </cell>
          <cell r="G499">
            <v>12.25</v>
          </cell>
          <cell r="H499">
            <v>13.1075</v>
          </cell>
          <cell r="J499">
            <v>13.75</v>
          </cell>
          <cell r="K499">
            <v>13.75</v>
          </cell>
          <cell r="L499">
            <v>14.25</v>
          </cell>
          <cell r="M499">
            <v>14.75</v>
          </cell>
          <cell r="N499">
            <v>15.5</v>
          </cell>
        </row>
        <row r="500">
          <cell r="B500" t="str">
            <v>N/A</v>
          </cell>
          <cell r="C500" t="str">
            <v>มือจับมุ้งแม่เหล็ก บานคู่ สีดำ HYDA                   (Pre-order)</v>
          </cell>
          <cell r="D500" t="str">
            <v>ดำ</v>
          </cell>
          <cell r="E500" t="str">
            <v>100ชุด/ลัง</v>
          </cell>
          <cell r="G500">
            <v>13.25</v>
          </cell>
          <cell r="H500">
            <v>14.1775</v>
          </cell>
          <cell r="J500">
            <v>15</v>
          </cell>
          <cell r="K500">
            <v>15</v>
          </cell>
          <cell r="L500">
            <v>15.25</v>
          </cell>
          <cell r="M500">
            <v>15.75</v>
          </cell>
          <cell r="N500">
            <v>17</v>
          </cell>
        </row>
        <row r="501">
          <cell r="B501" t="str">
            <v>N/A</v>
          </cell>
          <cell r="C501" t="str">
            <v>มือจับมุ้งแม่เหล็ก บานคู่ สีอบขาว HYDA             (Pre-order)</v>
          </cell>
          <cell r="D501" t="str">
            <v>อบขาว</v>
          </cell>
          <cell r="E501" t="str">
            <v>100ชุด/ลัง</v>
          </cell>
          <cell r="G501">
            <v>14.75</v>
          </cell>
          <cell r="H501">
            <v>15.782500000000001</v>
          </cell>
          <cell r="J501">
            <v>16.5</v>
          </cell>
          <cell r="K501">
            <v>16.5</v>
          </cell>
          <cell r="L501">
            <v>17</v>
          </cell>
          <cell r="M501">
            <v>17.75</v>
          </cell>
          <cell r="N501">
            <v>18.5</v>
          </cell>
        </row>
        <row r="502">
          <cell r="B502" t="str">
            <v>E015090903I7100000</v>
          </cell>
          <cell r="C502" t="str">
            <v>แผ่นมือจับมุ้ง สีดำ</v>
          </cell>
          <cell r="D502" t="str">
            <v>ดำ</v>
          </cell>
          <cell r="E502" t="str">
            <v>ลัง/300แผ่น</v>
          </cell>
          <cell r="G502">
            <v>1.68</v>
          </cell>
          <cell r="H502">
            <v>1.7976000000000001</v>
          </cell>
          <cell r="J502">
            <v>2.4</v>
          </cell>
          <cell r="K502">
            <v>2.4</v>
          </cell>
          <cell r="L502">
            <v>2.4500000000000002</v>
          </cell>
          <cell r="M502">
            <v>2.5</v>
          </cell>
          <cell r="N502">
            <v>2.75</v>
          </cell>
        </row>
        <row r="503">
          <cell r="B503" t="str">
            <v>E015090904I7100000</v>
          </cell>
          <cell r="C503" t="str">
            <v>แผ่นมือจับมุ้ง สีอบขาว</v>
          </cell>
          <cell r="D503" t="str">
            <v>อบบขาว</v>
          </cell>
          <cell r="E503" t="str">
            <v>ลัง/300แผ่น</v>
          </cell>
          <cell r="G503">
            <v>2.1</v>
          </cell>
          <cell r="H503">
            <v>2.2470000000000003</v>
          </cell>
          <cell r="J503">
            <v>3.1</v>
          </cell>
          <cell r="K503">
            <v>3.1</v>
          </cell>
          <cell r="L503">
            <v>3.15</v>
          </cell>
          <cell r="M503">
            <v>3.25</v>
          </cell>
          <cell r="N503">
            <v>3.5</v>
          </cell>
        </row>
        <row r="504">
          <cell r="B504" t="str">
            <v>N/A</v>
          </cell>
          <cell r="C504" t="str">
            <v>มือจับประตูมุ้ง  HOYA</v>
          </cell>
          <cell r="D504" t="str">
            <v>ขาว/ชา/ดำ/อบขาว</v>
          </cell>
          <cell r="E504" t="str">
            <v>25ห่อ/ลัง (24ตัว/ห่อ)</v>
          </cell>
          <cell r="G504">
            <v>7.944</v>
          </cell>
          <cell r="H504">
            <v>8.5000800000000005</v>
          </cell>
          <cell r="J504">
            <v>9</v>
          </cell>
          <cell r="K504">
            <v>9</v>
          </cell>
          <cell r="L504">
            <v>9.25</v>
          </cell>
          <cell r="M504">
            <v>9.5</v>
          </cell>
          <cell r="N504">
            <v>10</v>
          </cell>
        </row>
        <row r="505">
          <cell r="B505" t="str">
            <v>E000090901I8200000</v>
          </cell>
          <cell r="C505" t="str">
            <v xml:space="preserve">มือจับหน้าต่างมุ้ง (คันธนู)  </v>
          </cell>
          <cell r="D505" t="str">
            <v>ขาวอลู</v>
          </cell>
          <cell r="E505" t="str">
            <v>10ถุง/ลัง (144ตัว/ถุง)</v>
          </cell>
          <cell r="G505">
            <v>4.67</v>
          </cell>
          <cell r="H505">
            <v>4.9969000000000001</v>
          </cell>
          <cell r="J505">
            <v>5.25</v>
          </cell>
          <cell r="K505">
            <v>5.25</v>
          </cell>
          <cell r="L505">
            <v>5.5</v>
          </cell>
          <cell r="M505">
            <v>5.75</v>
          </cell>
          <cell r="N505">
            <v>6</v>
          </cell>
        </row>
        <row r="506">
          <cell r="B506" t="str">
            <v>E000090902I8200000</v>
          </cell>
          <cell r="C506" t="str">
            <v xml:space="preserve">มือจับหน้าต่างมุ้ง (คันธนู) </v>
          </cell>
          <cell r="D506" t="str">
            <v>ชา</v>
          </cell>
          <cell r="E506" t="str">
            <v>10ถุง/ลัง (144ตัว/ถุง)</v>
          </cell>
          <cell r="G506">
            <v>5.6</v>
          </cell>
          <cell r="H506">
            <v>5.992</v>
          </cell>
          <cell r="J506">
            <v>6.25</v>
          </cell>
          <cell r="K506">
            <v>6.5</v>
          </cell>
          <cell r="L506">
            <v>6.75</v>
          </cell>
          <cell r="M506">
            <v>7</v>
          </cell>
          <cell r="N506">
            <v>8</v>
          </cell>
        </row>
        <row r="507">
          <cell r="B507" t="str">
            <v>E000090903I8200000</v>
          </cell>
          <cell r="C507" t="str">
            <v xml:space="preserve">มือจับหน้าต่างมุ้ง (คันธนู) </v>
          </cell>
          <cell r="D507" t="str">
            <v>ดำ</v>
          </cell>
          <cell r="E507" t="str">
            <v>10ถุง/ลัง (144ตัว/ถุง)</v>
          </cell>
          <cell r="G507">
            <v>5.6</v>
          </cell>
          <cell r="H507">
            <v>5.992</v>
          </cell>
          <cell r="J507">
            <v>6.25</v>
          </cell>
          <cell r="K507">
            <v>6.5</v>
          </cell>
          <cell r="L507">
            <v>6.75</v>
          </cell>
          <cell r="M507">
            <v>7</v>
          </cell>
          <cell r="N507">
            <v>8</v>
          </cell>
        </row>
        <row r="508">
          <cell r="B508" t="str">
            <v>E000090904I8200000</v>
          </cell>
          <cell r="C508" t="str">
            <v xml:space="preserve">มือจับหน้าต่างมุ้ง (คันธนู) </v>
          </cell>
          <cell r="D508" t="str">
            <v>อบขาว</v>
          </cell>
          <cell r="E508" t="str">
            <v>10ถุง/ลัง (144ตัว/ถุง)</v>
          </cell>
          <cell r="G508">
            <v>5.6</v>
          </cell>
          <cell r="H508">
            <v>5.992</v>
          </cell>
          <cell r="J508">
            <v>6.25</v>
          </cell>
          <cell r="K508">
            <v>6.5</v>
          </cell>
          <cell r="L508">
            <v>6.75</v>
          </cell>
          <cell r="M508">
            <v>7</v>
          </cell>
          <cell r="N508">
            <v>8</v>
          </cell>
        </row>
        <row r="509">
          <cell r="B509" t="str">
            <v>NAN0001-0204001</v>
          </cell>
          <cell r="C509" t="str">
            <v>มือจับประตูมุ้ง (เอียง) สีขาว KING  (ราคา/ตัว)</v>
          </cell>
          <cell r="D509" t="str">
            <v>ขาวอลู</v>
          </cell>
          <cell r="E509" t="str">
            <v>60ตัว/ถุง</v>
          </cell>
          <cell r="G509">
            <v>8.41</v>
          </cell>
          <cell r="H509">
            <v>8.9987000000000013</v>
          </cell>
          <cell r="J509">
            <v>10</v>
          </cell>
          <cell r="K509">
            <v>10</v>
          </cell>
          <cell r="L509">
            <v>12</v>
          </cell>
          <cell r="M509">
            <v>14</v>
          </cell>
          <cell r="N509">
            <v>18</v>
          </cell>
        </row>
        <row r="510">
          <cell r="B510" t="str">
            <v>NAN0002-0204001</v>
          </cell>
          <cell r="C510" t="str">
            <v>มือจับประตูมุ้ง (เอียง) สีชา KING (ราคา/ตัว)</v>
          </cell>
          <cell r="D510" t="str">
            <v>ชา</v>
          </cell>
          <cell r="E510" t="str">
            <v>60ตัว/ถุง</v>
          </cell>
          <cell r="G510">
            <v>8.41</v>
          </cell>
          <cell r="H510">
            <v>8.9987000000000013</v>
          </cell>
          <cell r="J510">
            <v>10</v>
          </cell>
          <cell r="K510">
            <v>10</v>
          </cell>
          <cell r="L510">
            <v>12</v>
          </cell>
          <cell r="M510">
            <v>14</v>
          </cell>
          <cell r="N510">
            <v>18</v>
          </cell>
        </row>
        <row r="511">
          <cell r="B511" t="str">
            <v>N/A</v>
          </cell>
          <cell r="C511" t="str">
            <v>มือจับประตูมุ้ง (เอียง) สีดำ KING (ราคา/ตัว)</v>
          </cell>
          <cell r="D511" t="str">
            <v>ดำ</v>
          </cell>
          <cell r="E511" t="str">
            <v>60ตัว/ถุง</v>
          </cell>
          <cell r="G511">
            <v>8.41</v>
          </cell>
          <cell r="H511">
            <v>8.9987000000000013</v>
          </cell>
          <cell r="J511">
            <v>10</v>
          </cell>
          <cell r="K511">
            <v>10</v>
          </cell>
          <cell r="L511">
            <v>13</v>
          </cell>
          <cell r="M511">
            <v>15</v>
          </cell>
          <cell r="N511">
            <v>20</v>
          </cell>
        </row>
        <row r="512">
          <cell r="B512" t="str">
            <v>NAN0011-0204001</v>
          </cell>
          <cell r="C512" t="str">
            <v>มือจับประตูมุ้ง (เอียง) สีอบขาว KING (ราคา/ตัว)</v>
          </cell>
          <cell r="D512" t="str">
            <v>อบขาว</v>
          </cell>
          <cell r="E512" t="str">
            <v>60ตัว/ถุง</v>
          </cell>
          <cell r="G512">
            <v>8.41</v>
          </cell>
          <cell r="H512">
            <v>8.9987000000000013</v>
          </cell>
          <cell r="J512">
            <v>10</v>
          </cell>
          <cell r="K512">
            <v>10</v>
          </cell>
          <cell r="L512">
            <v>13</v>
          </cell>
          <cell r="M512">
            <v>15</v>
          </cell>
          <cell r="N512">
            <v>20</v>
          </cell>
        </row>
        <row r="513">
          <cell r="B513" t="str">
            <v>E000090901I1220000</v>
          </cell>
          <cell r="C513" t="str">
            <v>บานพับหน้าต่างธรรมดา</v>
          </cell>
          <cell r="D513" t="str">
            <v>ขาว</v>
          </cell>
          <cell r="E513" t="str">
            <v>ลัง/5ถุง/200ตัว</v>
          </cell>
          <cell r="G513">
            <v>1.5888</v>
          </cell>
          <cell r="H513">
            <v>1.7000160000000002</v>
          </cell>
          <cell r="J513">
            <v>2</v>
          </cell>
          <cell r="K513">
            <v>2</v>
          </cell>
          <cell r="L513">
            <v>2.25</v>
          </cell>
          <cell r="M513">
            <v>2.5</v>
          </cell>
          <cell r="N513">
            <v>3</v>
          </cell>
        </row>
        <row r="514">
          <cell r="B514" t="str">
            <v>N/A</v>
          </cell>
          <cell r="C514" t="str">
            <v>บานพับหน้าต่างธรรมดา</v>
          </cell>
          <cell r="D514" t="str">
            <v>ชา/ขาวนม</v>
          </cell>
          <cell r="E514" t="str">
            <v>ลัง/5ถุง/200ตัว</v>
          </cell>
          <cell r="G514">
            <v>3.1776</v>
          </cell>
          <cell r="H514">
            <v>3.4000320000000004</v>
          </cell>
          <cell r="J514">
            <v>4</v>
          </cell>
          <cell r="K514">
            <v>4</v>
          </cell>
          <cell r="L514">
            <v>4.25</v>
          </cell>
          <cell r="M514">
            <v>4.5</v>
          </cell>
          <cell r="N514">
            <v>5</v>
          </cell>
        </row>
        <row r="515">
          <cell r="B515" t="str">
            <v>E000090903I1220000</v>
          </cell>
          <cell r="C515" t="str">
            <v xml:space="preserve">บานพับหน้าต่างธรรมดา </v>
          </cell>
          <cell r="D515" t="str">
            <v>ดำ</v>
          </cell>
          <cell r="E515" t="str">
            <v>ลัง/5ถุง/200ตัว</v>
          </cell>
          <cell r="G515">
            <v>3.2570000000000001</v>
          </cell>
          <cell r="H515">
            <v>3.4849900000000003</v>
          </cell>
          <cell r="J515">
            <v>4</v>
          </cell>
          <cell r="K515">
            <v>4</v>
          </cell>
          <cell r="L515">
            <v>4.25</v>
          </cell>
          <cell r="M515">
            <v>4.5</v>
          </cell>
          <cell r="N515">
            <v>5</v>
          </cell>
        </row>
        <row r="516">
          <cell r="B516" t="str">
            <v>E000090901I1120000</v>
          </cell>
          <cell r="C516" t="str">
            <v xml:space="preserve">บานพับประตูธรรมดา </v>
          </cell>
          <cell r="D516" t="str">
            <v>ขาว</v>
          </cell>
          <cell r="E516" t="str">
            <v>ลัง/5ถุง/100ตัว</v>
          </cell>
          <cell r="G516">
            <v>1.8669</v>
          </cell>
          <cell r="H516">
            <v>1.9975830000000001</v>
          </cell>
          <cell r="J516">
            <v>2.5</v>
          </cell>
          <cell r="K516">
            <v>2.5</v>
          </cell>
          <cell r="L516">
            <v>2.75</v>
          </cell>
          <cell r="M516">
            <v>3</v>
          </cell>
          <cell r="N516">
            <v>5</v>
          </cell>
        </row>
        <row r="517">
          <cell r="B517" t="str">
            <v>N/A</v>
          </cell>
          <cell r="C517" t="str">
            <v>บานพับประตูธรรมดา</v>
          </cell>
          <cell r="D517" t="str">
            <v>ชา/ขาวนม</v>
          </cell>
          <cell r="E517" t="str">
            <v>ลัง/5ถุง/100ตัว</v>
          </cell>
          <cell r="G517">
            <v>3.6541999999999999</v>
          </cell>
          <cell r="H517">
            <v>3.9099940000000002</v>
          </cell>
          <cell r="J517">
            <v>4.5</v>
          </cell>
          <cell r="K517">
            <v>4.5</v>
          </cell>
          <cell r="L517">
            <v>5</v>
          </cell>
          <cell r="M517">
            <v>6</v>
          </cell>
          <cell r="N517">
            <v>7</v>
          </cell>
        </row>
        <row r="518">
          <cell r="B518" t="str">
            <v>E000090903I1220000</v>
          </cell>
          <cell r="C518" t="str">
            <v xml:space="preserve">บานพับประตูธรรมดา </v>
          </cell>
          <cell r="D518" t="str">
            <v>ดำ</v>
          </cell>
          <cell r="E518" t="str">
            <v>ลัง/5ถุง/100ตัว</v>
          </cell>
          <cell r="G518">
            <v>3.6541999999999999</v>
          </cell>
          <cell r="H518">
            <v>3.9099940000000002</v>
          </cell>
          <cell r="J518">
            <v>4.5</v>
          </cell>
          <cell r="K518">
            <v>4.5</v>
          </cell>
          <cell r="L518">
            <v>5</v>
          </cell>
          <cell r="M518">
            <v>6</v>
          </cell>
          <cell r="N518">
            <v>7</v>
          </cell>
        </row>
        <row r="519">
          <cell r="B519" t="str">
            <v>N/A</v>
          </cell>
          <cell r="C519" t="str">
            <v xml:space="preserve">บานพับหน้าต่างอย่างดี OPEN WELL (Hoya) </v>
          </cell>
          <cell r="D519" t="str">
            <v>ขาว/ชา/ดำ/ขาวนม</v>
          </cell>
          <cell r="E519" t="str">
            <v>ลัง/8กล่อง/100ตัว</v>
          </cell>
          <cell r="G519">
            <v>8.9369999999999994</v>
          </cell>
          <cell r="H519">
            <v>9.5625900000000001</v>
          </cell>
          <cell r="J519">
            <v>10</v>
          </cell>
          <cell r="K519">
            <v>11</v>
          </cell>
          <cell r="L519">
            <v>12</v>
          </cell>
          <cell r="M519">
            <v>13</v>
          </cell>
          <cell r="N519">
            <v>15</v>
          </cell>
        </row>
        <row r="520">
          <cell r="B520" t="str">
            <v>N/A</v>
          </cell>
          <cell r="C520" t="str">
            <v xml:space="preserve">บานพับประตูอย่างดี OPEN WELL (Hoya)      </v>
          </cell>
          <cell r="D520" t="str">
            <v>ขาว/ชา/ดำ/ขาวนม</v>
          </cell>
          <cell r="E520" t="str">
            <v>ลัง/8กล่อง/50ตัว</v>
          </cell>
          <cell r="G520">
            <v>10.128500000000001</v>
          </cell>
          <cell r="H520">
            <v>10.837495000000001</v>
          </cell>
          <cell r="J520">
            <v>12</v>
          </cell>
          <cell r="K520">
            <v>12.5</v>
          </cell>
          <cell r="L520">
            <v>13</v>
          </cell>
          <cell r="M520">
            <v>15</v>
          </cell>
          <cell r="N520">
            <v>18</v>
          </cell>
        </row>
        <row r="521">
          <cell r="B521" t="str">
            <v>N/A</v>
          </cell>
          <cell r="C521" t="str">
            <v>มุมมุ้งบานเลื่อนสำเร็จ                 (4ตัว/กล่อง = 50กล่อง /ลัง)</v>
          </cell>
          <cell r="D521" t="str">
            <v>ขาวอลู/ชา/ดำ/ขาวนม</v>
          </cell>
          <cell r="E521" t="str">
            <v>ลัง/50กล่อง/4ตัว</v>
          </cell>
          <cell r="G521">
            <v>42.766399999999997</v>
          </cell>
          <cell r="H521">
            <v>45.760047999999998</v>
          </cell>
          <cell r="J521">
            <v>50</v>
          </cell>
          <cell r="K521">
            <v>50</v>
          </cell>
          <cell r="L521">
            <v>53</v>
          </cell>
          <cell r="M521">
            <v>55</v>
          </cell>
          <cell r="N521">
            <v>60</v>
          </cell>
        </row>
        <row r="522">
          <cell r="B522" t="str">
            <v>N/A</v>
          </cell>
          <cell r="C522" t="str">
            <v>มุมมุ้งบานเลื่อนสำเร็จ                 (4ตัว/กล่อง = 50กล่อง /ลัง)</v>
          </cell>
          <cell r="D522" t="str">
            <v>ซาฮาร่า เทาเข้ม</v>
          </cell>
          <cell r="E522" t="str">
            <v>ลัง/50กล่อง/4ตัว</v>
          </cell>
          <cell r="G522">
            <v>46.713999999999999</v>
          </cell>
          <cell r="H522">
            <v>49.983980000000003</v>
          </cell>
          <cell r="J522">
            <v>55</v>
          </cell>
          <cell r="K522">
            <v>55</v>
          </cell>
          <cell r="L522">
            <v>58</v>
          </cell>
          <cell r="M522">
            <v>60</v>
          </cell>
          <cell r="N522">
            <v>65</v>
          </cell>
        </row>
        <row r="523">
          <cell r="G523">
            <v>8.9369000000000014</v>
          </cell>
          <cell r="H523">
            <v>9.5624830000000021</v>
          </cell>
          <cell r="J523">
            <v>10</v>
          </cell>
        </row>
        <row r="524">
          <cell r="B524" t="str">
            <v>รหัส</v>
          </cell>
          <cell r="C524" t="str">
            <v>มุ้งลวด</v>
          </cell>
          <cell r="D524" t="str">
            <v>สี</v>
          </cell>
          <cell r="E524" t="str">
            <v>บรรจุ/หมายเหตุ</v>
          </cell>
          <cell r="F524" t="str">
            <v>ราคาตั้ง</v>
          </cell>
          <cell r="G524" t="str">
            <v>RE 
ก่อนVAT</v>
          </cell>
          <cell r="H524" t="str">
            <v>ทุน
รวม VAT</v>
          </cell>
          <cell r="J524" t="str">
            <v>SDM</v>
          </cell>
          <cell r="K524" t="str">
            <v>W1</v>
          </cell>
          <cell r="L524" t="str">
            <v>W2</v>
          </cell>
          <cell r="M524" t="str">
            <v>R1</v>
          </cell>
          <cell r="N524" t="str">
            <v>R2</v>
          </cell>
        </row>
        <row r="525">
          <cell r="B525" t="str">
            <v>E039090902I1283000</v>
          </cell>
          <cell r="C525" t="str">
            <v>มุ้งลวด 28 นิ้ว ตราม้าบิน สีชา</v>
          </cell>
          <cell r="D525" t="str">
            <v>สีชา</v>
          </cell>
          <cell r="G525">
            <v>888.23</v>
          </cell>
          <cell r="H525">
            <v>950.40610000000004</v>
          </cell>
          <cell r="J525">
            <v>1000</v>
          </cell>
          <cell r="K525">
            <v>1025</v>
          </cell>
          <cell r="L525">
            <v>1050</v>
          </cell>
          <cell r="M525">
            <v>1100</v>
          </cell>
          <cell r="N525">
            <v>1150</v>
          </cell>
        </row>
        <row r="526">
          <cell r="B526" t="str">
            <v>E039090903I1283000</v>
          </cell>
          <cell r="C526" t="str">
            <v>มุ้งลวด 28 นิ้ว ตราม้าบิน สีดำ</v>
          </cell>
          <cell r="D526" t="str">
            <v>สีดำ</v>
          </cell>
          <cell r="E526" t="str">
            <v>โรงงานเลิกผลิตแล้ว</v>
          </cell>
          <cell r="G526">
            <v>1363.74</v>
          </cell>
          <cell r="H526">
            <v>1459.2018</v>
          </cell>
          <cell r="J526">
            <v>1530</v>
          </cell>
          <cell r="K526">
            <v>1530</v>
          </cell>
          <cell r="L526">
            <v>1570</v>
          </cell>
          <cell r="M526">
            <v>1630</v>
          </cell>
          <cell r="N526">
            <v>1725</v>
          </cell>
        </row>
        <row r="527">
          <cell r="B527" t="str">
            <v>E039090902I1303000</v>
          </cell>
          <cell r="C527" t="str">
            <v>มุ้งลวด 30 นิ้ว ตราม้าบิน สีชา</v>
          </cell>
          <cell r="D527" t="str">
            <v>สีชา</v>
          </cell>
          <cell r="G527">
            <v>1448.97</v>
          </cell>
          <cell r="H527">
            <v>1550.3979000000002</v>
          </cell>
          <cell r="J527">
            <v>1625</v>
          </cell>
          <cell r="K527">
            <v>1625</v>
          </cell>
          <cell r="L527">
            <v>1670</v>
          </cell>
          <cell r="M527">
            <v>1730</v>
          </cell>
          <cell r="N527">
            <v>1850</v>
          </cell>
        </row>
        <row r="528">
          <cell r="B528" t="str">
            <v>E039090903I1303000</v>
          </cell>
          <cell r="C528" t="str">
            <v>มุ้งลวด 30 นิ้ว ตราม้าบิน สีดำ</v>
          </cell>
          <cell r="D528" t="str">
            <v>สีดำ</v>
          </cell>
          <cell r="E528" t="str">
            <v>โรงงานเลิกผลิตแล้ว</v>
          </cell>
          <cell r="G528">
            <v>1448.97</v>
          </cell>
          <cell r="H528">
            <v>1550.3979000000002</v>
          </cell>
          <cell r="J528">
            <v>1625</v>
          </cell>
          <cell r="K528">
            <v>1625</v>
          </cell>
          <cell r="L528">
            <v>1670</v>
          </cell>
          <cell r="M528">
            <v>1730</v>
          </cell>
          <cell r="N528">
            <v>1850</v>
          </cell>
        </row>
        <row r="529">
          <cell r="B529" t="str">
            <v>E039090902I1323000</v>
          </cell>
          <cell r="C529" t="str">
            <v>มุ้งลวด สีชา 32 นิ้ว ตราม้าบิน สีชา</v>
          </cell>
          <cell r="D529" t="str">
            <v>สีชา</v>
          </cell>
          <cell r="G529">
            <v>1534.21</v>
          </cell>
          <cell r="H529">
            <v>1641.6047000000001</v>
          </cell>
          <cell r="J529">
            <v>1720</v>
          </cell>
          <cell r="K529">
            <v>1720</v>
          </cell>
          <cell r="L529">
            <v>1770</v>
          </cell>
          <cell r="M529">
            <v>1850</v>
          </cell>
          <cell r="N529">
            <v>1950</v>
          </cell>
        </row>
        <row r="530">
          <cell r="B530" t="str">
            <v>E039090903I1323000</v>
          </cell>
          <cell r="C530" t="str">
            <v>มุ้งลวด สีดำ 32 นิ้ว ตราม้าบิน สีดำ</v>
          </cell>
          <cell r="D530" t="str">
            <v>สีดำ</v>
          </cell>
          <cell r="E530" t="str">
            <v>โรงงานเลิกผลิตแล้ว</v>
          </cell>
          <cell r="G530">
            <v>1534.21</v>
          </cell>
          <cell r="H530">
            <v>1641.6047000000001</v>
          </cell>
          <cell r="J530">
            <v>1720</v>
          </cell>
          <cell r="K530">
            <v>1720</v>
          </cell>
          <cell r="L530">
            <v>1770</v>
          </cell>
          <cell r="M530">
            <v>1850</v>
          </cell>
          <cell r="N530">
            <v>1950</v>
          </cell>
        </row>
        <row r="531">
          <cell r="B531" t="str">
            <v>E039090901I1363000</v>
          </cell>
          <cell r="C531" t="str">
            <v>มุ้งลวด 36 นิ้ว ตราม้าบิน ขาวอลู</v>
          </cell>
          <cell r="D531" t="str">
            <v>ขาวอลู</v>
          </cell>
          <cell r="E531" t="str">
            <v>โรงงานเลิกผลิตแล้ว</v>
          </cell>
          <cell r="G531">
            <v>1207.48</v>
          </cell>
          <cell r="H531">
            <v>1292.0036</v>
          </cell>
          <cell r="J531">
            <v>1350</v>
          </cell>
          <cell r="K531">
            <v>1350</v>
          </cell>
          <cell r="L531">
            <v>1390</v>
          </cell>
          <cell r="M531">
            <v>1440</v>
          </cell>
          <cell r="N531">
            <v>1525</v>
          </cell>
        </row>
        <row r="532">
          <cell r="B532" t="str">
            <v>E039090902I1363000</v>
          </cell>
          <cell r="C532" t="str">
            <v>มุ้งลวด 36 นิ้ว ตราม้าบิน สีชา</v>
          </cell>
          <cell r="D532" t="str">
            <v>สีชา</v>
          </cell>
          <cell r="G532">
            <v>1704.67</v>
          </cell>
          <cell r="H532">
            <v>1823.9969000000001</v>
          </cell>
          <cell r="J532">
            <v>1905</v>
          </cell>
          <cell r="K532">
            <v>1905</v>
          </cell>
          <cell r="L532">
            <v>1965</v>
          </cell>
          <cell r="M532">
            <v>2030</v>
          </cell>
          <cell r="N532">
            <v>2150</v>
          </cell>
        </row>
        <row r="533">
          <cell r="B533" t="str">
            <v>E039090903I1363000</v>
          </cell>
          <cell r="C533" t="str">
            <v>มุ้งลวด สีดำ 36 นิ้ว ตราม้าบิน</v>
          </cell>
          <cell r="D533" t="str">
            <v>สีดำ</v>
          </cell>
          <cell r="E533" t="str">
            <v>โรงงานเลิกผลิตแล้ว</v>
          </cell>
          <cell r="G533">
            <v>1704.67</v>
          </cell>
          <cell r="H533">
            <v>1823.9969000000001</v>
          </cell>
          <cell r="J533">
            <v>1905</v>
          </cell>
          <cell r="K533">
            <v>1905</v>
          </cell>
          <cell r="L533">
            <v>1965</v>
          </cell>
          <cell r="M533">
            <v>2030</v>
          </cell>
          <cell r="N533">
            <v>2150</v>
          </cell>
        </row>
        <row r="534">
          <cell r="B534" t="str">
            <v>E039090902I1403000</v>
          </cell>
          <cell r="C534" t="str">
            <v>มุ้งลวด 40 นิ้ว ตราม้าบิน สีชา</v>
          </cell>
          <cell r="D534" t="str">
            <v>สีชา</v>
          </cell>
          <cell r="E534" t="str">
            <v>โรงงานเลิกผลิตแล้ว</v>
          </cell>
          <cell r="G534">
            <v>1280.3599999999999</v>
          </cell>
          <cell r="H534">
            <v>1369.9852000000001</v>
          </cell>
          <cell r="J534">
            <v>1430</v>
          </cell>
          <cell r="K534">
            <v>1480</v>
          </cell>
          <cell r="L534">
            <v>1525</v>
          </cell>
          <cell r="M534">
            <v>1625</v>
          </cell>
          <cell r="N534">
            <v>1725</v>
          </cell>
        </row>
        <row r="535">
          <cell r="B535" t="str">
            <v>E039090903I1403000</v>
          </cell>
          <cell r="C535" t="str">
            <v>มุ้งลวด 40 นิ้ว ตราม้าบิน สีดำ</v>
          </cell>
          <cell r="D535" t="str">
            <v>สีดำ</v>
          </cell>
          <cell r="E535" t="str">
            <v>โรงงานเลิกผลิตแล้ว</v>
          </cell>
          <cell r="G535">
            <v>1832.52</v>
          </cell>
          <cell r="H535">
            <v>1960.7964000000002</v>
          </cell>
          <cell r="J535">
            <v>2050</v>
          </cell>
          <cell r="K535">
            <v>2050</v>
          </cell>
          <cell r="L535">
            <v>2130</v>
          </cell>
          <cell r="M535">
            <v>2180</v>
          </cell>
          <cell r="N535">
            <v>2325</v>
          </cell>
        </row>
        <row r="536">
          <cell r="B536" t="str">
            <v>E039090902I1423000</v>
          </cell>
          <cell r="C536" t="str">
            <v>มุ้งลวด 42 นิ้ว ตราม้าบิน สีชา</v>
          </cell>
          <cell r="D536" t="str">
            <v>สีชา</v>
          </cell>
          <cell r="G536">
            <v>2116.64</v>
          </cell>
          <cell r="H536">
            <v>2264.8047999999999</v>
          </cell>
          <cell r="J536">
            <v>2360</v>
          </cell>
          <cell r="K536">
            <v>2360</v>
          </cell>
          <cell r="L536">
            <v>2435</v>
          </cell>
          <cell r="M536">
            <v>2520</v>
          </cell>
          <cell r="N536">
            <v>2665</v>
          </cell>
        </row>
        <row r="537">
          <cell r="B537" t="str">
            <v>E039090903I1423000</v>
          </cell>
          <cell r="C537" t="str">
            <v>มุ้งลวด 42 นิ้ว ตราม้าบิน สีดำ</v>
          </cell>
          <cell r="D537" t="str">
            <v>สีดำ</v>
          </cell>
          <cell r="E537" t="str">
            <v>โรงงานเลิกผลิตแล้ว</v>
          </cell>
          <cell r="G537">
            <v>2116.64</v>
          </cell>
          <cell r="H537">
            <v>2264.8047999999999</v>
          </cell>
          <cell r="J537">
            <v>2360</v>
          </cell>
          <cell r="K537">
            <v>2360</v>
          </cell>
          <cell r="L537">
            <v>2435</v>
          </cell>
          <cell r="M537">
            <v>2520</v>
          </cell>
          <cell r="N537">
            <v>2665</v>
          </cell>
        </row>
        <row r="538">
          <cell r="B538" t="str">
            <v>E039090901I1483000</v>
          </cell>
          <cell r="C538" t="str">
            <v>มุ้งลวด 48 นิ้ว ตราม้าบิน ขาวอลู</v>
          </cell>
          <cell r="D538" t="str">
            <v>ขาวอลู</v>
          </cell>
          <cell r="E538" t="str">
            <v>โรงงานเลิกผลิตแล้ว</v>
          </cell>
          <cell r="G538">
            <v>1491.59</v>
          </cell>
          <cell r="H538">
            <v>1596.0012999999999</v>
          </cell>
          <cell r="J538">
            <v>1665</v>
          </cell>
          <cell r="K538">
            <v>1665</v>
          </cell>
          <cell r="L538">
            <v>1720</v>
          </cell>
          <cell r="M538">
            <v>1775</v>
          </cell>
          <cell r="N538">
            <v>1880</v>
          </cell>
        </row>
        <row r="539">
          <cell r="B539" t="str">
            <v>E039090902I1483000</v>
          </cell>
          <cell r="C539" t="str">
            <v>มุ้งลวด 48 นิ้ว ตราม้าบิน สีชา</v>
          </cell>
          <cell r="D539" t="str">
            <v>สีชา</v>
          </cell>
          <cell r="G539">
            <v>2457.5700000000002</v>
          </cell>
          <cell r="H539">
            <v>2629.5999000000002</v>
          </cell>
          <cell r="J539">
            <v>2740</v>
          </cell>
          <cell r="K539">
            <v>2740</v>
          </cell>
          <cell r="L539">
            <v>2830</v>
          </cell>
          <cell r="M539">
            <v>2925</v>
          </cell>
          <cell r="N539">
            <v>3095</v>
          </cell>
        </row>
        <row r="540">
          <cell r="B540" t="str">
            <v>E039090903I1483000</v>
          </cell>
          <cell r="C540" t="str">
            <v>มุ้งลวด 48 นิ้ว ตราม้าบิน สีดำ</v>
          </cell>
          <cell r="D540" t="str">
            <v>สีชา</v>
          </cell>
          <cell r="E540" t="str">
            <v>โรงงานเลิกผลิตแล้ว</v>
          </cell>
          <cell r="G540">
            <v>2457.5700000000002</v>
          </cell>
          <cell r="H540">
            <v>2629.5999000000002</v>
          </cell>
          <cell r="J540">
            <v>2740</v>
          </cell>
          <cell r="K540">
            <v>2740</v>
          </cell>
          <cell r="L540">
            <v>2830</v>
          </cell>
          <cell r="M540">
            <v>2925</v>
          </cell>
          <cell r="N540">
            <v>3095</v>
          </cell>
        </row>
        <row r="541">
          <cell r="B541" t="str">
            <v>N/A</v>
          </cell>
          <cell r="C541" t="str">
            <v>มุ้งลวด 28 นิ้ว ตราแพนด้า</v>
          </cell>
          <cell r="D541" t="str">
            <v>ขาวอลู</v>
          </cell>
          <cell r="E541" t="str">
            <v>30เมตร/ม้วน</v>
          </cell>
          <cell r="G541">
            <v>917.86919999999998</v>
          </cell>
          <cell r="H541">
            <v>982.12004400000001</v>
          </cell>
          <cell r="J541">
            <v>1040</v>
          </cell>
          <cell r="K541">
            <v>1060</v>
          </cell>
          <cell r="L541">
            <v>1100</v>
          </cell>
          <cell r="M541">
            <v>1130</v>
          </cell>
          <cell r="N541">
            <v>1200</v>
          </cell>
        </row>
        <row r="542">
          <cell r="B542" t="str">
            <v>N/A</v>
          </cell>
          <cell r="C542" t="str">
            <v>มุ้งลวด 30 นิ้ว ตราแพนด้า</v>
          </cell>
          <cell r="D542" t="str">
            <v>ขาวอลู</v>
          </cell>
          <cell r="E542" t="str">
            <v>30เมตร/ม้วน</v>
          </cell>
          <cell r="G542">
            <v>985.85990000000004</v>
          </cell>
          <cell r="H542">
            <v>1054.870093</v>
          </cell>
          <cell r="J542">
            <v>1120</v>
          </cell>
          <cell r="K542">
            <v>1140</v>
          </cell>
          <cell r="L542">
            <v>1180</v>
          </cell>
          <cell r="M542">
            <v>1215</v>
          </cell>
          <cell r="N542">
            <v>1290</v>
          </cell>
        </row>
        <row r="543">
          <cell r="B543" t="str">
            <v>E038090901I1363000</v>
          </cell>
          <cell r="C543" t="str">
            <v>มุ้งลวด สีขาวอลู 36 นิ้ว ตราแพนด้า</v>
          </cell>
          <cell r="D543" t="str">
            <v>ขาวอลู</v>
          </cell>
          <cell r="E543" t="str">
            <v>30เมตร/ม้วน</v>
          </cell>
          <cell r="G543">
            <v>1155.8412000000001</v>
          </cell>
          <cell r="H543">
            <v>1236.7500840000002</v>
          </cell>
          <cell r="J543">
            <v>1320</v>
          </cell>
          <cell r="K543">
            <v>1340</v>
          </cell>
          <cell r="L543">
            <v>1380</v>
          </cell>
          <cell r="M543">
            <v>1450</v>
          </cell>
          <cell r="N543">
            <v>1515</v>
          </cell>
        </row>
        <row r="544">
          <cell r="B544" t="str">
            <v>N/A</v>
          </cell>
          <cell r="C544" t="str">
            <v>มุ้งลวด 40 นิ้ว ตราแพนด้า</v>
          </cell>
          <cell r="D544" t="str">
            <v>ขาวอลู</v>
          </cell>
          <cell r="E544" t="str">
            <v>30เมตร/ม้วน</v>
          </cell>
          <cell r="G544">
            <v>1223.8317999999999</v>
          </cell>
          <cell r="H544">
            <v>1309.5000259999999</v>
          </cell>
          <cell r="J544">
            <v>1395</v>
          </cell>
          <cell r="K544">
            <v>1415</v>
          </cell>
          <cell r="L544">
            <v>1460</v>
          </cell>
          <cell r="M544">
            <v>1515</v>
          </cell>
          <cell r="N544">
            <v>1600</v>
          </cell>
        </row>
        <row r="545">
          <cell r="B545" t="str">
            <v>E038090901I1423000</v>
          </cell>
          <cell r="C545" t="str">
            <v>มุ้งลวด 42 นิ้ว ตราแพนด้า</v>
          </cell>
          <cell r="D545" t="str">
            <v>ขาวอลู</v>
          </cell>
          <cell r="E545" t="str">
            <v>30เมตร/ม้วน</v>
          </cell>
          <cell r="G545">
            <v>1308.8225</v>
          </cell>
          <cell r="H545">
            <v>1400.440075</v>
          </cell>
          <cell r="J545">
            <v>1495</v>
          </cell>
          <cell r="K545">
            <v>1515</v>
          </cell>
          <cell r="L545">
            <v>1560</v>
          </cell>
          <cell r="M545">
            <v>1625</v>
          </cell>
          <cell r="N545">
            <v>1715</v>
          </cell>
        </row>
        <row r="546">
          <cell r="B546" t="str">
            <v>E038090901I1483000</v>
          </cell>
          <cell r="C546" t="str">
            <v>มุ้งลวด 48 นิ้ว ตราแพนด้า</v>
          </cell>
          <cell r="D546" t="str">
            <v>ขาวอลู</v>
          </cell>
          <cell r="E546" t="str">
            <v>30เมตร/ม้วน</v>
          </cell>
          <cell r="G546">
            <v>1427.8037999999999</v>
          </cell>
          <cell r="H546">
            <v>1527.7500660000001</v>
          </cell>
          <cell r="J546">
            <v>1630</v>
          </cell>
          <cell r="K546">
            <v>1650</v>
          </cell>
          <cell r="L546">
            <v>1700</v>
          </cell>
          <cell r="M546">
            <v>1765</v>
          </cell>
          <cell r="N546">
            <v>1865</v>
          </cell>
        </row>
        <row r="547">
          <cell r="B547" t="str">
            <v>E083090903I1363000</v>
          </cell>
          <cell r="C547" t="str">
            <v>มุ้งลวด 36 นิ้ว ตรายูนิคอร์น สีดำ (สาขา AY)</v>
          </cell>
          <cell r="D547" t="str">
            <v>ดำ</v>
          </cell>
          <cell r="E547" t="str">
            <v>30เมตร/ม้วน</v>
          </cell>
          <cell r="G547">
            <v>1588.2617</v>
          </cell>
          <cell r="H547">
            <v>1699.4400190000001</v>
          </cell>
          <cell r="J547">
            <v>1800</v>
          </cell>
          <cell r="K547">
            <v>1850</v>
          </cell>
          <cell r="L547">
            <v>1900</v>
          </cell>
          <cell r="M547">
            <v>2000</v>
          </cell>
          <cell r="N547">
            <v>2150</v>
          </cell>
        </row>
        <row r="548">
          <cell r="B548" t="str">
            <v>N/A</v>
          </cell>
          <cell r="C548" t="str">
            <v>มุ้งลวด 40 นิ้ว ตรายูนิคอร์น สีดำ (สาขา AY)</v>
          </cell>
          <cell r="D548" t="str">
            <v>ดำ</v>
          </cell>
          <cell r="E548" t="str">
            <v>30เมตร/ม้วน</v>
          </cell>
          <cell r="G548">
            <v>1707.3813</v>
          </cell>
          <cell r="H548">
            <v>1826.897991</v>
          </cell>
          <cell r="J548">
            <v>1925</v>
          </cell>
          <cell r="K548">
            <v>1950</v>
          </cell>
          <cell r="L548">
            <v>2050</v>
          </cell>
          <cell r="M548">
            <v>2150</v>
          </cell>
          <cell r="N548">
            <v>2290</v>
          </cell>
        </row>
        <row r="549">
          <cell r="B549" t="str">
            <v>E083090903I1423000</v>
          </cell>
          <cell r="C549" t="str">
            <v>มุ้งลวด 42 นิ้ว ตรายูนิคอร์น สีดำ (สาขา AY)</v>
          </cell>
          <cell r="D549" t="str">
            <v>ดำ</v>
          </cell>
          <cell r="E549" t="str">
            <v>30เมตร/ม้วน</v>
          </cell>
          <cell r="G549">
            <v>1972.0934999999999</v>
          </cell>
          <cell r="H549">
            <v>2110.1400450000001</v>
          </cell>
          <cell r="J549">
            <v>2200</v>
          </cell>
          <cell r="K549">
            <v>2300</v>
          </cell>
          <cell r="L549">
            <v>2350</v>
          </cell>
          <cell r="M549">
            <v>2500</v>
          </cell>
          <cell r="N549">
            <v>2650</v>
          </cell>
        </row>
        <row r="550">
          <cell r="B550" t="str">
            <v>E083090903I1483000</v>
          </cell>
          <cell r="C550" t="str">
            <v>มุ้งลวด 48 นิ้ว ตรายูนิคอร์น สีดำ (สาขา AY)</v>
          </cell>
          <cell r="D550" t="str">
            <v>ดำ</v>
          </cell>
          <cell r="E550" t="str">
            <v>30เมตร/ม้วน</v>
          </cell>
          <cell r="G550">
            <v>2289.7440000000001</v>
          </cell>
          <cell r="H550">
            <v>2450.0260800000001</v>
          </cell>
          <cell r="J550">
            <v>2565</v>
          </cell>
          <cell r="K550">
            <v>2650</v>
          </cell>
          <cell r="L550">
            <v>2750</v>
          </cell>
          <cell r="M550">
            <v>2890</v>
          </cell>
          <cell r="N550">
            <v>3050</v>
          </cell>
        </row>
        <row r="551">
          <cell r="B551" t="str">
            <v>รหัส</v>
          </cell>
          <cell r="C551" t="str">
            <v>มุ้งไนล่อน</v>
          </cell>
          <cell r="D551" t="str">
            <v>สี</v>
          </cell>
          <cell r="E551" t="str">
            <v>บรรจุ/หมายเหตุ</v>
          </cell>
          <cell r="F551" t="str">
            <v>ราคาตั้ง</v>
          </cell>
          <cell r="G551" t="str">
            <v>RE 
ก่อนVAT</v>
          </cell>
          <cell r="H551" t="str">
            <v>ทุน
รวม VAT</v>
          </cell>
          <cell r="J551" t="str">
            <v>SDM</v>
          </cell>
          <cell r="K551" t="str">
            <v>W1</v>
          </cell>
          <cell r="L551" t="str">
            <v>W2</v>
          </cell>
          <cell r="M551" t="str">
            <v>R1</v>
          </cell>
          <cell r="N551" t="str">
            <v>R2</v>
          </cell>
        </row>
        <row r="552">
          <cell r="B552" t="str">
            <v>NAN0000-0540028</v>
          </cell>
          <cell r="C552" t="str">
            <v>มุ้งไนลอน 28 นิ้ว ตรานกแก้ว สีเทา</v>
          </cell>
          <cell r="D552" t="str">
            <v>เทา</v>
          </cell>
          <cell r="E552" t="str">
            <v>30เมตร/ม้วน</v>
          </cell>
          <cell r="G552">
            <v>629.15880000000004</v>
          </cell>
          <cell r="H552">
            <v>673.19991600000003</v>
          </cell>
          <cell r="J552">
            <v>715</v>
          </cell>
          <cell r="K552">
            <v>725</v>
          </cell>
          <cell r="L552">
            <v>750</v>
          </cell>
          <cell r="M552">
            <v>800</v>
          </cell>
          <cell r="N552">
            <v>850</v>
          </cell>
        </row>
        <row r="553">
          <cell r="B553" t="str">
            <v>NAN0000-0540030</v>
          </cell>
          <cell r="C553" t="str">
            <v>มุ้งไนลอน 30 นิ้ว ตรานกแก้ว สีเทา</v>
          </cell>
          <cell r="E553" t="str">
            <v>30เมตร/ม้วน</v>
          </cell>
          <cell r="G553">
            <v>622.04669999999999</v>
          </cell>
          <cell r="H553">
            <v>665.589969</v>
          </cell>
          <cell r="J553">
            <v>700</v>
          </cell>
          <cell r="K553">
            <v>715</v>
          </cell>
          <cell r="L553">
            <v>740</v>
          </cell>
          <cell r="M553">
            <v>785</v>
          </cell>
          <cell r="N553">
            <v>835</v>
          </cell>
        </row>
        <row r="554">
          <cell r="B554" t="str">
            <v>NAN0000-0540032</v>
          </cell>
          <cell r="C554" t="str">
            <v>มุ้งไนลอน 32 นิ้ว ตรานกแก้ว สีเทา</v>
          </cell>
          <cell r="E554" t="str">
            <v>30เมตร/ม้วน</v>
          </cell>
          <cell r="G554">
            <v>688.5</v>
          </cell>
          <cell r="H554">
            <v>736.69500000000005</v>
          </cell>
          <cell r="J554">
            <v>780</v>
          </cell>
          <cell r="K554">
            <v>800</v>
          </cell>
          <cell r="L554">
            <v>825</v>
          </cell>
          <cell r="M554">
            <v>870</v>
          </cell>
          <cell r="N554">
            <v>925</v>
          </cell>
        </row>
        <row r="555">
          <cell r="B555" t="str">
            <v>E036090905I2363000</v>
          </cell>
          <cell r="C555" t="str">
            <v>มุ้งไนลอน 36 นิ้ว ตรานกแก้ว สีเทา</v>
          </cell>
          <cell r="E555" t="str">
            <v>30เมตร/ม้วน</v>
          </cell>
          <cell r="G555">
            <v>749.27099999999996</v>
          </cell>
          <cell r="H555">
            <v>801.71996999999999</v>
          </cell>
          <cell r="J555">
            <v>850</v>
          </cell>
          <cell r="K555">
            <v>865</v>
          </cell>
          <cell r="L555">
            <v>890</v>
          </cell>
          <cell r="M555">
            <v>950</v>
          </cell>
          <cell r="N555">
            <v>1000</v>
          </cell>
        </row>
        <row r="556">
          <cell r="B556" t="str">
            <v>N/A</v>
          </cell>
          <cell r="C556" t="str">
            <v>มุ้งไนลอน 40 นิ้ว ตรานกแก้ว สีเทา</v>
          </cell>
          <cell r="E556" t="str">
            <v>30เมตร/ม้วน</v>
          </cell>
          <cell r="G556">
            <v>832.2056</v>
          </cell>
          <cell r="H556">
            <v>890.45999200000006</v>
          </cell>
          <cell r="J556">
            <v>1070</v>
          </cell>
          <cell r="K556">
            <v>1100</v>
          </cell>
          <cell r="L556">
            <v>1120</v>
          </cell>
          <cell r="M556">
            <v>1140</v>
          </cell>
          <cell r="N556">
            <v>1210</v>
          </cell>
        </row>
        <row r="557">
          <cell r="B557" t="str">
            <v>E036090905I2423000</v>
          </cell>
          <cell r="C557" t="str">
            <v>มุ้งไนลอน 42 นิ้ว ตรานกแก้ว สีเทา</v>
          </cell>
          <cell r="E557" t="str">
            <v>30เมตร/ม้วน</v>
          </cell>
          <cell r="G557">
            <v>868.66819999999996</v>
          </cell>
          <cell r="H557">
            <v>929.47497399999997</v>
          </cell>
          <cell r="J557">
            <v>1115</v>
          </cell>
          <cell r="K557">
            <v>1125</v>
          </cell>
          <cell r="L557">
            <v>1150</v>
          </cell>
          <cell r="M557">
            <v>1190</v>
          </cell>
          <cell r="N557">
            <v>1260</v>
          </cell>
        </row>
        <row r="558">
          <cell r="B558" t="str">
            <v>E036090905I2483000</v>
          </cell>
          <cell r="C558" t="str">
            <v>มุ้งไนลอน 48 นิ้ว ตรานกแก้ว สีเทา</v>
          </cell>
          <cell r="E558" t="str">
            <v>30เมตร/ม้วน</v>
          </cell>
          <cell r="G558">
            <v>989.49530000000004</v>
          </cell>
          <cell r="H558">
            <v>1058.7599710000002</v>
          </cell>
          <cell r="J558">
            <v>1270</v>
          </cell>
          <cell r="K558">
            <v>1285</v>
          </cell>
          <cell r="L558">
            <v>1310</v>
          </cell>
          <cell r="M558">
            <v>1365</v>
          </cell>
          <cell r="N558">
            <v>1435</v>
          </cell>
        </row>
        <row r="559">
          <cell r="B559" t="str">
            <v>E036090903I2363000</v>
          </cell>
          <cell r="C559" t="str">
            <v>มุ้งไนลอน 36 นิ้ว ตรานกแก้ว สีดำ</v>
          </cell>
          <cell r="D559" t="str">
            <v>ดำ</v>
          </cell>
          <cell r="E559" t="str">
            <v>30เมตร/ม้วน</v>
          </cell>
          <cell r="G559">
            <v>804.32240000000002</v>
          </cell>
          <cell r="H559">
            <v>860.62496800000008</v>
          </cell>
          <cell r="J559">
            <v>1035</v>
          </cell>
          <cell r="K559">
            <v>1050</v>
          </cell>
          <cell r="L559">
            <v>1085</v>
          </cell>
          <cell r="M559">
            <v>1115</v>
          </cell>
          <cell r="N559">
            <v>1175</v>
          </cell>
        </row>
        <row r="560">
          <cell r="B560" t="str">
            <v>E036090903I2423000</v>
          </cell>
          <cell r="C560" t="str">
            <v>มุ้งไนลอน 42 นิ้ว ตรานกแก้ว สีดำ</v>
          </cell>
          <cell r="E560" t="str">
            <v>30เมตร/ม้วน</v>
          </cell>
          <cell r="G560">
            <v>924.43449999999996</v>
          </cell>
          <cell r="H560">
            <v>989.14491499999997</v>
          </cell>
          <cell r="J560">
            <v>1200</v>
          </cell>
          <cell r="K560">
            <v>1215</v>
          </cell>
          <cell r="L560">
            <v>1250</v>
          </cell>
          <cell r="M560">
            <v>1295</v>
          </cell>
          <cell r="N560">
            <v>1370</v>
          </cell>
        </row>
        <row r="561">
          <cell r="B561" t="str">
            <v>E036090903I2483000</v>
          </cell>
          <cell r="C561" t="str">
            <v>มุ้งไนลอน 48 นิ้ว ตรานกแก้ว สีดำ</v>
          </cell>
          <cell r="E561" t="str">
            <v>30เมตร/ม้วน</v>
          </cell>
          <cell r="G561">
            <v>1050.2663</v>
          </cell>
          <cell r="H561">
            <v>1123.7849410000001</v>
          </cell>
          <cell r="J561">
            <v>1325</v>
          </cell>
          <cell r="K561">
            <v>1350</v>
          </cell>
          <cell r="L561">
            <v>1390</v>
          </cell>
          <cell r="M561">
            <v>1450</v>
          </cell>
          <cell r="N561">
            <v>1525</v>
          </cell>
        </row>
        <row r="562">
          <cell r="B562" t="str">
            <v>E037090905I2283000</v>
          </cell>
          <cell r="C562" t="str">
            <v>มุ้งไนลอน 28 นิ้ว ตรานกแพนกวิน สีเทา</v>
          </cell>
          <cell r="D562" t="str">
            <v>เทา</v>
          </cell>
          <cell r="E562" t="str">
            <v>30เมตร/ม้วน</v>
          </cell>
          <cell r="G562">
            <v>740.18690000000004</v>
          </cell>
          <cell r="H562">
            <v>791.99998300000004</v>
          </cell>
          <cell r="J562">
            <v>835</v>
          </cell>
          <cell r="K562">
            <v>845</v>
          </cell>
          <cell r="L562">
            <v>875</v>
          </cell>
          <cell r="M562">
            <v>895</v>
          </cell>
          <cell r="N562">
            <v>965</v>
          </cell>
        </row>
        <row r="563">
          <cell r="B563" t="str">
            <v>E037090905I2303000</v>
          </cell>
          <cell r="C563" t="str">
            <v>มุ้งไนลอน 30 นิ้ว ตรานกแพนกวิน สีเทา</v>
          </cell>
          <cell r="E563" t="str">
            <v>30เมตร/ม้วน</v>
          </cell>
          <cell r="G563">
            <v>778.87850000000003</v>
          </cell>
          <cell r="H563">
            <v>833.3999950000001</v>
          </cell>
          <cell r="J563">
            <v>870</v>
          </cell>
          <cell r="K563">
            <v>885</v>
          </cell>
          <cell r="L563">
            <v>915</v>
          </cell>
          <cell r="M563">
            <v>945</v>
          </cell>
          <cell r="N563">
            <v>1000</v>
          </cell>
        </row>
        <row r="564">
          <cell r="B564" t="str">
            <v>E037090905I2323000</v>
          </cell>
          <cell r="C564" t="str">
            <v>มุ้งไนลอน 32 นิ้ว ตรานกเพนกวิน สีเทา</v>
          </cell>
          <cell r="E564" t="str">
            <v>30เมตร/ม้วน</v>
          </cell>
          <cell r="G564">
            <v>810</v>
          </cell>
          <cell r="H564">
            <v>866.7</v>
          </cell>
          <cell r="J564">
            <v>910</v>
          </cell>
          <cell r="K564">
            <v>920</v>
          </cell>
          <cell r="L564">
            <v>950</v>
          </cell>
          <cell r="M564">
            <v>980</v>
          </cell>
          <cell r="N564">
            <v>1035</v>
          </cell>
        </row>
        <row r="565">
          <cell r="B565" t="str">
            <v>E037090905I2363000</v>
          </cell>
          <cell r="C565" t="str">
            <v>มุ้งไนลอน 36 นิ้ว ตรานกเพนกวิน สีเทา</v>
          </cell>
          <cell r="E565" t="str">
            <v>30เมตร/ม้วน</v>
          </cell>
          <cell r="G565">
            <v>881.5</v>
          </cell>
          <cell r="H565">
            <v>943.20500000000004</v>
          </cell>
          <cell r="J565">
            <v>985</v>
          </cell>
          <cell r="K565">
            <v>995</v>
          </cell>
          <cell r="L565">
            <v>1025</v>
          </cell>
          <cell r="M565">
            <v>1050</v>
          </cell>
          <cell r="N565">
            <v>1125</v>
          </cell>
        </row>
        <row r="566">
          <cell r="B566" t="str">
            <v>NAN0000-0530040</v>
          </cell>
          <cell r="C566" t="str">
            <v>มุ้งไนลอน 40 นิ้ว ตราแพนกวิน สีเทา</v>
          </cell>
          <cell r="E566" t="str">
            <v>30เมตร/ม้วน</v>
          </cell>
          <cell r="G566">
            <v>979.90660000000003</v>
          </cell>
          <cell r="H566">
            <v>1048.5000620000001</v>
          </cell>
          <cell r="J566">
            <v>1100</v>
          </cell>
          <cell r="K566">
            <v>1120</v>
          </cell>
          <cell r="L566">
            <v>1130</v>
          </cell>
          <cell r="M566">
            <v>1170</v>
          </cell>
          <cell r="N566">
            <v>1235</v>
          </cell>
        </row>
        <row r="567">
          <cell r="B567" t="str">
            <v>E037090905I2423000</v>
          </cell>
          <cell r="C567" t="str">
            <v>มุ้งไนลอน 42 นิ้ว ตรานกเพนกวิน สีเทา</v>
          </cell>
          <cell r="E567" t="str">
            <v>30เมตร/ม้วน</v>
          </cell>
          <cell r="G567">
            <v>1021.97</v>
          </cell>
          <cell r="H567">
            <v>1093.5079000000001</v>
          </cell>
          <cell r="J567">
            <v>1140</v>
          </cell>
          <cell r="K567">
            <v>1150</v>
          </cell>
          <cell r="L567">
            <v>1175</v>
          </cell>
          <cell r="M567">
            <v>1215</v>
          </cell>
          <cell r="N567">
            <v>1290</v>
          </cell>
        </row>
        <row r="568">
          <cell r="B568" t="str">
            <v>E037090905I2483000</v>
          </cell>
          <cell r="C568" t="str">
            <v>มุ้งไนลอน 48 นิ้ว ตรานกเพนกวิน สีเทา</v>
          </cell>
          <cell r="E568" t="str">
            <v>30เมตร/ม้วน</v>
          </cell>
          <cell r="G568">
            <v>1164.1199999999999</v>
          </cell>
          <cell r="H568">
            <v>1245.6083999999998</v>
          </cell>
          <cell r="J568">
            <v>1300</v>
          </cell>
          <cell r="K568">
            <v>1315</v>
          </cell>
          <cell r="L568">
            <v>1360</v>
          </cell>
          <cell r="M568">
            <v>1410</v>
          </cell>
          <cell r="N568">
            <v>1485</v>
          </cell>
        </row>
        <row r="569">
          <cell r="B569" t="str">
            <v>E037090903I2363000</v>
          </cell>
          <cell r="C569" t="str">
            <v>มุ้งไนลอน 36 นิ้ว ตรานกเพนกวิน สีดำ</v>
          </cell>
          <cell r="D569" t="str">
            <v>ดำ</v>
          </cell>
          <cell r="E569" t="str">
            <v>30เมตร/ม้วน</v>
          </cell>
          <cell r="G569">
            <v>946.26</v>
          </cell>
          <cell r="H569">
            <v>1012.4982</v>
          </cell>
          <cell r="J569">
            <v>1055</v>
          </cell>
          <cell r="K569">
            <v>1065</v>
          </cell>
          <cell r="L569">
            <v>1110</v>
          </cell>
          <cell r="M569">
            <v>1145</v>
          </cell>
          <cell r="N569">
            <v>1220</v>
          </cell>
        </row>
        <row r="570">
          <cell r="B570" t="str">
            <v>E037090903I2423000</v>
          </cell>
          <cell r="C570" t="str">
            <v>มุ้งไนลอน 42 นิ้ว ตรานกเพนกวิน สีดำ</v>
          </cell>
          <cell r="E570" t="str">
            <v>30เมตร/ม้วน</v>
          </cell>
          <cell r="G570">
            <v>1087.57</v>
          </cell>
          <cell r="H570">
            <v>1163.6999000000001</v>
          </cell>
          <cell r="J570">
            <v>1215</v>
          </cell>
          <cell r="K570">
            <v>1230</v>
          </cell>
          <cell r="L570">
            <v>1265</v>
          </cell>
          <cell r="M570">
            <v>1315</v>
          </cell>
          <cell r="N570">
            <v>1385</v>
          </cell>
        </row>
        <row r="571">
          <cell r="B571" t="str">
            <v>E037090903I2483000</v>
          </cell>
          <cell r="C571" t="str">
            <v>มุ้งไนลอน 48 นิ้ว ตรานกเพนกวิน สีดำ</v>
          </cell>
          <cell r="E571" t="str">
            <v>30เมตร/ม้วน</v>
          </cell>
          <cell r="G571">
            <v>1235.6099999999999</v>
          </cell>
          <cell r="H571">
            <v>1322.1026999999999</v>
          </cell>
          <cell r="J571">
            <v>1380</v>
          </cell>
          <cell r="K571">
            <v>1400</v>
          </cell>
          <cell r="L571">
            <v>1440</v>
          </cell>
          <cell r="M571">
            <v>1485</v>
          </cell>
          <cell r="N571">
            <v>1580</v>
          </cell>
        </row>
        <row r="572">
          <cell r="B572" t="str">
            <v>รหัส</v>
          </cell>
          <cell r="C572" t="str">
            <v>มุ้งไฟเบอร์</v>
          </cell>
          <cell r="D572" t="str">
            <v>สี</v>
          </cell>
          <cell r="E572" t="str">
            <v>บรรจุ/หมายเหตุ</v>
          </cell>
          <cell r="F572" t="str">
            <v>ราคาตั้ง</v>
          </cell>
          <cell r="G572" t="str">
            <v>RE 
ก่อนVAT</v>
          </cell>
          <cell r="H572" t="str">
            <v>ทุน
รวม VAT</v>
          </cell>
          <cell r="J572" t="str">
            <v>SDM</v>
          </cell>
          <cell r="K572" t="str">
            <v>W1</v>
          </cell>
          <cell r="L572" t="str">
            <v>W2</v>
          </cell>
          <cell r="M572" t="str">
            <v>R1</v>
          </cell>
          <cell r="N572" t="str">
            <v>R2</v>
          </cell>
        </row>
        <row r="573">
          <cell r="B573" t="str">
            <v>E038090903I3323000</v>
          </cell>
          <cell r="C573" t="str">
            <v xml:space="preserve">มุ้งไฟเบอร์ 32 นิ้ว ตราม้าบิน </v>
          </cell>
          <cell r="D573" t="str">
            <v>เทา/ดำ</v>
          </cell>
          <cell r="E573" t="str">
            <v>30เมตร/ม้วน</v>
          </cell>
          <cell r="G573">
            <v>602.91999999999996</v>
          </cell>
          <cell r="H573">
            <v>645.12440000000004</v>
          </cell>
          <cell r="J573">
            <v>680</v>
          </cell>
          <cell r="K573">
            <v>680</v>
          </cell>
          <cell r="L573">
            <v>700</v>
          </cell>
          <cell r="M573">
            <v>725</v>
          </cell>
          <cell r="N573">
            <v>800</v>
          </cell>
        </row>
        <row r="574">
          <cell r="B574" t="str">
            <v>N/A</v>
          </cell>
          <cell r="C574" t="str">
            <v xml:space="preserve">มุ้งไฟเบอร์ 28 นิ้ว ตราแพนด้า </v>
          </cell>
          <cell r="E574" t="str">
            <v>30เมตร/ม้วน</v>
          </cell>
          <cell r="G574">
            <v>311.40190000000001</v>
          </cell>
          <cell r="H574">
            <v>333.20003300000002</v>
          </cell>
          <cell r="J574">
            <v>420</v>
          </cell>
          <cell r="K574">
            <v>420</v>
          </cell>
          <cell r="L574">
            <v>430</v>
          </cell>
          <cell r="M574">
            <v>450</v>
          </cell>
          <cell r="N574">
            <v>470</v>
          </cell>
        </row>
        <row r="575">
          <cell r="B575" t="str">
            <v>N/A</v>
          </cell>
          <cell r="C575" t="str">
            <v xml:space="preserve">มุ้งไฟเบอร์ 30 นิ้ว ตราแพนด้า </v>
          </cell>
          <cell r="E575" t="str">
            <v>30เมตร/ม้วน</v>
          </cell>
          <cell r="G575">
            <v>333.64490000000001</v>
          </cell>
          <cell r="H575">
            <v>357.00004300000001</v>
          </cell>
          <cell r="J575">
            <v>450</v>
          </cell>
          <cell r="K575">
            <v>450</v>
          </cell>
          <cell r="L575">
            <v>465</v>
          </cell>
          <cell r="M575">
            <v>480</v>
          </cell>
          <cell r="N575">
            <v>505</v>
          </cell>
        </row>
        <row r="576">
          <cell r="B576" t="str">
            <v>N/A</v>
          </cell>
          <cell r="C576" t="str">
            <v xml:space="preserve">มุ้งไฟเบอร์ 32 นิ้ว ตราแพนด้า </v>
          </cell>
          <cell r="E576" t="str">
            <v>30เมตร/ม้วน</v>
          </cell>
          <cell r="G576">
            <v>355.8879</v>
          </cell>
          <cell r="H576">
            <v>380.80005300000005</v>
          </cell>
          <cell r="J576">
            <v>485</v>
          </cell>
          <cell r="K576">
            <v>485</v>
          </cell>
          <cell r="L576">
            <v>500</v>
          </cell>
          <cell r="M576">
            <v>510</v>
          </cell>
          <cell r="N576">
            <v>540</v>
          </cell>
        </row>
        <row r="577">
          <cell r="B577" t="str">
            <v>E038090903I3363000</v>
          </cell>
          <cell r="C577" t="str">
            <v xml:space="preserve">มุ้งไฟเบอร์ 36 นิ้ว ตราแพนด้า </v>
          </cell>
          <cell r="E577" t="str">
            <v>30เมตร/ม้วน</v>
          </cell>
          <cell r="G577">
            <v>400.37389999999999</v>
          </cell>
          <cell r="H577">
            <v>428.40007300000002</v>
          </cell>
          <cell r="J577">
            <v>540</v>
          </cell>
          <cell r="K577">
            <v>540</v>
          </cell>
          <cell r="L577">
            <v>555</v>
          </cell>
          <cell r="M577">
            <v>575</v>
          </cell>
          <cell r="N577">
            <v>605</v>
          </cell>
        </row>
        <row r="578">
          <cell r="B578" t="str">
            <v>E038090903I3423000</v>
          </cell>
          <cell r="C578" t="str">
            <v xml:space="preserve">มุ้งไฟเบอร์ 42 นิ้ว ตราแพนด้า </v>
          </cell>
          <cell r="E578" t="str">
            <v>30เมตร/ม้วน</v>
          </cell>
          <cell r="G578">
            <v>467.1028</v>
          </cell>
          <cell r="H578">
            <v>499.79999600000002</v>
          </cell>
          <cell r="J578">
            <v>625</v>
          </cell>
          <cell r="K578">
            <v>625</v>
          </cell>
          <cell r="L578">
            <v>645</v>
          </cell>
          <cell r="M578">
            <v>670</v>
          </cell>
          <cell r="N578">
            <v>710</v>
          </cell>
        </row>
        <row r="579">
          <cell r="B579" t="str">
            <v>E038090903I3483000</v>
          </cell>
          <cell r="C579" t="str">
            <v xml:space="preserve">มุ้งไฟเบอร์ 48 นิ้ว ตราแพนด้า </v>
          </cell>
          <cell r="E579" t="str">
            <v>30เมตร/ม้วน</v>
          </cell>
          <cell r="G579">
            <v>533.83180000000004</v>
          </cell>
          <cell r="H579">
            <v>571.20002600000009</v>
          </cell>
          <cell r="J579">
            <v>715</v>
          </cell>
          <cell r="K579">
            <v>715</v>
          </cell>
          <cell r="L579">
            <v>740</v>
          </cell>
          <cell r="M579">
            <v>765</v>
          </cell>
          <cell r="N579">
            <v>810</v>
          </cell>
        </row>
        <row r="580">
          <cell r="B580" t="str">
            <v>N/A</v>
          </cell>
          <cell r="C580" t="str">
            <v xml:space="preserve">มุ้งไฟเบอร์ 60 นิ้ว ตราแพนด้า </v>
          </cell>
          <cell r="E580" t="str">
            <v>30เมตร/ม้วน</v>
          </cell>
          <cell r="G580">
            <v>667.28980000000001</v>
          </cell>
          <cell r="H580">
            <v>714.00008600000001</v>
          </cell>
          <cell r="J580">
            <v>895</v>
          </cell>
          <cell r="K580">
            <v>895</v>
          </cell>
          <cell r="L580">
            <v>925</v>
          </cell>
          <cell r="M580">
            <v>955</v>
          </cell>
          <cell r="N580">
            <v>1010</v>
          </cell>
        </row>
        <row r="581">
          <cell r="B581" t="str">
            <v>N/A</v>
          </cell>
          <cell r="C581" t="str">
            <v xml:space="preserve">มุ้งไฟเบอร์ 84 นิ้ว ตราแพนด้า </v>
          </cell>
          <cell r="E581" t="str">
            <v>30เมตร/ม้วน</v>
          </cell>
          <cell r="G581">
            <v>934.2056</v>
          </cell>
          <cell r="H581">
            <v>999.59999200000004</v>
          </cell>
          <cell r="J581">
            <v>1250</v>
          </cell>
          <cell r="K581">
            <v>1250</v>
          </cell>
          <cell r="L581">
            <v>1290</v>
          </cell>
          <cell r="M581">
            <v>1350</v>
          </cell>
          <cell r="N581">
            <v>1450</v>
          </cell>
        </row>
        <row r="582">
          <cell r="B582" t="str">
            <v>N/A</v>
          </cell>
          <cell r="C582" t="str">
            <v xml:space="preserve">มุ้งไฟเบอร์ 48 นิ้ว ตราแพนด้า </v>
          </cell>
          <cell r="D582" t="str">
            <v>สีเทา</v>
          </cell>
          <cell r="E582" t="str">
            <v>30เมตร/ม้วน</v>
          </cell>
          <cell r="G582">
            <v>1260</v>
          </cell>
          <cell r="H582">
            <v>1348.2</v>
          </cell>
          <cell r="J582">
            <v>1425</v>
          </cell>
          <cell r="K582">
            <v>1425</v>
          </cell>
          <cell r="L582">
            <v>1450</v>
          </cell>
          <cell r="M582">
            <v>1500</v>
          </cell>
          <cell r="N582">
            <v>1600</v>
          </cell>
        </row>
        <row r="583">
          <cell r="B583" t="str">
            <v>E038090904I3363000</v>
          </cell>
          <cell r="C583" t="str">
            <v xml:space="preserve">มุ้งไฟเบอร์ 36 นิ้ว ตราแพนด้า </v>
          </cell>
          <cell r="D583" t="str">
            <v>ขาวนม</v>
          </cell>
          <cell r="E583" t="str">
            <v>30เมตร/ม้วน</v>
          </cell>
          <cell r="G583">
            <v>612.33644859799995</v>
          </cell>
          <cell r="H583">
            <v>655.19999999985998</v>
          </cell>
          <cell r="J583">
            <v>685</v>
          </cell>
          <cell r="K583">
            <v>685</v>
          </cell>
          <cell r="L583">
            <v>705</v>
          </cell>
          <cell r="M583">
            <v>730</v>
          </cell>
          <cell r="N583">
            <v>775</v>
          </cell>
        </row>
        <row r="584">
          <cell r="B584" t="str">
            <v>E038090904I3423000</v>
          </cell>
          <cell r="C584" t="str">
            <v xml:space="preserve">มุ้งไฟเบอร์ 42 นิ้ว ตราแพนด้า </v>
          </cell>
          <cell r="E584" t="str">
            <v>30เมตร/ม้วน</v>
          </cell>
          <cell r="G584">
            <v>714.39250000000004</v>
          </cell>
          <cell r="H584">
            <v>764.39997500000004</v>
          </cell>
          <cell r="J584">
            <v>800</v>
          </cell>
          <cell r="K584">
            <v>800</v>
          </cell>
          <cell r="L584">
            <v>825</v>
          </cell>
          <cell r="M584">
            <v>850</v>
          </cell>
          <cell r="N584">
            <v>900</v>
          </cell>
        </row>
        <row r="585">
          <cell r="B585" t="str">
            <v>E038090904I3483000</v>
          </cell>
          <cell r="C585" t="str">
            <v xml:space="preserve">มุ้งไฟเบอร์ 48 นิ้ว ตราแพนด้า </v>
          </cell>
          <cell r="E585" t="str">
            <v>30เมตร/ม้วน</v>
          </cell>
          <cell r="G585">
            <v>816.44859813000005</v>
          </cell>
          <cell r="H585">
            <v>873.59999999910008</v>
          </cell>
          <cell r="J585">
            <v>915</v>
          </cell>
          <cell r="K585">
            <v>915</v>
          </cell>
          <cell r="L585">
            <v>940</v>
          </cell>
          <cell r="M585">
            <v>970</v>
          </cell>
          <cell r="N585">
            <v>1030</v>
          </cell>
        </row>
        <row r="586">
          <cell r="B586" t="str">
            <v>N/A</v>
          </cell>
          <cell r="C586" t="str">
            <v>มุ้งไฟเบอร์ 30 นิ้ว ตรา PBM</v>
          </cell>
          <cell r="D586" t="str">
            <v>สีเทา/สีดำ</v>
          </cell>
          <cell r="E586" t="str">
            <v>30เมตร/ม้วน</v>
          </cell>
          <cell r="G586">
            <v>392.52336400000002</v>
          </cell>
          <cell r="H586">
            <v>419.99999948000004</v>
          </cell>
          <cell r="J586">
            <v>450</v>
          </cell>
          <cell r="K586">
            <v>450</v>
          </cell>
          <cell r="L586">
            <v>460</v>
          </cell>
          <cell r="M586">
            <v>475</v>
          </cell>
          <cell r="N586">
            <v>500</v>
          </cell>
        </row>
        <row r="587">
          <cell r="B587" t="str">
            <v>E017090903I3363000</v>
          </cell>
          <cell r="C587" t="str">
            <v>มุ้งไฟเบอร์ 36 นิ้ว ตรา PBM</v>
          </cell>
          <cell r="E587" t="str">
            <v>30เมตร/ม้วน</v>
          </cell>
          <cell r="G587">
            <v>471.02803699999998</v>
          </cell>
          <cell r="H587">
            <v>503.99999959000002</v>
          </cell>
          <cell r="J587">
            <v>530</v>
          </cell>
          <cell r="K587">
            <v>530</v>
          </cell>
          <cell r="L587">
            <v>550</v>
          </cell>
          <cell r="M587">
            <v>565</v>
          </cell>
          <cell r="N587">
            <v>600</v>
          </cell>
        </row>
        <row r="588">
          <cell r="B588" t="str">
            <v>N/A</v>
          </cell>
          <cell r="C588" t="str">
            <v>มุ้งไฟเบอร์ 42 นิ้ว ตรา PBM</v>
          </cell>
          <cell r="E588" t="str">
            <v>30เมตร/ม้วน</v>
          </cell>
          <cell r="G588">
            <v>549.53270999999995</v>
          </cell>
          <cell r="H588">
            <v>587.99999969999999</v>
          </cell>
          <cell r="J588">
            <v>620</v>
          </cell>
          <cell r="K588">
            <v>620</v>
          </cell>
          <cell r="L588">
            <v>640</v>
          </cell>
          <cell r="M588">
            <v>660</v>
          </cell>
          <cell r="N588">
            <v>700</v>
          </cell>
        </row>
        <row r="589">
          <cell r="B589" t="str">
            <v>N/A</v>
          </cell>
          <cell r="C589" t="str">
            <v>มุ้งไฟเบอร์ 48 นิ้ว ตรา PBM</v>
          </cell>
          <cell r="E589" t="str">
            <v>30เมตร/ม้วน</v>
          </cell>
          <cell r="G589">
            <v>628.03738299999998</v>
          </cell>
          <cell r="H589">
            <v>671.99999980999996</v>
          </cell>
          <cell r="J589">
            <v>705</v>
          </cell>
          <cell r="K589">
            <v>705</v>
          </cell>
          <cell r="L589">
            <v>730</v>
          </cell>
          <cell r="M589">
            <v>750</v>
          </cell>
          <cell r="N589">
            <v>800</v>
          </cell>
        </row>
        <row r="591">
          <cell r="B591" t="str">
            <v>N/A</v>
          </cell>
          <cell r="C591" t="str">
            <v>มุ้งไฟเบอร์ 60 นิ้ว ตรา PBM</v>
          </cell>
          <cell r="E591" t="str">
            <v>30เมตร/ม้วน</v>
          </cell>
          <cell r="G591">
            <v>785.04672897099999</v>
          </cell>
          <cell r="H591">
            <v>839.99999999897</v>
          </cell>
          <cell r="J591">
            <v>880</v>
          </cell>
          <cell r="K591">
            <v>880</v>
          </cell>
          <cell r="L591">
            <v>915</v>
          </cell>
          <cell r="M591">
            <v>935</v>
          </cell>
          <cell r="N591">
            <v>1000</v>
          </cell>
        </row>
        <row r="592">
          <cell r="B592" t="str">
            <v>N/A</v>
          </cell>
          <cell r="C592" t="str">
            <v>มุ้งไฟเบอร์ 28 นิ้ว ตรา 3DI                    (ยังไม่มีจำหน่าย)</v>
          </cell>
          <cell r="D592" t="str">
            <v>สีเทา/สีดำ</v>
          </cell>
          <cell r="E592" t="str">
            <v>30เมตร/ม้วน</v>
          </cell>
          <cell r="G592">
            <v>274.7663</v>
          </cell>
          <cell r="H592">
            <v>293.99994100000004</v>
          </cell>
          <cell r="J592">
            <v>350</v>
          </cell>
          <cell r="K592">
            <v>350</v>
          </cell>
          <cell r="L592">
            <v>365</v>
          </cell>
          <cell r="M592">
            <v>375</v>
          </cell>
          <cell r="N592">
            <v>390</v>
          </cell>
        </row>
        <row r="593">
          <cell r="B593" t="str">
            <v>N/A</v>
          </cell>
          <cell r="C593" t="str">
            <v>มุ้งไฟเบอร์ 30 นิ้ว ตรา 3DI                    (ยังไม่มีจำหน่าย)</v>
          </cell>
          <cell r="E593" t="str">
            <v>30เมตร/ม้วน</v>
          </cell>
          <cell r="G593">
            <v>283.17750000000001</v>
          </cell>
          <cell r="H593">
            <v>302.99992500000002</v>
          </cell>
          <cell r="J593">
            <v>360</v>
          </cell>
          <cell r="K593">
            <v>360</v>
          </cell>
          <cell r="L593">
            <v>370</v>
          </cell>
          <cell r="M593">
            <v>385</v>
          </cell>
          <cell r="N593">
            <v>400</v>
          </cell>
        </row>
        <row r="594">
          <cell r="B594" t="str">
            <v>N/A</v>
          </cell>
          <cell r="C594" t="str">
            <v>มุ้งไฟเบอร์ 36 นิ้ว ตรา 3DI</v>
          </cell>
          <cell r="E594" t="str">
            <v>30เมตร/ม้วน</v>
          </cell>
          <cell r="G594">
            <v>332.71</v>
          </cell>
          <cell r="H594">
            <v>355.99970000000002</v>
          </cell>
          <cell r="J594">
            <v>425</v>
          </cell>
          <cell r="K594">
            <v>450</v>
          </cell>
          <cell r="L594">
            <v>485</v>
          </cell>
          <cell r="M594">
            <v>500</v>
          </cell>
          <cell r="N594">
            <v>550</v>
          </cell>
        </row>
        <row r="595">
          <cell r="B595" t="str">
            <v>N/A</v>
          </cell>
          <cell r="C595" t="str">
            <v>มุ้งไฟเบอร์ 42 นิ้ว ตรา 3DI</v>
          </cell>
          <cell r="E595" t="str">
            <v>30เมตร/ม้วน</v>
          </cell>
          <cell r="G595">
            <v>374.77</v>
          </cell>
          <cell r="H595">
            <v>401.00389999999999</v>
          </cell>
          <cell r="J595">
            <v>475</v>
          </cell>
          <cell r="K595">
            <v>500</v>
          </cell>
          <cell r="L595">
            <v>525</v>
          </cell>
          <cell r="M595">
            <v>550</v>
          </cell>
          <cell r="N595">
            <v>600</v>
          </cell>
        </row>
        <row r="596">
          <cell r="B596" t="str">
            <v>N/A</v>
          </cell>
          <cell r="C596" t="str">
            <v>มุ้งไฟเบอร์ 48 นิ้ว ตรา 3DI</v>
          </cell>
          <cell r="E596" t="str">
            <v>30เมตร/ม้วน</v>
          </cell>
          <cell r="G596">
            <v>424.3</v>
          </cell>
          <cell r="H596">
            <v>454.00100000000003</v>
          </cell>
          <cell r="J596">
            <v>550</v>
          </cell>
          <cell r="K596">
            <v>585</v>
          </cell>
          <cell r="L596">
            <v>600</v>
          </cell>
          <cell r="M596">
            <v>650</v>
          </cell>
          <cell r="N596">
            <v>700</v>
          </cell>
        </row>
        <row r="597">
          <cell r="B597" t="str">
            <v>N/A</v>
          </cell>
          <cell r="C597" t="str">
            <v>มุ้งไฟเบอร์ 60 นิ้ว ตรา 3DI                     (ยังไม่มีจำหน่าย)</v>
          </cell>
          <cell r="E597" t="str">
            <v>30เมตร/ม้วน</v>
          </cell>
          <cell r="G597">
            <v>541.12139999999999</v>
          </cell>
          <cell r="H597">
            <v>578.99989800000003</v>
          </cell>
          <cell r="J597">
            <v>650</v>
          </cell>
          <cell r="K597">
            <v>725</v>
          </cell>
          <cell r="L597">
            <v>750</v>
          </cell>
          <cell r="M597">
            <v>800</v>
          </cell>
          <cell r="N597">
            <v>850</v>
          </cell>
        </row>
        <row r="598">
          <cell r="B598" t="str">
            <v>N/A</v>
          </cell>
          <cell r="C598" t="str">
            <v>มุ้งไฟเบอร์ 84 นิ้ว ตรา 3DI                     (ยังไม่มีจำหน่าย)</v>
          </cell>
          <cell r="E598" t="str">
            <v>30เมตร/ม้วน</v>
          </cell>
          <cell r="G598">
            <v>824.29899999999998</v>
          </cell>
          <cell r="H598">
            <v>881.99993000000006</v>
          </cell>
          <cell r="J598">
            <v>1050</v>
          </cell>
          <cell r="K598">
            <v>1050</v>
          </cell>
          <cell r="L598">
            <v>1100</v>
          </cell>
          <cell r="M598">
            <v>1200</v>
          </cell>
          <cell r="N598">
            <v>1300</v>
          </cell>
        </row>
        <row r="600">
          <cell r="B600" t="str">
            <v>รหัส</v>
          </cell>
          <cell r="C600" t="str">
            <v>รายการ (เหล็กเส้น)</v>
          </cell>
          <cell r="D600" t="str">
            <v>สี</v>
          </cell>
          <cell r="E600" t="str">
            <v>บรรจุ</v>
          </cell>
          <cell r="F600" t="str">
            <v>ราคาตั้ง</v>
          </cell>
          <cell r="G600" t="str">
            <v>RE 
ก่อนVAT</v>
          </cell>
          <cell r="H600" t="str">
            <v>ทุน
รวม VAT</v>
          </cell>
          <cell r="J600" t="str">
            <v>W1</v>
          </cell>
          <cell r="K600" t="str">
            <v>W1</v>
          </cell>
          <cell r="L600" t="str">
            <v>W2</v>
          </cell>
          <cell r="M600" t="str">
            <v>R1</v>
          </cell>
          <cell r="N600" t="str">
            <v>R2</v>
          </cell>
        </row>
        <row r="601">
          <cell r="B601" t="str">
            <v>E000120300L0000100</v>
          </cell>
          <cell r="C601" t="str">
            <v>น็อต (เหล็กเส้น)</v>
          </cell>
          <cell r="D601" t="str">
            <v>N/A</v>
          </cell>
          <cell r="G601">
            <v>0.55000000000000004</v>
          </cell>
          <cell r="H601">
            <v>0.58850000000000013</v>
          </cell>
          <cell r="J601">
            <v>0.65</v>
          </cell>
          <cell r="K601">
            <v>0.75</v>
          </cell>
          <cell r="L601">
            <v>0.8</v>
          </cell>
          <cell r="M601">
            <v>0.9</v>
          </cell>
          <cell r="N601">
            <v>1</v>
          </cell>
        </row>
        <row r="602">
          <cell r="B602" t="str">
            <v>E000120300L0000200</v>
          </cell>
          <cell r="C602" t="str">
            <v>แหวน (เหล็กเส้น)</v>
          </cell>
          <cell r="D602" t="str">
            <v>N/A</v>
          </cell>
          <cell r="G602">
            <v>0.45</v>
          </cell>
          <cell r="H602">
            <v>0.48150000000000004</v>
          </cell>
          <cell r="J602">
            <v>0.5</v>
          </cell>
          <cell r="K602">
            <v>0.55000000000000004</v>
          </cell>
          <cell r="L602">
            <v>0.75</v>
          </cell>
          <cell r="M602">
            <v>0.8</v>
          </cell>
          <cell r="N602">
            <v>1</v>
          </cell>
        </row>
        <row r="603">
          <cell r="B603" t="str">
            <v>E000120300L0100000</v>
          </cell>
          <cell r="C603" t="str">
            <v xml:space="preserve">น็อต+แหวนเหล็กเส้น 3/8  (น็อต3+แหวน2)      (กระสอบละ50โล) </v>
          </cell>
          <cell r="D603" t="str">
            <v>N/A</v>
          </cell>
          <cell r="E603" t="str">
            <v>(น็อต3+แหวน2)</v>
          </cell>
          <cell r="G603">
            <v>2.7</v>
          </cell>
          <cell r="H603">
            <v>2.8890000000000002</v>
          </cell>
          <cell r="J603">
            <v>3.15</v>
          </cell>
          <cell r="K603">
            <v>3.25</v>
          </cell>
          <cell r="L603">
            <v>3.5</v>
          </cell>
          <cell r="M603">
            <v>3.75</v>
          </cell>
          <cell r="N603">
            <v>4</v>
          </cell>
        </row>
        <row r="604">
          <cell r="B604" t="str">
            <v>NAN0100-0402001</v>
          </cell>
          <cell r="C604" t="str">
            <v>น็อตเหล็กเส้น (รหัสเพื่อซื้อ)  *ประมาณ5,000ตัว/กระสอบ</v>
          </cell>
          <cell r="E604" t="str">
            <v>50กิโล/กระสอบ</v>
          </cell>
          <cell r="G604">
            <v>2750</v>
          </cell>
          <cell r="H604">
            <v>2942.5</v>
          </cell>
          <cell r="J604">
            <v>3065</v>
          </cell>
          <cell r="L604">
            <v>3163.876045</v>
          </cell>
          <cell r="M604">
            <v>3269.4706000000001</v>
          </cell>
          <cell r="N604">
            <v>3461.9101000000001</v>
          </cell>
        </row>
        <row r="605">
          <cell r="B605" t="str">
            <v>NAN0100-0403001</v>
          </cell>
          <cell r="C605" t="str">
            <v>แหวนเหล็กเส้น (รหัสเพื่อซื้อ) *ประมาณ5,000ตัว/กระสอบ</v>
          </cell>
          <cell r="E605" t="str">
            <v>50กิโล/กระสอบ</v>
          </cell>
          <cell r="G605">
            <v>2250</v>
          </cell>
          <cell r="H605">
            <v>2407.5</v>
          </cell>
          <cell r="J605">
            <v>2515</v>
          </cell>
          <cell r="L605">
            <v>2588.6258550000002</v>
          </cell>
          <cell r="M605">
            <v>2675.0214000000001</v>
          </cell>
          <cell r="N605">
            <v>2832.4719</v>
          </cell>
        </row>
        <row r="606">
          <cell r="B606" t="str">
            <v>E000120300L0007600</v>
          </cell>
          <cell r="C606" t="str">
            <v>เหล็กเส้น 76 ซม. เกลียวตลอด (ชุบขาว)</v>
          </cell>
          <cell r="E606" t="str">
            <v>50เส้น/มัด</v>
          </cell>
          <cell r="G606">
            <v>14.4</v>
          </cell>
          <cell r="H606">
            <v>15.408000000000001</v>
          </cell>
          <cell r="J606">
            <v>17.5</v>
          </cell>
          <cell r="K606">
            <v>17.5</v>
          </cell>
          <cell r="L606">
            <v>18</v>
          </cell>
          <cell r="M606">
            <v>18.5</v>
          </cell>
          <cell r="N606">
            <v>20</v>
          </cell>
        </row>
        <row r="607">
          <cell r="B607" t="str">
            <v>E000120300L0008600</v>
          </cell>
          <cell r="C607" t="str">
            <v>เหล็กเส้น 86 ซม. เกลียวตลอด (ชุบขาว)</v>
          </cell>
          <cell r="E607" t="str">
            <v>50เส้น/มัด</v>
          </cell>
          <cell r="G607">
            <v>16.559999999999999</v>
          </cell>
          <cell r="H607">
            <v>17.719200000000001</v>
          </cell>
          <cell r="J607">
            <v>20</v>
          </cell>
          <cell r="K607">
            <v>20</v>
          </cell>
          <cell r="L607">
            <v>20.75</v>
          </cell>
          <cell r="M607">
            <v>21.5</v>
          </cell>
          <cell r="N607">
            <v>23</v>
          </cell>
        </row>
        <row r="608">
          <cell r="B608" t="str">
            <v>E000120300L0009600</v>
          </cell>
          <cell r="C608" t="str">
            <v>เหล็กเส้น 96 ซม. เกลียวตลอด (ชุบขาว)</v>
          </cell>
          <cell r="E608" t="str">
            <v>50เส้น/มัด</v>
          </cell>
          <cell r="G608">
            <v>18</v>
          </cell>
          <cell r="H608">
            <v>19.260000000000002</v>
          </cell>
          <cell r="J608">
            <v>21.75</v>
          </cell>
          <cell r="K608">
            <v>21.75</v>
          </cell>
          <cell r="L608">
            <v>22.5</v>
          </cell>
          <cell r="M608">
            <v>23.5</v>
          </cell>
          <cell r="N608">
            <v>25</v>
          </cell>
        </row>
        <row r="609">
          <cell r="B609" t="str">
            <v>E000120300L0010600</v>
          </cell>
          <cell r="C609" t="str">
            <v>เหล็กเส้น 106 ซม. เกลียวตลอด (ชุบขาว)</v>
          </cell>
          <cell r="E609" t="str">
            <v>50เส้น/มัด</v>
          </cell>
          <cell r="G609">
            <v>20.16</v>
          </cell>
          <cell r="H609">
            <v>21.571200000000001</v>
          </cell>
          <cell r="J609">
            <v>24.5</v>
          </cell>
          <cell r="K609">
            <v>24.5</v>
          </cell>
          <cell r="L609">
            <v>25.5</v>
          </cell>
          <cell r="M609">
            <v>26</v>
          </cell>
          <cell r="N609">
            <v>27.5</v>
          </cell>
        </row>
        <row r="610">
          <cell r="B610" t="str">
            <v>E000120300L0011000</v>
          </cell>
          <cell r="C610" t="str">
            <v xml:space="preserve">เหล็กเส้น 110 ซม. เกลียวตลอด (ชุบขาว) </v>
          </cell>
          <cell r="E610" t="str">
            <v>50เส้น/มัด</v>
          </cell>
          <cell r="G610">
            <v>20.88</v>
          </cell>
          <cell r="H610">
            <v>22.3416</v>
          </cell>
          <cell r="J610">
            <v>25</v>
          </cell>
          <cell r="K610">
            <v>25</v>
          </cell>
          <cell r="L610">
            <v>26</v>
          </cell>
          <cell r="M610">
            <v>27</v>
          </cell>
          <cell r="N610">
            <v>28.5</v>
          </cell>
        </row>
        <row r="611">
          <cell r="B611" t="str">
            <v>E000120300L0012000</v>
          </cell>
          <cell r="C611" t="str">
            <v xml:space="preserve">เหล็กเส้น 120 ซม. เกลียวตลอด (ชุบขาว) </v>
          </cell>
          <cell r="E611" t="str">
            <v>50เส้น/มัด</v>
          </cell>
          <cell r="G611">
            <v>23.04</v>
          </cell>
          <cell r="H611">
            <v>24.652799999999999</v>
          </cell>
          <cell r="J611">
            <v>28</v>
          </cell>
          <cell r="K611">
            <v>28</v>
          </cell>
          <cell r="L611">
            <v>28.75</v>
          </cell>
          <cell r="M611">
            <v>29.5</v>
          </cell>
          <cell r="N611">
            <v>31</v>
          </cell>
        </row>
        <row r="612">
          <cell r="B612" t="str">
            <v>N/A</v>
          </cell>
          <cell r="C612" t="str">
            <v xml:space="preserve">เหล็กเส้น 126 ซม. เกลียวตลอด (ชุบขาว) </v>
          </cell>
          <cell r="E612" t="str">
            <v>50เส้น/มัด</v>
          </cell>
          <cell r="G612">
            <v>23.76</v>
          </cell>
          <cell r="H612">
            <v>25.423200000000005</v>
          </cell>
          <cell r="J612">
            <v>28.5</v>
          </cell>
          <cell r="K612">
            <v>28.5</v>
          </cell>
          <cell r="L612">
            <v>29.5</v>
          </cell>
          <cell r="M612">
            <v>30.5</v>
          </cell>
          <cell r="N612">
            <v>33</v>
          </cell>
        </row>
        <row r="613">
          <cell r="B613" t="str">
            <v>E000120300L0015000</v>
          </cell>
          <cell r="C613" t="str">
            <v xml:space="preserve">เหล็กเส้น 150 ซม. เกลียวตลอด (ชุบขาว) </v>
          </cell>
          <cell r="E613" t="str">
            <v>50เส้น/มัด</v>
          </cell>
          <cell r="G613">
            <v>28.8</v>
          </cell>
          <cell r="H613">
            <v>30.816000000000003</v>
          </cell>
          <cell r="J613">
            <v>34.5</v>
          </cell>
          <cell r="K613">
            <v>34.5</v>
          </cell>
          <cell r="L613">
            <v>36</v>
          </cell>
          <cell r="M613">
            <v>37</v>
          </cell>
          <cell r="N613">
            <v>39.5</v>
          </cell>
        </row>
        <row r="614">
          <cell r="B614" t="str">
            <v>E000120300L0020000</v>
          </cell>
          <cell r="C614" t="str">
            <v xml:space="preserve">เหล็กเส้น 200 ซม.  เกลียวตลอด (ชุบขาว) </v>
          </cell>
          <cell r="E614" t="str">
            <v>50เส้น/มัด</v>
          </cell>
          <cell r="G614">
            <v>50.4</v>
          </cell>
          <cell r="H614">
            <v>53.928000000000004</v>
          </cell>
          <cell r="J614">
            <v>61</v>
          </cell>
          <cell r="K614">
            <v>61</v>
          </cell>
          <cell r="L614">
            <v>63</v>
          </cell>
          <cell r="M614">
            <v>65</v>
          </cell>
          <cell r="N614">
            <v>69</v>
          </cell>
        </row>
        <row r="615">
          <cell r="B615" t="str">
            <v>N/A</v>
          </cell>
          <cell r="C615" t="str">
            <v>เหล็กเส้น (เหล็กกลึง/ทาน้ำมันกันสนิม)</v>
          </cell>
          <cell r="D615" t="str">
            <v xml:space="preserve">ระบุไซส์ตอนสั่ง </v>
          </cell>
          <cell r="E615" t="str">
            <v>ขายเป็น กก.ละ (50เส้น)</v>
          </cell>
          <cell r="G615">
            <v>41</v>
          </cell>
          <cell r="H615">
            <v>43.870000000000005</v>
          </cell>
          <cell r="J615">
            <v>50</v>
          </cell>
          <cell r="K615">
            <v>53</v>
          </cell>
          <cell r="L615">
            <v>55</v>
          </cell>
          <cell r="M615">
            <v>58</v>
          </cell>
          <cell r="N615">
            <v>60</v>
          </cell>
        </row>
        <row r="616">
          <cell r="B616" t="str">
            <v>E000120300L0107600</v>
          </cell>
          <cell r="C616" t="str">
            <v>เหล็กเส้น 76 ซม. เกลียวตลอด (ชุบขาว)+พร้อมชุดน็อต3,แหวน2</v>
          </cell>
          <cell r="D616" t="str">
            <v>ขายลูกค้า</v>
          </cell>
          <cell r="E616" t="str">
            <v>1เส้น+น็อต3,แหวน2</v>
          </cell>
          <cell r="G616">
            <v>17.100000000000001</v>
          </cell>
          <cell r="H616">
            <v>18.297000000000004</v>
          </cell>
          <cell r="J616">
            <v>21</v>
          </cell>
          <cell r="K616">
            <v>21</v>
          </cell>
          <cell r="L616">
            <v>21.5</v>
          </cell>
          <cell r="M616">
            <v>22</v>
          </cell>
          <cell r="N616">
            <v>23</v>
          </cell>
        </row>
        <row r="617">
          <cell r="B617" t="str">
            <v>E000120300L0108600</v>
          </cell>
          <cell r="C617" t="str">
            <v>เหล็กเส้น 86 ซม. เกลียวตลอด (ชุบขาว)+พร้อมชุดน็อต3,แหวน2</v>
          </cell>
          <cell r="D617" t="str">
            <v>ขายลูกค้า</v>
          </cell>
          <cell r="E617" t="str">
            <v>1เส้น+น็อต3,แหวน2</v>
          </cell>
          <cell r="G617">
            <v>19.259999999999998</v>
          </cell>
          <cell r="H617">
            <v>20.6082</v>
          </cell>
          <cell r="J617">
            <v>23.5</v>
          </cell>
          <cell r="K617">
            <v>23.5</v>
          </cell>
          <cell r="L617">
            <v>24</v>
          </cell>
          <cell r="M617">
            <v>25</v>
          </cell>
          <cell r="N617">
            <v>26</v>
          </cell>
        </row>
        <row r="618">
          <cell r="B618" t="str">
            <v>E000120300L0109600</v>
          </cell>
          <cell r="C618" t="str">
            <v>เหล็กเส้น 96 ซม. เกลียวตลอด (ชุบขาว)+พร้อมชุดน็อต3,แหวน2</v>
          </cell>
          <cell r="D618" t="str">
            <v>ขายลูกค้า</v>
          </cell>
          <cell r="E618" t="str">
            <v>1เส้น+น็อต3,แหวน2</v>
          </cell>
          <cell r="G618">
            <v>20.7</v>
          </cell>
          <cell r="H618">
            <v>22.149000000000001</v>
          </cell>
          <cell r="J618">
            <v>25</v>
          </cell>
          <cell r="K618">
            <v>25</v>
          </cell>
          <cell r="L618">
            <v>26</v>
          </cell>
          <cell r="M618">
            <v>27</v>
          </cell>
          <cell r="N618">
            <v>28</v>
          </cell>
        </row>
        <row r="619">
          <cell r="B619" t="str">
            <v>E000120300L0110600</v>
          </cell>
          <cell r="C619" t="str">
            <v>เหล็กเส้น 106 ซม. เกลียวตลอด (ชุบขาว)+พร้อมชุดน็อต3,แหวน2</v>
          </cell>
          <cell r="D619" t="str">
            <v>ขายลูกค้า</v>
          </cell>
          <cell r="E619" t="str">
            <v>1เส้น+น็อต3,แหวน2</v>
          </cell>
          <cell r="G619">
            <v>22.86</v>
          </cell>
          <cell r="H619">
            <v>24.4602</v>
          </cell>
          <cell r="J619">
            <v>28</v>
          </cell>
          <cell r="K619">
            <v>28</v>
          </cell>
          <cell r="L619">
            <v>29</v>
          </cell>
          <cell r="M619">
            <v>30</v>
          </cell>
          <cell r="N619">
            <v>31</v>
          </cell>
        </row>
        <row r="620">
          <cell r="B620" t="str">
            <v>E000120300L0111000</v>
          </cell>
          <cell r="C620" t="str">
            <v>เหล็กเส้น 110 ซม. เกลียวตลอด (ชุบขาว)+พร้อมชุดน็อต3,แหวน2</v>
          </cell>
          <cell r="D620" t="str">
            <v>ขายลูกค้า</v>
          </cell>
          <cell r="E620" t="str">
            <v>1เส้น+น็อต3,แหวน2</v>
          </cell>
          <cell r="G620">
            <v>23.58</v>
          </cell>
          <cell r="H620">
            <v>25.230599999999999</v>
          </cell>
          <cell r="J620">
            <v>29</v>
          </cell>
          <cell r="K620">
            <v>29</v>
          </cell>
          <cell r="L620">
            <v>30</v>
          </cell>
          <cell r="M620">
            <v>31</v>
          </cell>
          <cell r="N620">
            <v>32</v>
          </cell>
        </row>
        <row r="621">
          <cell r="B621" t="str">
            <v>E000120300L0112000</v>
          </cell>
          <cell r="C621" t="str">
            <v>เหล็กเส้น 120 ซม. เกลียวตลอด (ชุบขาว)+พร้อมชุดน็อต3,แหวน2</v>
          </cell>
          <cell r="D621" t="str">
            <v>ขายลูกค้า</v>
          </cell>
          <cell r="E621" t="str">
            <v>1เส้น+น็อต3,แหวน2</v>
          </cell>
          <cell r="G621">
            <v>25.74</v>
          </cell>
          <cell r="H621">
            <v>27.541799999999999</v>
          </cell>
          <cell r="J621">
            <v>31.5</v>
          </cell>
          <cell r="K621">
            <v>31.5</v>
          </cell>
          <cell r="L621">
            <v>32</v>
          </cell>
          <cell r="M621">
            <v>33</v>
          </cell>
          <cell r="N621">
            <v>35</v>
          </cell>
        </row>
        <row r="622">
          <cell r="B622" t="str">
            <v>N/A</v>
          </cell>
          <cell r="C622" t="str">
            <v>เหล็กเส้น 126 ซม. เกลียวตลอด (ชุบขาว)+พร้อมชุดน็อต3,แหวน2</v>
          </cell>
          <cell r="D622" t="str">
            <v>ขายลูกค้า</v>
          </cell>
          <cell r="E622" t="str">
            <v>1เส้น+น็อต3,แหวน2</v>
          </cell>
          <cell r="G622">
            <v>26.46</v>
          </cell>
          <cell r="H622">
            <v>28.312200000000004</v>
          </cell>
          <cell r="J622">
            <v>32</v>
          </cell>
          <cell r="K622">
            <v>32</v>
          </cell>
          <cell r="L622">
            <v>33</v>
          </cell>
          <cell r="M622">
            <v>34</v>
          </cell>
          <cell r="N622">
            <v>36</v>
          </cell>
        </row>
        <row r="623">
          <cell r="B623" t="str">
            <v>E000120300L0115000</v>
          </cell>
          <cell r="C623" t="str">
            <v>เหล็กเส้น 150 ซม. เกลียวตลอด (ชุบขาว)+พร้อมชุดน็อต3,แหวน2</v>
          </cell>
          <cell r="D623" t="str">
            <v>ขายลูกค้า</v>
          </cell>
          <cell r="E623" t="str">
            <v>1เส้น+น็อต3,แหวน2</v>
          </cell>
          <cell r="G623">
            <v>31.5</v>
          </cell>
          <cell r="H623">
            <v>33.705000000000005</v>
          </cell>
          <cell r="J623">
            <v>38.5</v>
          </cell>
          <cell r="K623">
            <v>38.5</v>
          </cell>
          <cell r="L623">
            <v>39</v>
          </cell>
          <cell r="M623">
            <v>41</v>
          </cell>
          <cell r="N623">
            <v>43</v>
          </cell>
        </row>
        <row r="624">
          <cell r="B624" t="str">
            <v>E000120300L0120000</v>
          </cell>
          <cell r="C624" t="str">
            <v>เหล็กเส้น 200 ซม. เกลียวตลอด (ชุบขาว)+พร้อมชุดน็อต3,แหวน2</v>
          </cell>
          <cell r="D624" t="str">
            <v>ขายลูกค้า</v>
          </cell>
          <cell r="E624" t="str">
            <v>1เส้น+น็อต3,แหวน2</v>
          </cell>
          <cell r="G624">
            <v>53.1</v>
          </cell>
          <cell r="H624">
            <v>56.817000000000007</v>
          </cell>
          <cell r="J624">
            <v>65</v>
          </cell>
          <cell r="K624">
            <v>65</v>
          </cell>
          <cell r="L624">
            <v>67</v>
          </cell>
          <cell r="M624">
            <v>69</v>
          </cell>
          <cell r="N624">
            <v>73</v>
          </cell>
        </row>
        <row r="626">
          <cell r="B626" t="str">
            <v>รหัส</v>
          </cell>
          <cell r="C626" t="str">
            <v>รายการ (ลิ่ม/มุม/ฉาก)</v>
          </cell>
          <cell r="D626" t="str">
            <v>สี</v>
          </cell>
          <cell r="E626" t="str">
            <v>บรรจุ</v>
          </cell>
          <cell r="F626" t="str">
            <v>ราคาตั้ง</v>
          </cell>
          <cell r="G626" t="str">
            <v>ทุน
ก่อน VAT</v>
          </cell>
          <cell r="H626" t="str">
            <v>ทุน
รวม VAT</v>
          </cell>
          <cell r="J626" t="str">
            <v>SDM</v>
          </cell>
          <cell r="K626" t="str">
            <v>W1</v>
          </cell>
          <cell r="L626" t="str">
            <v>W2</v>
          </cell>
          <cell r="M626" t="str">
            <v>R1</v>
          </cell>
          <cell r="N626" t="str">
            <v>R2</v>
          </cell>
        </row>
        <row r="627">
          <cell r="B627" t="str">
            <v>N/A</v>
          </cell>
          <cell r="C627" t="str">
            <v>ลิ่มพลาสติกสีดำขนาด 25*69*2.5-7 มม.</v>
          </cell>
          <cell r="D627" t="str">
            <v>N/A</v>
          </cell>
          <cell r="E627" t="str">
            <v>ถุงละ 200ตัว</v>
          </cell>
          <cell r="G627">
            <v>0.59530000000000005</v>
          </cell>
          <cell r="H627">
            <v>0.63697100000000006</v>
          </cell>
          <cell r="J627">
            <v>1</v>
          </cell>
          <cell r="K627">
            <v>1</v>
          </cell>
          <cell r="L627">
            <v>1.25</v>
          </cell>
          <cell r="M627">
            <v>1.5</v>
          </cell>
          <cell r="N627">
            <v>2</v>
          </cell>
        </row>
        <row r="628">
          <cell r="B628" t="str">
            <v>N/A</v>
          </cell>
          <cell r="C628" t="str">
            <v>ลิ่มหนุนเฟรม HD-1065 (ราคา/ตัว)</v>
          </cell>
          <cell r="D628" t="str">
            <v>ดำ/ขาว</v>
          </cell>
          <cell r="E628" t="str">
            <v>ถุง/100ตัว</v>
          </cell>
          <cell r="G628">
            <v>1.6120000000000001</v>
          </cell>
          <cell r="H628">
            <v>1.7248400000000002</v>
          </cell>
          <cell r="J628">
            <v>2</v>
          </cell>
          <cell r="K628">
            <v>2</v>
          </cell>
          <cell r="L628">
            <v>2.25</v>
          </cell>
          <cell r="M628">
            <v>2.5</v>
          </cell>
          <cell r="N628">
            <v>3</v>
          </cell>
        </row>
        <row r="629">
          <cell r="B629" t="str">
            <v>E000090900I3200001</v>
          </cell>
          <cell r="C629" t="str">
            <v>มุมหน้าต่าง (รหัสเพื่อซื้อ)</v>
          </cell>
          <cell r="D629" t="str">
            <v>N/A</v>
          </cell>
          <cell r="E629" t="str">
            <v>กระสอบ/ 7กก.</v>
          </cell>
          <cell r="G629">
            <v>366.35509999999999</v>
          </cell>
          <cell r="H629">
            <v>391.99995699999999</v>
          </cell>
          <cell r="J629">
            <v>450</v>
          </cell>
          <cell r="K629">
            <v>450</v>
          </cell>
          <cell r="L629">
            <v>470</v>
          </cell>
          <cell r="M629">
            <v>480</v>
          </cell>
          <cell r="N629">
            <v>515</v>
          </cell>
        </row>
        <row r="630">
          <cell r="B630" t="str">
            <v>E000090900I3200000</v>
          </cell>
          <cell r="C630" t="str">
            <v>มุมหน้าต่าง     ***ราคา/ตัว***  (10ตัว/แพ๊ค)</v>
          </cell>
          <cell r="D630" t="str">
            <v>N/A</v>
          </cell>
          <cell r="E630" t="str">
            <v>ถุง/7กิโล/Est. 500ตัว</v>
          </cell>
          <cell r="G630">
            <v>0.73270999999999997</v>
          </cell>
          <cell r="H630">
            <v>0.78399969999999997</v>
          </cell>
          <cell r="J630">
            <v>0.9</v>
          </cell>
          <cell r="K630">
            <v>1</v>
          </cell>
          <cell r="L630">
            <v>1.25</v>
          </cell>
          <cell r="M630">
            <v>1.35</v>
          </cell>
          <cell r="N630">
            <v>1.5</v>
          </cell>
        </row>
        <row r="631">
          <cell r="B631" t="str">
            <v>E000090900I3100001</v>
          </cell>
          <cell r="C631" t="str">
            <v>มุมประตู (รหัสเพื่อซื้อ)</v>
          </cell>
          <cell r="D631" t="str">
            <v>N/A</v>
          </cell>
          <cell r="E631" t="str">
            <v>กระสอบ/ 7กก.</v>
          </cell>
          <cell r="G631">
            <v>366.35509999999999</v>
          </cell>
          <cell r="H631">
            <v>391.99995699999999</v>
          </cell>
          <cell r="J631">
            <v>450</v>
          </cell>
          <cell r="K631">
            <v>450</v>
          </cell>
          <cell r="L631">
            <v>470</v>
          </cell>
          <cell r="M631">
            <v>480</v>
          </cell>
          <cell r="N631">
            <v>515</v>
          </cell>
        </row>
        <row r="632">
          <cell r="B632" t="str">
            <v>E000090900I3100000</v>
          </cell>
          <cell r="C632" t="str">
            <v>มุมประตู          ***ราคา/ตัว***  (10ตัว/แพ๊ค)</v>
          </cell>
          <cell r="D632" t="str">
            <v>N/A</v>
          </cell>
          <cell r="E632" t="str">
            <v>ถุง/7กิโล/Est. 300ตัว</v>
          </cell>
          <cell r="G632">
            <v>1.2211799999999999</v>
          </cell>
          <cell r="H632">
            <v>1.3066625999999999</v>
          </cell>
          <cell r="J632">
            <v>1.5</v>
          </cell>
          <cell r="K632">
            <v>1.75</v>
          </cell>
          <cell r="L632">
            <v>1.85</v>
          </cell>
          <cell r="M632">
            <v>2</v>
          </cell>
          <cell r="N632">
            <v>2.5</v>
          </cell>
        </row>
        <row r="633">
          <cell r="B633" t="str">
            <v>E000090900I3300001</v>
          </cell>
          <cell r="C633" t="str">
            <v>มุมกรอบรูป (รหัสเพื่อซื้อ)</v>
          </cell>
          <cell r="D633" t="str">
            <v>N/A</v>
          </cell>
          <cell r="E633" t="str">
            <v>กระสอบ/ 7กก.</v>
          </cell>
          <cell r="G633">
            <v>385.04669999999999</v>
          </cell>
          <cell r="H633">
            <v>411.99996900000002</v>
          </cell>
          <cell r="J633">
            <v>465</v>
          </cell>
          <cell r="K633">
            <v>475</v>
          </cell>
          <cell r="L633">
            <v>485</v>
          </cell>
          <cell r="M633">
            <v>500</v>
          </cell>
          <cell r="N633">
            <v>550</v>
          </cell>
        </row>
        <row r="634">
          <cell r="B634" t="str">
            <v>E000090900I3300000</v>
          </cell>
          <cell r="C634" t="str">
            <v>มุมกรอบรูป      ***ราคา/ตัว***  (10ตัว/แพ๊ค)</v>
          </cell>
          <cell r="D634" t="str">
            <v>N/A</v>
          </cell>
          <cell r="E634" t="str">
            <v>ถุง/7กิโล/Est. 300ตัว</v>
          </cell>
          <cell r="G634">
            <v>1.28349</v>
          </cell>
          <cell r="H634">
            <v>1.3733343</v>
          </cell>
          <cell r="J634">
            <v>1.5</v>
          </cell>
          <cell r="K634">
            <v>1.75</v>
          </cell>
          <cell r="L634">
            <v>1.85</v>
          </cell>
          <cell r="M634">
            <v>2</v>
          </cell>
          <cell r="N634">
            <v>2.5</v>
          </cell>
        </row>
        <row r="635">
          <cell r="B635" t="str">
            <v>NAN0000-1004000</v>
          </cell>
          <cell r="C635" t="str">
            <v>มุมข้อต่อสวิง</v>
          </cell>
          <cell r="E635" t="str">
            <v>ถุง/100ตัว</v>
          </cell>
          <cell r="G635">
            <v>2.17</v>
          </cell>
          <cell r="H635">
            <v>2.3218999999999999</v>
          </cell>
          <cell r="J635">
            <v>3</v>
          </cell>
          <cell r="K635">
            <v>3</v>
          </cell>
          <cell r="L635">
            <v>3.5</v>
          </cell>
          <cell r="M635">
            <v>4</v>
          </cell>
          <cell r="N635">
            <v>5</v>
          </cell>
        </row>
        <row r="636">
          <cell r="B636" t="str">
            <v>NAN0000-1004000</v>
          </cell>
          <cell r="C636" t="str">
            <v>มุมข้อต่อสวิง (ราคาขายปลีก ไม่ยกถุง)</v>
          </cell>
          <cell r="E636" t="str">
            <v>ปลีก</v>
          </cell>
          <cell r="G636">
            <v>0</v>
          </cell>
          <cell r="H636">
            <v>0</v>
          </cell>
          <cell r="J636">
            <v>3.5</v>
          </cell>
          <cell r="K636">
            <v>3.5</v>
          </cell>
          <cell r="L636">
            <v>4</v>
          </cell>
          <cell r="M636">
            <v>4.5</v>
          </cell>
          <cell r="N636">
            <v>5</v>
          </cell>
        </row>
        <row r="637">
          <cell r="B637" t="str">
            <v>N/A</v>
          </cell>
          <cell r="C637" t="str">
            <v>ฉากข้อต่อสวิง (ตระกูลไทย)</v>
          </cell>
          <cell r="E637" t="str">
            <v>2,000/ลัง</v>
          </cell>
          <cell r="G637">
            <v>2.6</v>
          </cell>
          <cell r="H637">
            <v>2.7820000000000005</v>
          </cell>
          <cell r="J637">
            <v>3.5</v>
          </cell>
          <cell r="K637">
            <v>3.5</v>
          </cell>
          <cell r="L637">
            <v>4</v>
          </cell>
          <cell r="M637">
            <v>4.5</v>
          </cell>
          <cell r="N637">
            <v>5</v>
          </cell>
        </row>
        <row r="638">
          <cell r="B638" t="str">
            <v>E002090900I9000000</v>
          </cell>
          <cell r="C638" t="str">
            <v>ฉากข้อต่อมุ้ง TOP</v>
          </cell>
          <cell r="D638" t="str">
            <v>N/A</v>
          </cell>
          <cell r="E638" t="str">
            <v>ลัง/200ตัว</v>
          </cell>
          <cell r="G638">
            <v>6</v>
          </cell>
          <cell r="H638">
            <v>6.42</v>
          </cell>
          <cell r="J638">
            <v>6.75</v>
          </cell>
          <cell r="K638">
            <v>6.75</v>
          </cell>
          <cell r="L638">
            <v>7</v>
          </cell>
          <cell r="M638">
            <v>7.5</v>
          </cell>
          <cell r="N638">
            <v>8</v>
          </cell>
        </row>
        <row r="639">
          <cell r="B639" t="str">
            <v>NTYT0005-120118</v>
          </cell>
          <cell r="C639" t="str">
            <v>ฉากข้อต่อมุ้ง HYDA #HD231 บาง</v>
          </cell>
          <cell r="D639" t="str">
            <v>N/A</v>
          </cell>
          <cell r="E639" t="str">
            <v>ลัง/200ตัว</v>
          </cell>
          <cell r="G639">
            <v>5.85</v>
          </cell>
          <cell r="H639">
            <v>6.2595000000000001</v>
          </cell>
          <cell r="J639">
            <v>6.75</v>
          </cell>
          <cell r="K639">
            <v>6.75</v>
          </cell>
          <cell r="L639">
            <v>7</v>
          </cell>
          <cell r="M639">
            <v>7.5</v>
          </cell>
          <cell r="N639">
            <v>8</v>
          </cell>
        </row>
        <row r="640">
          <cell r="B640" t="str">
            <v>NTYT0005-120118</v>
          </cell>
          <cell r="C640" t="str">
            <v>ฉากข้อต่อมุ้ง HYDA #HD231 บาง</v>
          </cell>
          <cell r="E640" t="str">
            <v>ปลีก</v>
          </cell>
          <cell r="G640">
            <v>6.03</v>
          </cell>
          <cell r="H640">
            <v>6.4521000000000006</v>
          </cell>
          <cell r="J640">
            <v>7</v>
          </cell>
          <cell r="K640">
            <v>7</v>
          </cell>
          <cell r="L640">
            <v>7.5</v>
          </cell>
          <cell r="M640">
            <v>8</v>
          </cell>
          <cell r="N640">
            <v>8.5</v>
          </cell>
        </row>
        <row r="641">
          <cell r="B641" t="str">
            <v>NAN0000-1012000</v>
          </cell>
          <cell r="C641" t="str">
            <v>ฉากประคอง HYDA HD-200</v>
          </cell>
          <cell r="D641" t="str">
            <v>N/A</v>
          </cell>
          <cell r="E641" t="str">
            <v>แพ๊ค/100ตัว</v>
          </cell>
          <cell r="G641">
            <v>1.55</v>
          </cell>
          <cell r="H641">
            <v>1.6585000000000001</v>
          </cell>
          <cell r="J641">
            <v>2.25</v>
          </cell>
          <cell r="K641">
            <v>2.25</v>
          </cell>
          <cell r="L641">
            <v>2.5</v>
          </cell>
          <cell r="M641">
            <v>2.75</v>
          </cell>
          <cell r="N641">
            <v>3</v>
          </cell>
        </row>
        <row r="642">
          <cell r="B642" t="str">
            <v>NAN0000-1012000</v>
          </cell>
          <cell r="C642" t="str">
            <v>ฉากประคอง HYDA HD-200</v>
          </cell>
          <cell r="D642" t="str">
            <v>N/A</v>
          </cell>
          <cell r="E642" t="str">
            <v>ปลีก</v>
          </cell>
          <cell r="G642">
            <v>1.6</v>
          </cell>
          <cell r="H642">
            <v>1.7120000000000002</v>
          </cell>
          <cell r="J642">
            <v>2.5</v>
          </cell>
          <cell r="K642">
            <v>2.5</v>
          </cell>
          <cell r="L642">
            <v>2.75</v>
          </cell>
          <cell r="M642">
            <v>3</v>
          </cell>
          <cell r="N642">
            <v>4</v>
          </cell>
        </row>
        <row r="643">
          <cell r="B643" t="str">
            <v>N/A</v>
          </cell>
          <cell r="C643" t="str">
            <v>มุมบานเลื่อน 2 ทาง #232P  HYDA  (2in1) (อัพเดทราคาใหม่)</v>
          </cell>
          <cell r="D643" t="str">
            <v>ขาว/ชา/ดำ/อบขาว</v>
          </cell>
          <cell r="E643" t="str">
            <v>ลัง/50กล่อง กล่อง4ตัว</v>
          </cell>
          <cell r="G643">
            <v>48.1</v>
          </cell>
          <cell r="H643">
            <v>51.467000000000006</v>
          </cell>
          <cell r="J643">
            <v>54.75</v>
          </cell>
          <cell r="K643">
            <v>54.75</v>
          </cell>
          <cell r="L643">
            <v>56.5</v>
          </cell>
          <cell r="M643">
            <v>58.5</v>
          </cell>
          <cell r="N643">
            <v>62</v>
          </cell>
        </row>
        <row r="644">
          <cell r="B644" t="str">
            <v>N/A</v>
          </cell>
          <cell r="C644" t="str">
            <v>มุมบานเลื่อน 2 ทาง #232P  HYDA  (2in1)</v>
          </cell>
          <cell r="D644" t="str">
            <v>ชา/ดำ/เงิน/อบขาว</v>
          </cell>
          <cell r="E644" t="str">
            <v>ปลีก</v>
          </cell>
          <cell r="G644">
            <v>49.58</v>
          </cell>
          <cell r="H644">
            <v>53.050600000000003</v>
          </cell>
          <cell r="J644">
            <v>56.25</v>
          </cell>
          <cell r="K644">
            <v>56.25</v>
          </cell>
          <cell r="L644">
            <v>58</v>
          </cell>
          <cell r="M644">
            <v>60</v>
          </cell>
          <cell r="N644">
            <v>64</v>
          </cell>
        </row>
        <row r="645">
          <cell r="B645" t="str">
            <v>N/A</v>
          </cell>
          <cell r="C645" t="str">
            <v>มุมมิเนียมสปิก๊อต ขนาด 24.5มิล PBM #015-105245</v>
          </cell>
          <cell r="D645" t="str">
            <v>N/A</v>
          </cell>
          <cell r="E645" t="str">
            <v>ปลีก</v>
          </cell>
          <cell r="G645">
            <v>9.8131000000000004</v>
          </cell>
          <cell r="H645">
            <v>10.500017000000001</v>
          </cell>
          <cell r="J645">
            <v>11</v>
          </cell>
          <cell r="K645">
            <v>11</v>
          </cell>
          <cell r="L645">
            <v>11.35</v>
          </cell>
          <cell r="M645">
            <v>11.75</v>
          </cell>
          <cell r="N645">
            <v>12.5</v>
          </cell>
        </row>
        <row r="646">
          <cell r="B646" t="str">
            <v>NAN0001-1002010</v>
          </cell>
          <cell r="C646" t="str">
            <v xml:space="preserve">ฉากรับชั้น 10 นิ้ว </v>
          </cell>
          <cell r="D646" t="str">
            <v>N/A</v>
          </cell>
          <cell r="G646">
            <v>19.899999999999999</v>
          </cell>
          <cell r="H646">
            <v>21.292999999999999</v>
          </cell>
          <cell r="J646">
            <v>22.25</v>
          </cell>
          <cell r="L646">
            <v>23</v>
          </cell>
          <cell r="M646">
            <v>23.75</v>
          </cell>
          <cell r="N646">
            <v>25</v>
          </cell>
        </row>
        <row r="647">
          <cell r="B647" t="str">
            <v>NAN0001-1002012</v>
          </cell>
          <cell r="C647" t="str">
            <v xml:space="preserve">ฉากรับชั้น 12 นิ้ว </v>
          </cell>
          <cell r="D647" t="str">
            <v>N/A</v>
          </cell>
          <cell r="G647">
            <v>23.88</v>
          </cell>
          <cell r="H647">
            <v>25.551600000000001</v>
          </cell>
          <cell r="J647">
            <v>26.75</v>
          </cell>
          <cell r="L647">
            <v>27.5</v>
          </cell>
          <cell r="M647">
            <v>28.5</v>
          </cell>
          <cell r="N647">
            <v>30</v>
          </cell>
        </row>
        <row r="648">
          <cell r="B648" t="str">
            <v>NAN0001-1002014</v>
          </cell>
          <cell r="C648" t="str">
            <v xml:space="preserve">ฉากรับชั้น 14 นิ้ว </v>
          </cell>
          <cell r="D648" t="str">
            <v>N/A</v>
          </cell>
          <cell r="G648">
            <v>27.86</v>
          </cell>
          <cell r="H648">
            <v>29.810200000000002</v>
          </cell>
          <cell r="J648">
            <v>31.25</v>
          </cell>
          <cell r="L648">
            <v>32</v>
          </cell>
          <cell r="M648">
            <v>33.5</v>
          </cell>
          <cell r="N648">
            <v>35</v>
          </cell>
        </row>
        <row r="649">
          <cell r="B649" t="str">
            <v>NAN0001-1002016</v>
          </cell>
          <cell r="C649" t="str">
            <v xml:space="preserve">ฉากรับชั้น 16 นิ้ว </v>
          </cell>
          <cell r="D649" t="str">
            <v>N/A</v>
          </cell>
          <cell r="G649">
            <v>31.84</v>
          </cell>
          <cell r="H649">
            <v>34.068800000000003</v>
          </cell>
          <cell r="J649">
            <v>35.5</v>
          </cell>
          <cell r="L649">
            <v>37</v>
          </cell>
          <cell r="M649">
            <v>38</v>
          </cell>
          <cell r="N649">
            <v>40</v>
          </cell>
        </row>
        <row r="651">
          <cell r="B651" t="str">
            <v>รหัส</v>
          </cell>
          <cell r="C651" t="str">
            <v>รายการ (สักหลาด)</v>
          </cell>
          <cell r="D651" t="str">
            <v>สี</v>
          </cell>
          <cell r="E651" t="str">
            <v>บรรจุ</v>
          </cell>
          <cell r="F651" t="str">
            <v>ราคาตั้ง</v>
          </cell>
          <cell r="G651" t="str">
            <v>ทุน
ก่อน VAT</v>
          </cell>
          <cell r="H651" t="str">
            <v>ทุน
รวม VAT</v>
          </cell>
          <cell r="J651" t="str">
            <v>SDM</v>
          </cell>
          <cell r="K651" t="str">
            <v>W1</v>
          </cell>
          <cell r="L651" t="str">
            <v>W2</v>
          </cell>
          <cell r="M651" t="str">
            <v>R1</v>
          </cell>
          <cell r="N651" t="str">
            <v>R2</v>
          </cell>
        </row>
        <row r="652">
          <cell r="B652" t="str">
            <v>E042120205L4861000</v>
          </cell>
          <cell r="C652" t="str">
            <v>สักหลาดบานเลื่อน (100 ม.)  SPECIAL LINE  ฐาน4.8*ขน6มิล</v>
          </cell>
          <cell r="D652" t="str">
            <v>ราคาBS /OF</v>
          </cell>
          <cell r="E652" t="str">
            <v>30ลัง (ราคาขายที่เบิกของจากบางไทร)</v>
          </cell>
          <cell r="G652">
            <v>63.551400000000001</v>
          </cell>
          <cell r="H652">
            <v>67.999998000000005</v>
          </cell>
          <cell r="J652">
            <v>76</v>
          </cell>
          <cell r="K652">
            <v>78</v>
          </cell>
          <cell r="L652">
            <v>80</v>
          </cell>
          <cell r="M652">
            <v>85</v>
          </cell>
          <cell r="N652">
            <v>90</v>
          </cell>
        </row>
        <row r="653">
          <cell r="B653" t="str">
            <v>E042120205L4864500</v>
          </cell>
          <cell r="C653" t="str">
            <v>สักหลาดบานเลื่อน (450 ม.) SPECIAL LINE ฐาน4.8*ขน6มิล</v>
          </cell>
          <cell r="D653" t="str">
            <v>ราคาBS /OF</v>
          </cell>
          <cell r="E653" t="str">
            <v>30ลัง (ราคาขายที่เบิกของจากบางไทร)</v>
          </cell>
          <cell r="G653">
            <v>299.06540000000001</v>
          </cell>
          <cell r="H653">
            <v>319.99997800000006</v>
          </cell>
          <cell r="J653">
            <v>355</v>
          </cell>
          <cell r="K653">
            <v>365</v>
          </cell>
          <cell r="L653">
            <v>375</v>
          </cell>
          <cell r="M653">
            <v>385</v>
          </cell>
          <cell r="N653">
            <v>415</v>
          </cell>
        </row>
        <row r="654">
          <cell r="B654" t="str">
            <v>E042120305L6780500</v>
          </cell>
          <cell r="C654" t="str">
            <v>สักหลาดบานสวิง (50 ม.) SPECIAL LINE ฐาน 6.7*ขน8มิล</v>
          </cell>
          <cell r="D654" t="str">
            <v>ราคาBS /OF</v>
          </cell>
          <cell r="E654" t="str">
            <v>30ลัง (ราคาขายที่เบิกของจากบางไทร)</v>
          </cell>
          <cell r="G654">
            <v>56.0747</v>
          </cell>
          <cell r="H654">
            <v>59.999929000000002</v>
          </cell>
          <cell r="J654">
            <v>67</v>
          </cell>
          <cell r="K654">
            <v>68</v>
          </cell>
          <cell r="L654">
            <v>70</v>
          </cell>
          <cell r="M654">
            <v>75</v>
          </cell>
          <cell r="N654">
            <v>80</v>
          </cell>
        </row>
        <row r="655">
          <cell r="B655" t="str">
            <v>E042120305L6782200</v>
          </cell>
          <cell r="C655" t="str">
            <v>สักหลาดบานสวิง (225 ม.) SPECIAL LINE ฐาน 6.7*ขน8มิล</v>
          </cell>
          <cell r="D655" t="str">
            <v>ราคาBS /OF</v>
          </cell>
          <cell r="E655" t="str">
            <v>30ลัง (ราคาขายที่เบิกของจากบางไทร)</v>
          </cell>
          <cell r="G655">
            <v>261.68220000000002</v>
          </cell>
          <cell r="H655">
            <v>279.99995400000006</v>
          </cell>
          <cell r="J655">
            <v>310</v>
          </cell>
          <cell r="K655">
            <v>315</v>
          </cell>
          <cell r="L655">
            <v>320</v>
          </cell>
          <cell r="M655">
            <v>350</v>
          </cell>
          <cell r="N655">
            <v>365</v>
          </cell>
        </row>
        <row r="656">
          <cell r="B656" t="str">
            <v>E017120205L5040500</v>
          </cell>
          <cell r="C656" t="str">
            <v>100-54450 สักหลาดบานเลื่อน 5x4 (450ม.)</v>
          </cell>
          <cell r="D656" t="str">
            <v>N/A</v>
          </cell>
          <cell r="E656" t="str">
            <v>ลัง/4ม้วน</v>
          </cell>
          <cell r="G656">
            <v>280.37380000000002</v>
          </cell>
          <cell r="H656">
            <v>299.99996600000003</v>
          </cell>
          <cell r="J656">
            <v>315</v>
          </cell>
          <cell r="K656">
            <v>315</v>
          </cell>
          <cell r="L656">
            <v>325</v>
          </cell>
          <cell r="M656">
            <v>335</v>
          </cell>
          <cell r="N656">
            <v>350</v>
          </cell>
        </row>
        <row r="657">
          <cell r="D657" t="str">
            <v>N/A</v>
          </cell>
          <cell r="E657" t="str">
            <v>ปลีก</v>
          </cell>
          <cell r="G657">
            <v>327.1028</v>
          </cell>
          <cell r="H657">
            <v>349.99999600000001</v>
          </cell>
          <cell r="J657">
            <v>365</v>
          </cell>
          <cell r="K657">
            <v>365</v>
          </cell>
          <cell r="L657">
            <v>380</v>
          </cell>
          <cell r="M657">
            <v>390</v>
          </cell>
          <cell r="N657">
            <v>415</v>
          </cell>
        </row>
        <row r="658">
          <cell r="B658" t="str">
            <v>E017120205L5061000</v>
          </cell>
          <cell r="C658" t="str">
            <v xml:space="preserve">สักหลาดบานเลื่อน 5*6  (100 ม.) PBM  #100-56100               </v>
          </cell>
          <cell r="D658" t="str">
            <v>N/A</v>
          </cell>
          <cell r="E658" t="str">
            <v>ลัง /12 ม้วน</v>
          </cell>
          <cell r="G658">
            <v>67.2898</v>
          </cell>
          <cell r="H658">
            <v>72.00008600000001</v>
          </cell>
          <cell r="J658">
            <v>75</v>
          </cell>
          <cell r="K658">
            <v>75</v>
          </cell>
          <cell r="L658">
            <v>78</v>
          </cell>
          <cell r="M658">
            <v>80</v>
          </cell>
          <cell r="N658">
            <v>85</v>
          </cell>
        </row>
        <row r="659">
          <cell r="E659" t="str">
            <v>ปลีก/ไม่ลงลัง</v>
          </cell>
          <cell r="G659">
            <v>76.635499999999993</v>
          </cell>
          <cell r="H659">
            <v>81.999984999999995</v>
          </cell>
          <cell r="J659">
            <v>86</v>
          </cell>
          <cell r="K659">
            <v>86</v>
          </cell>
          <cell r="L659">
            <v>90</v>
          </cell>
          <cell r="M659">
            <v>95</v>
          </cell>
          <cell r="N659">
            <v>100</v>
          </cell>
        </row>
        <row r="660">
          <cell r="B660" t="str">
            <v>N/A</v>
          </cell>
          <cell r="C660" t="str">
            <v xml:space="preserve">สักหลาดบานเลื่อน 5*6  (450 ม.) PBM  #100-56450          </v>
          </cell>
          <cell r="D660" t="str">
            <v>N/A</v>
          </cell>
          <cell r="E660" t="str">
            <v>ลัง/4ม้วน</v>
          </cell>
          <cell r="G660">
            <v>280.37389999999999</v>
          </cell>
          <cell r="H660">
            <v>300.00007299999999</v>
          </cell>
          <cell r="J660">
            <v>315</v>
          </cell>
          <cell r="K660">
            <v>315</v>
          </cell>
          <cell r="L660">
            <v>325</v>
          </cell>
          <cell r="M660">
            <v>335</v>
          </cell>
          <cell r="N660">
            <v>355</v>
          </cell>
        </row>
        <row r="661">
          <cell r="B661" t="str">
            <v>N/A</v>
          </cell>
          <cell r="C661" t="str">
            <v xml:space="preserve">สักหลาดบานเลื่อน 5*12  (100 ม.) PBM  #100-512100               </v>
          </cell>
          <cell r="D661" t="str">
            <v>N/A</v>
          </cell>
          <cell r="E661" t="str">
            <v>ลัง /12 ม้วน</v>
          </cell>
          <cell r="G661">
            <v>119.6262</v>
          </cell>
          <cell r="H661">
            <v>128.000034</v>
          </cell>
          <cell r="J661">
            <v>133.5</v>
          </cell>
          <cell r="K661">
            <v>133.5</v>
          </cell>
          <cell r="L661">
            <v>138</v>
          </cell>
          <cell r="M661">
            <v>145</v>
          </cell>
          <cell r="N661">
            <v>150</v>
          </cell>
        </row>
        <row r="662">
          <cell r="B662" t="str">
            <v>N/A</v>
          </cell>
          <cell r="C662" t="str">
            <v>สักหลาดบานเลื่อน 5*15  (200 ม.) PBM  #100-515200</v>
          </cell>
          <cell r="D662" t="str">
            <v>N/A</v>
          </cell>
          <cell r="E662" t="str">
            <v>ลัง /4 ม้วน</v>
          </cell>
          <cell r="G662">
            <v>514.02</v>
          </cell>
          <cell r="H662">
            <v>550.00139999999999</v>
          </cell>
          <cell r="J662">
            <v>575</v>
          </cell>
          <cell r="K662">
            <v>575</v>
          </cell>
          <cell r="L662">
            <v>595</v>
          </cell>
          <cell r="M662">
            <v>615</v>
          </cell>
          <cell r="N662">
            <v>645</v>
          </cell>
        </row>
        <row r="663">
          <cell r="B663" t="str">
            <v>N/A</v>
          </cell>
          <cell r="C663" t="str">
            <v>สักหลาดบานเลื่อน 5*20  (80 ม.) PBM  #100-520080</v>
          </cell>
          <cell r="D663" t="str">
            <v>N/A</v>
          </cell>
          <cell r="E663" t="str">
            <v>ลัง /12 ม้วน</v>
          </cell>
          <cell r="G663">
            <v>490.6542</v>
          </cell>
          <cell r="H663">
            <v>524.99999400000002</v>
          </cell>
          <cell r="J663">
            <v>550</v>
          </cell>
          <cell r="K663">
            <v>560</v>
          </cell>
          <cell r="L663">
            <v>565</v>
          </cell>
          <cell r="M663">
            <v>585</v>
          </cell>
          <cell r="N663">
            <v>625</v>
          </cell>
        </row>
        <row r="664">
          <cell r="B664" t="str">
            <v>E017120305L7080500</v>
          </cell>
          <cell r="C664" t="str">
            <v xml:space="preserve">สักหลาดบานสวิง 7*8  (เล็ก 50 ม.) PBM  #100-78050          </v>
          </cell>
          <cell r="D664" t="str">
            <v>N/A</v>
          </cell>
          <cell r="E664" t="str">
            <v>ลัง /12 ม้วน</v>
          </cell>
          <cell r="G664">
            <v>61.682299999999998</v>
          </cell>
          <cell r="H664">
            <v>66.000061000000002</v>
          </cell>
          <cell r="J664">
            <v>69</v>
          </cell>
          <cell r="K664">
            <v>70</v>
          </cell>
          <cell r="L664">
            <v>71</v>
          </cell>
          <cell r="M664">
            <v>75</v>
          </cell>
          <cell r="N664">
            <v>78</v>
          </cell>
        </row>
        <row r="665">
          <cell r="E665" t="str">
            <v>ปลีก/ไม่ลงลัง</v>
          </cell>
          <cell r="G665">
            <v>67.289699999999996</v>
          </cell>
          <cell r="H665">
            <v>71.999978999999996</v>
          </cell>
          <cell r="J665">
            <v>75</v>
          </cell>
          <cell r="K665">
            <v>75</v>
          </cell>
          <cell r="L665">
            <v>78</v>
          </cell>
          <cell r="M665">
            <v>80</v>
          </cell>
          <cell r="N665">
            <v>85</v>
          </cell>
        </row>
        <row r="666">
          <cell r="B666" t="str">
            <v>N/A</v>
          </cell>
          <cell r="C666" t="str">
            <v xml:space="preserve">สักหลาดบานสวิง 7*8  (ใหญ่ 250 ม.) PBM  #100-78250      </v>
          </cell>
          <cell r="D666" t="str">
            <v>N/A</v>
          </cell>
          <cell r="E666" t="str">
            <v>ราคาไม่ลงลัง</v>
          </cell>
          <cell r="G666">
            <v>299.06542056000001</v>
          </cell>
          <cell r="H666">
            <v>319.99999999920004</v>
          </cell>
          <cell r="J666">
            <v>335</v>
          </cell>
          <cell r="K666">
            <v>335</v>
          </cell>
          <cell r="L666">
            <v>345</v>
          </cell>
          <cell r="M666">
            <v>356</v>
          </cell>
          <cell r="N666">
            <v>380</v>
          </cell>
        </row>
        <row r="668">
          <cell r="B668" t="str">
            <v>รหัส</v>
          </cell>
          <cell r="C668" t="str">
            <v>รายการ (มือหมุน/ขาเกล็ด)</v>
          </cell>
          <cell r="D668" t="str">
            <v>สี</v>
          </cell>
          <cell r="E668" t="str">
            <v>บรรจุ</v>
          </cell>
          <cell r="F668" t="str">
            <v>ราคาตั้ง</v>
          </cell>
          <cell r="G668" t="str">
            <v>ทุน
ก่อน VAT</v>
          </cell>
          <cell r="H668" t="str">
            <v>ทุน
รวม VAT</v>
          </cell>
          <cell r="J668" t="str">
            <v>SDM</v>
          </cell>
          <cell r="K668" t="str">
            <v>W1</v>
          </cell>
          <cell r="L668" t="str">
            <v>W2</v>
          </cell>
          <cell r="M668" t="str">
            <v>R1</v>
          </cell>
          <cell r="N668" t="str">
            <v>R2</v>
          </cell>
        </row>
        <row r="669">
          <cell r="B669" t="str">
            <v>E028070501G4000000</v>
          </cell>
          <cell r="C669" t="str">
            <v xml:space="preserve">มือหมุน บาร์โก้                        </v>
          </cell>
          <cell r="D669" t="str">
            <v>ขาวอลู</v>
          </cell>
          <cell r="E669" t="str">
            <v>ลัง/100ชุด</v>
          </cell>
          <cell r="G669">
            <v>73.597999999999999</v>
          </cell>
          <cell r="H669">
            <v>78.749859999999998</v>
          </cell>
          <cell r="J669">
            <v>85</v>
          </cell>
          <cell r="K669">
            <v>88</v>
          </cell>
          <cell r="L669">
            <v>92</v>
          </cell>
          <cell r="M669">
            <v>95</v>
          </cell>
          <cell r="N669">
            <v>100</v>
          </cell>
        </row>
        <row r="670">
          <cell r="B670" t="str">
            <v>E028070502G4000000</v>
          </cell>
          <cell r="C670" t="str">
            <v>มือหมุน บาร์โก้                (ยกเลิกซื้อและเพิ่มสต็อกสีชา ซัพฯเลิกผลิต)</v>
          </cell>
          <cell r="D670" t="str">
            <v>ชา</v>
          </cell>
          <cell r="E670" t="str">
            <v>ลัง/100ชุด</v>
          </cell>
          <cell r="G670">
            <v>78.5047</v>
          </cell>
          <cell r="H670">
            <v>84.000028999999998</v>
          </cell>
          <cell r="J670">
            <v>88</v>
          </cell>
          <cell r="K670">
            <v>88</v>
          </cell>
          <cell r="L670">
            <v>92</v>
          </cell>
          <cell r="M670">
            <v>95</v>
          </cell>
          <cell r="N670">
            <v>100</v>
          </cell>
        </row>
        <row r="671">
          <cell r="B671" t="str">
            <v>N/A</v>
          </cell>
          <cell r="C671" t="str">
            <v xml:space="preserve">มือหมุน บาร์โก้ </v>
          </cell>
          <cell r="D671" t="str">
            <v>ดำ,อบขาว</v>
          </cell>
          <cell r="E671" t="str">
            <v>ลัง/100ชุด</v>
          </cell>
          <cell r="G671">
            <v>84.111999999999995</v>
          </cell>
          <cell r="H671">
            <v>89.999840000000006</v>
          </cell>
          <cell r="J671">
            <v>95</v>
          </cell>
          <cell r="K671">
            <v>98</v>
          </cell>
          <cell r="L671">
            <v>102</v>
          </cell>
          <cell r="M671">
            <v>105</v>
          </cell>
          <cell r="N671">
            <v>110</v>
          </cell>
        </row>
        <row r="672">
          <cell r="B672" t="str">
            <v>N/A</v>
          </cell>
          <cell r="C672" t="str">
            <v>มือหมุน Cekon (เฟืองเป็นซิงค์ชุบแข็ง)                                      สินค้า Pre-Order</v>
          </cell>
          <cell r="D672" t="str">
            <v>ชา,บรอนซ์เทา</v>
          </cell>
          <cell r="E672" t="str">
            <v>ลัง/100ชุด</v>
          </cell>
          <cell r="G672">
            <v>44.8598</v>
          </cell>
          <cell r="H672">
            <v>47.999986</v>
          </cell>
          <cell r="J672">
            <v>50</v>
          </cell>
          <cell r="K672">
            <v>50</v>
          </cell>
          <cell r="L672">
            <v>52</v>
          </cell>
          <cell r="M672">
            <v>55</v>
          </cell>
          <cell r="N672">
            <v>60</v>
          </cell>
        </row>
        <row r="673">
          <cell r="B673" t="str">
            <v>N/A</v>
          </cell>
          <cell r="C673" t="str">
            <v>มือหมุน Cekon (เฟืองเป็นซิงค์)                                                สินค้า Pre-Order</v>
          </cell>
          <cell r="D673" t="str">
            <v>อบขาว/พ่นดำ</v>
          </cell>
          <cell r="E673" t="str">
            <v>ลัง/100ชุด</v>
          </cell>
          <cell r="G673">
            <v>49.532699999999998</v>
          </cell>
          <cell r="H673">
            <v>52.999988999999999</v>
          </cell>
          <cell r="J673">
            <v>56</v>
          </cell>
          <cell r="K673">
            <v>56</v>
          </cell>
          <cell r="L673">
            <v>58</v>
          </cell>
          <cell r="M673">
            <v>60</v>
          </cell>
          <cell r="N673">
            <v>65</v>
          </cell>
        </row>
        <row r="674">
          <cell r="B674" t="str">
            <v>E030070501G4000000</v>
          </cell>
          <cell r="C674" t="str">
            <v>มือหมุน สีขาวอลู ไทยกล้า      (เลิกผลิต)</v>
          </cell>
          <cell r="D674" t="str">
            <v>อบขาว</v>
          </cell>
          <cell r="E674" t="str">
            <v>Stock CB</v>
          </cell>
          <cell r="G674">
            <v>55.2</v>
          </cell>
          <cell r="H674">
            <v>59.064000000000007</v>
          </cell>
          <cell r="J674">
            <v>62</v>
          </cell>
          <cell r="K674">
            <v>62</v>
          </cell>
          <cell r="L674">
            <v>64</v>
          </cell>
          <cell r="M674">
            <v>66</v>
          </cell>
          <cell r="N674">
            <v>70</v>
          </cell>
        </row>
        <row r="675">
          <cell r="B675" t="str">
            <v>E032070502G4000000</v>
          </cell>
          <cell r="C675" t="str">
            <v>มือหมุนสามศร</v>
          </cell>
          <cell r="D675" t="str">
            <v>สีชา</v>
          </cell>
          <cell r="E675" t="str">
            <v>Stock PK</v>
          </cell>
          <cell r="G675">
            <v>121.4954</v>
          </cell>
          <cell r="H675">
            <v>130.000078</v>
          </cell>
          <cell r="J675">
            <v>140</v>
          </cell>
          <cell r="K675">
            <v>140</v>
          </cell>
          <cell r="L675">
            <v>145</v>
          </cell>
          <cell r="M675">
            <v>155</v>
          </cell>
          <cell r="N675">
            <v>160</v>
          </cell>
        </row>
        <row r="676">
          <cell r="B676" t="str">
            <v>N/A</v>
          </cell>
          <cell r="C676" t="str">
            <v>มือหมุน 555</v>
          </cell>
          <cell r="D676" t="str">
            <v>ทุกสี</v>
          </cell>
          <cell r="E676" t="str">
            <v>ลัง/100ชุด</v>
          </cell>
          <cell r="G676">
            <v>145</v>
          </cell>
          <cell r="H676">
            <v>155.15</v>
          </cell>
          <cell r="J676">
            <v>165</v>
          </cell>
          <cell r="K676">
            <v>165</v>
          </cell>
          <cell r="L676">
            <v>170</v>
          </cell>
          <cell r="M676">
            <v>175</v>
          </cell>
          <cell r="N676">
            <v>185</v>
          </cell>
        </row>
        <row r="677">
          <cell r="B677" t="str">
            <v>รหัส</v>
          </cell>
          <cell r="C677" t="str">
            <v>รายการ (ขาเกล็ด ยี่ห้อ 888 รุ่นบาง)</v>
          </cell>
          <cell r="D677" t="str">
            <v>สี</v>
          </cell>
          <cell r="E677" t="str">
            <v>บรรจุ</v>
          </cell>
          <cell r="F677" t="str">
            <v>ราคาตั้ง</v>
          </cell>
          <cell r="G677" t="str">
            <v>ทุน
ก่อน VAT</v>
          </cell>
          <cell r="H677" t="str">
            <v>ทุน
รวม VAT</v>
          </cell>
          <cell r="J677" t="str">
            <v>SDM</v>
          </cell>
          <cell r="K677" t="str">
            <v>W1</v>
          </cell>
          <cell r="L677" t="str">
            <v>W2</v>
          </cell>
          <cell r="M677" t="str">
            <v>R1</v>
          </cell>
          <cell r="N677" t="str">
            <v>R2</v>
          </cell>
        </row>
        <row r="678">
          <cell r="B678" t="str">
            <v>E027070501G1401100</v>
          </cell>
          <cell r="C678" t="str">
            <v>ขาเกล็ด 4*11     (รุ่นบางสุด ป้ายตอง888)</v>
          </cell>
          <cell r="D678" t="str">
            <v>ขาวอลู</v>
          </cell>
          <cell r="E678" t="str">
            <v>ลัง/10ชุด</v>
          </cell>
          <cell r="G678">
            <v>123.36450000000001</v>
          </cell>
          <cell r="H678">
            <v>132.00001500000002</v>
          </cell>
          <cell r="J678">
            <v>137.5</v>
          </cell>
          <cell r="K678">
            <v>143</v>
          </cell>
          <cell r="L678">
            <v>148.5</v>
          </cell>
          <cell r="M678">
            <v>159.5</v>
          </cell>
          <cell r="N678">
            <v>165</v>
          </cell>
        </row>
        <row r="679">
          <cell r="B679" t="str">
            <v>E027070502Z1401100</v>
          </cell>
          <cell r="C679" t="str">
            <v>ขาเกล็ด 4*11     (รุ่นบางสุด ป้ายตอง888)              ซัพฯยกเลิกผลิต ให้ขายเท่าที่มีสต็อก</v>
          </cell>
          <cell r="D679" t="str">
            <v>ชา</v>
          </cell>
          <cell r="E679" t="str">
            <v>ลัง/10ชุด</v>
          </cell>
          <cell r="G679">
            <v>123.42</v>
          </cell>
          <cell r="H679">
            <v>132.05940000000001</v>
          </cell>
          <cell r="J679">
            <v>138</v>
          </cell>
          <cell r="K679">
            <v>138</v>
          </cell>
          <cell r="L679">
            <v>142</v>
          </cell>
          <cell r="M679">
            <v>147</v>
          </cell>
          <cell r="N679">
            <v>156</v>
          </cell>
        </row>
        <row r="680">
          <cell r="B680" t="str">
            <v>E027070501G1401200</v>
          </cell>
          <cell r="C680" t="str">
            <v>ขาเกล็ด 4*12      (รุ่นบางสุด ป้ายตอง888)</v>
          </cell>
          <cell r="D680" t="str">
            <v>ขาวอลู</v>
          </cell>
          <cell r="E680" t="str">
            <v>ลัง/10ชุด</v>
          </cell>
          <cell r="G680">
            <v>134.5795</v>
          </cell>
          <cell r="H680">
            <v>144.00006500000001</v>
          </cell>
          <cell r="J680">
            <v>150</v>
          </cell>
          <cell r="K680">
            <v>156</v>
          </cell>
          <cell r="L680">
            <v>162</v>
          </cell>
          <cell r="M680">
            <v>174</v>
          </cell>
          <cell r="N680">
            <v>180</v>
          </cell>
        </row>
        <row r="681">
          <cell r="B681" t="str">
            <v>E027070502Z1401200</v>
          </cell>
          <cell r="C681" t="str">
            <v>ขาเกล็ด 4*12      (รุ่นบางสุด ป้ายตอง888)             ซัพฯยกเลิกผลิต ให้ขายเท่าที่มีสต็อก</v>
          </cell>
          <cell r="D681" t="str">
            <v>ชา</v>
          </cell>
          <cell r="E681" t="str">
            <v>ลัง/10ชุด</v>
          </cell>
          <cell r="G681">
            <v>134.63999999999999</v>
          </cell>
          <cell r="H681">
            <v>144.06479999999999</v>
          </cell>
          <cell r="J681">
            <v>150</v>
          </cell>
          <cell r="K681">
            <v>150</v>
          </cell>
          <cell r="L681">
            <v>155</v>
          </cell>
          <cell r="M681">
            <v>160</v>
          </cell>
          <cell r="N681">
            <v>170</v>
          </cell>
        </row>
        <row r="682">
          <cell r="B682" t="str">
            <v>รหัส</v>
          </cell>
          <cell r="C682" t="str">
            <v>รายการ (ขาเกล็ด ยี่ห้อ บาร์โก้ ป้ายเหลือง)</v>
          </cell>
          <cell r="D682" t="str">
            <v>สี</v>
          </cell>
          <cell r="E682" t="str">
            <v>บรรจุ</v>
          </cell>
          <cell r="F682" t="str">
            <v>ราคาตั้ง</v>
          </cell>
          <cell r="G682" t="str">
            <v>ทุน
ก่อน VAT</v>
          </cell>
          <cell r="H682" t="str">
            <v>ทุน
รวม VAT</v>
          </cell>
          <cell r="J682" t="str">
            <v>SDM</v>
          </cell>
          <cell r="K682" t="str">
            <v>W1</v>
          </cell>
          <cell r="L682" t="str">
            <v>W2</v>
          </cell>
          <cell r="M682" t="str">
            <v>R1</v>
          </cell>
          <cell r="N682" t="str">
            <v>R2</v>
          </cell>
        </row>
        <row r="683">
          <cell r="B683" t="str">
            <v>E028070501G1401100</v>
          </cell>
          <cell r="C683" t="str">
            <v>ขาเกล็ดบาร์โก้ 4*11 #(รุ่นบางปกติ ป้ายเหลือง)</v>
          </cell>
          <cell r="D683" t="str">
            <v>ขาวอลู</v>
          </cell>
          <cell r="E683" t="str">
            <v>ลัง/10ชุด</v>
          </cell>
          <cell r="G683">
            <v>161.91589999999999</v>
          </cell>
          <cell r="H683">
            <v>173.250013</v>
          </cell>
          <cell r="J683">
            <v>184.25</v>
          </cell>
          <cell r="K683">
            <v>187</v>
          </cell>
          <cell r="L683">
            <v>192.5</v>
          </cell>
          <cell r="M683">
            <v>203.5</v>
          </cell>
          <cell r="N683">
            <v>220</v>
          </cell>
        </row>
        <row r="684">
          <cell r="B684" t="str">
            <v>E028070502G1401100</v>
          </cell>
          <cell r="C684" t="str">
            <v>ขาเกล็ดบาร์โก้ 4*11 #(รุ่นบางปกติ ป้ายเหลือง)         ซัพฯยกเลิกผลิต ให้ขายเท่าที่มีสต็อก</v>
          </cell>
          <cell r="D684" t="str">
            <v>ชา</v>
          </cell>
          <cell r="E684" t="str">
            <v>ลัง/10ชุด</v>
          </cell>
          <cell r="G684">
            <v>172.7</v>
          </cell>
          <cell r="H684">
            <v>184.78899999999999</v>
          </cell>
          <cell r="J684">
            <v>195</v>
          </cell>
          <cell r="K684">
            <v>195</v>
          </cell>
          <cell r="L684">
            <v>200</v>
          </cell>
          <cell r="M684">
            <v>210</v>
          </cell>
          <cell r="N684">
            <v>218</v>
          </cell>
        </row>
        <row r="685">
          <cell r="B685" t="str">
            <v>E028070501G1401200</v>
          </cell>
          <cell r="C685" t="str">
            <v>ขาเกล็ดบาร์โก้ 4*12 #(รุ่นบางปกติ ป้ายเหลือง)</v>
          </cell>
          <cell r="D685" t="str">
            <v>ขาวอลู</v>
          </cell>
          <cell r="E685" t="str">
            <v>ลัง/10ชุด</v>
          </cell>
          <cell r="G685">
            <v>176.63550000000001</v>
          </cell>
          <cell r="H685">
            <v>188.99998500000001</v>
          </cell>
          <cell r="J685">
            <v>201</v>
          </cell>
          <cell r="K685">
            <v>204</v>
          </cell>
          <cell r="L685">
            <v>210</v>
          </cell>
          <cell r="M685">
            <v>222</v>
          </cell>
          <cell r="N685">
            <v>240</v>
          </cell>
        </row>
        <row r="686">
          <cell r="B686" t="str">
            <v>E028070502G1401200</v>
          </cell>
          <cell r="C686" t="str">
            <v>ขาเกล็ดบาร์โก้ 4*12 #(รุ่นบางปกติ ป้ายเหลือง)        ซัพฯยกเลิกผลิต ให้ขายเท่าที่มีสต็อก</v>
          </cell>
          <cell r="D686" t="str">
            <v>ชา</v>
          </cell>
          <cell r="E686" t="str">
            <v>ลัง/10ชุด</v>
          </cell>
          <cell r="G686">
            <v>188.4</v>
          </cell>
          <cell r="H686">
            <v>201.58800000000002</v>
          </cell>
          <cell r="J686">
            <v>210</v>
          </cell>
          <cell r="K686">
            <v>210</v>
          </cell>
          <cell r="L686">
            <v>217</v>
          </cell>
          <cell r="M686">
            <v>225</v>
          </cell>
          <cell r="N686">
            <v>240</v>
          </cell>
        </row>
        <row r="687">
          <cell r="B687" t="str">
            <v>รหัส</v>
          </cell>
          <cell r="C687" t="str">
            <v>รายการ (ขาเกล็ด ยี่ห้อ บาร์โก้ ป้ายเขียว)</v>
          </cell>
          <cell r="D687" t="str">
            <v>สี</v>
          </cell>
          <cell r="E687" t="str">
            <v>บรรจุ</v>
          </cell>
          <cell r="F687" t="str">
            <v>ราคาตั้ง</v>
          </cell>
          <cell r="G687" t="str">
            <v>ทุน
ก่อน VAT</v>
          </cell>
          <cell r="H687" t="str">
            <v>ทุน
รวม VAT</v>
          </cell>
          <cell r="J687" t="str">
            <v>SDM</v>
          </cell>
          <cell r="K687" t="str">
            <v>W1</v>
          </cell>
          <cell r="L687" t="str">
            <v>W2</v>
          </cell>
          <cell r="M687" t="str">
            <v>R1</v>
          </cell>
          <cell r="N687" t="str">
            <v>R2</v>
          </cell>
        </row>
        <row r="688">
          <cell r="B688" t="str">
            <v>N/A</v>
          </cell>
          <cell r="C688" t="str">
            <v>ขาเกล็ดบาร์โก้ 4*11  (รุ่นหนา ป้ายเขียว)</v>
          </cell>
          <cell r="D688" t="str">
            <v>ดำ/อบขาว</v>
          </cell>
          <cell r="E688" t="str">
            <v>ลัง/10ชุด</v>
          </cell>
          <cell r="G688">
            <v>269.85980000000001</v>
          </cell>
          <cell r="H688">
            <v>288.74998600000004</v>
          </cell>
          <cell r="J688">
            <v>302.5</v>
          </cell>
          <cell r="K688">
            <v>313.5</v>
          </cell>
          <cell r="L688">
            <v>319</v>
          </cell>
          <cell r="M688">
            <v>341</v>
          </cell>
          <cell r="N688">
            <v>363</v>
          </cell>
        </row>
        <row r="689">
          <cell r="B689" t="str">
            <v>N/A</v>
          </cell>
          <cell r="C689" t="str">
            <v>ขาเกล็ดบาร์โก้ 4*12  (รุ่นหนา ป้ายเขียว)</v>
          </cell>
          <cell r="D689" t="str">
            <v>ดำ/อบขาว</v>
          </cell>
          <cell r="E689" t="str">
            <v>ลัง/10ชุด</v>
          </cell>
          <cell r="G689">
            <v>294.39249999999998</v>
          </cell>
          <cell r="H689">
            <v>314.99997500000001</v>
          </cell>
          <cell r="J689">
            <v>330</v>
          </cell>
          <cell r="K689">
            <v>342</v>
          </cell>
          <cell r="L689">
            <v>348</v>
          </cell>
          <cell r="M689">
            <v>372</v>
          </cell>
          <cell r="N689">
            <v>396</v>
          </cell>
        </row>
        <row r="691">
          <cell r="B691" t="str">
            <v>รหัส</v>
          </cell>
          <cell r="C691" t="str">
            <v>รายการ (ขาเกล็ด ยี่ห้อ สามศร ครบชุด) (เช็คราคาก่อนเสนอราคา)</v>
          </cell>
          <cell r="D691" t="str">
            <v>สี</v>
          </cell>
          <cell r="E691" t="str">
            <v>บรรจุ</v>
          </cell>
          <cell r="F691" t="str">
            <v>ราคาตั้ง</v>
          </cell>
          <cell r="G691" t="str">
            <v>ทุน
ก่อน VAT</v>
          </cell>
          <cell r="H691" t="str">
            <v>ทุน
รวม VAT</v>
          </cell>
          <cell r="J691" t="str">
            <v>SDM</v>
          </cell>
          <cell r="K691" t="str">
            <v>W1</v>
          </cell>
          <cell r="L691" t="str">
            <v>W2</v>
          </cell>
          <cell r="M691" t="str">
            <v>R1</v>
          </cell>
          <cell r="N691" t="str">
            <v>R2</v>
          </cell>
        </row>
        <row r="692">
          <cell r="B692" t="str">
            <v>N/A</v>
          </cell>
          <cell r="C692" t="str">
            <v>ชุดขาเกล็ด สามศร 4"*4เกล็ด, 4"*5เกล็ด, 4"*6เกล็ด (ครบชุด)</v>
          </cell>
          <cell r="D692" t="str">
            <v>ขาวอลู</v>
          </cell>
          <cell r="E692" t="str">
            <v>สูง 46.6 ซม.</v>
          </cell>
          <cell r="G692">
            <v>207.47669999999999</v>
          </cell>
          <cell r="H692">
            <v>222.000069</v>
          </cell>
          <cell r="J692">
            <v>235</v>
          </cell>
          <cell r="K692">
            <v>235</v>
          </cell>
          <cell r="L692">
            <v>240</v>
          </cell>
          <cell r="M692">
            <v>250</v>
          </cell>
          <cell r="N692">
            <v>265</v>
          </cell>
        </row>
        <row r="693">
          <cell r="D693" t="str">
            <v>สีชา</v>
          </cell>
          <cell r="E693" t="str">
            <v>สูง 46.6 ซม.</v>
          </cell>
          <cell r="G693">
            <v>248.97200000000001</v>
          </cell>
          <cell r="H693">
            <v>266.40004000000005</v>
          </cell>
          <cell r="J693">
            <v>280</v>
          </cell>
          <cell r="K693">
            <v>280</v>
          </cell>
          <cell r="L693">
            <v>290</v>
          </cell>
          <cell r="M693">
            <v>300</v>
          </cell>
          <cell r="N693">
            <v>315</v>
          </cell>
        </row>
        <row r="694">
          <cell r="D694" t="str">
            <v>อบขาว/พ่นดำ</v>
          </cell>
          <cell r="E694" t="str">
            <v>สูง 46.6 ซม.</v>
          </cell>
          <cell r="G694">
            <v>257.27109999999999</v>
          </cell>
          <cell r="H694">
            <v>275.28007700000001</v>
          </cell>
          <cell r="J694">
            <v>290</v>
          </cell>
          <cell r="K694">
            <v>290</v>
          </cell>
          <cell r="L694">
            <v>300</v>
          </cell>
          <cell r="M694">
            <v>305</v>
          </cell>
          <cell r="N694">
            <v>325</v>
          </cell>
        </row>
        <row r="695">
          <cell r="B695" t="str">
            <v>N/A</v>
          </cell>
          <cell r="C695" t="str">
            <v>ชุดขาเกล็ด สามศร 4*6 (ครบชุด)</v>
          </cell>
          <cell r="D695" t="str">
            <v>ขาวอลู</v>
          </cell>
          <cell r="E695" t="str">
            <v>สูง 55.5 ซม.</v>
          </cell>
          <cell r="G695">
            <v>207.47669999999999</v>
          </cell>
          <cell r="H695">
            <v>222.000069</v>
          </cell>
          <cell r="J695">
            <v>240</v>
          </cell>
          <cell r="K695">
            <v>240</v>
          </cell>
          <cell r="L695">
            <v>245</v>
          </cell>
          <cell r="M695">
            <v>255</v>
          </cell>
          <cell r="N695">
            <v>270</v>
          </cell>
        </row>
        <row r="696">
          <cell r="D696" t="str">
            <v>สีชา</v>
          </cell>
          <cell r="E696" t="str">
            <v>สูง 55.5 ซม.</v>
          </cell>
          <cell r="G696">
            <v>248.97200000000001</v>
          </cell>
          <cell r="H696">
            <v>266.40004000000005</v>
          </cell>
          <cell r="J696">
            <v>285</v>
          </cell>
          <cell r="K696">
            <v>285</v>
          </cell>
          <cell r="L696">
            <v>295</v>
          </cell>
          <cell r="M696">
            <v>310</v>
          </cell>
          <cell r="N696">
            <v>320</v>
          </cell>
        </row>
        <row r="697">
          <cell r="D697" t="str">
            <v>อบขาว/พ่นดำ</v>
          </cell>
          <cell r="E697" t="str">
            <v>สูง 55.5 ซม.</v>
          </cell>
          <cell r="G697">
            <v>257.27109999999999</v>
          </cell>
          <cell r="H697">
            <v>275.28007700000001</v>
          </cell>
          <cell r="J697">
            <v>295</v>
          </cell>
          <cell r="K697">
            <v>295</v>
          </cell>
          <cell r="L697">
            <v>305</v>
          </cell>
          <cell r="M697">
            <v>310</v>
          </cell>
          <cell r="N697">
            <v>330</v>
          </cell>
        </row>
        <row r="698">
          <cell r="B698" t="str">
            <v>N/A</v>
          </cell>
          <cell r="C698" t="str">
            <v>ชุดขาเกล็ด สามศร 4*7 (ครบชุด)</v>
          </cell>
          <cell r="D698" t="str">
            <v>ขาวอลู</v>
          </cell>
          <cell r="E698" t="str">
            <v>สูง 64.40 ซม.</v>
          </cell>
          <cell r="G698">
            <v>221.30841121399999</v>
          </cell>
          <cell r="H698">
            <v>236.79999999898001</v>
          </cell>
          <cell r="J698">
            <v>250</v>
          </cell>
          <cell r="K698">
            <v>250</v>
          </cell>
          <cell r="L698">
            <v>260</v>
          </cell>
          <cell r="M698">
            <v>270</v>
          </cell>
          <cell r="N698">
            <v>280</v>
          </cell>
        </row>
        <row r="699">
          <cell r="D699" t="str">
            <v>สีชา</v>
          </cell>
          <cell r="E699" t="str">
            <v>สูง 64.40 ซม.</v>
          </cell>
          <cell r="G699">
            <v>269.71962616799999</v>
          </cell>
          <cell r="H699">
            <v>288.59999999976003</v>
          </cell>
          <cell r="J699">
            <v>305</v>
          </cell>
          <cell r="K699">
            <v>305</v>
          </cell>
          <cell r="L699">
            <v>315</v>
          </cell>
          <cell r="M699">
            <v>330</v>
          </cell>
          <cell r="N699">
            <v>340</v>
          </cell>
        </row>
        <row r="700">
          <cell r="D700" t="str">
            <v>อบขาว/พ่นดำ</v>
          </cell>
          <cell r="E700" t="str">
            <v>สูง 64.40 ซม.</v>
          </cell>
          <cell r="G700">
            <v>279.40186915800001</v>
          </cell>
          <cell r="H700">
            <v>298.95999999906002</v>
          </cell>
          <cell r="J700">
            <v>315</v>
          </cell>
          <cell r="K700">
            <v>315</v>
          </cell>
          <cell r="L700">
            <v>325</v>
          </cell>
          <cell r="M700">
            <v>340</v>
          </cell>
          <cell r="N700">
            <v>355</v>
          </cell>
        </row>
        <row r="701">
          <cell r="B701" t="str">
            <v>N/A</v>
          </cell>
          <cell r="C701" t="str">
            <v>ชุดขาเกล็ด สามศร 4*8 (ครบชุด)</v>
          </cell>
          <cell r="D701" t="str">
            <v>ขาวอลู</v>
          </cell>
          <cell r="E701" t="str">
            <v>สูง  73.30 ซม.</v>
          </cell>
          <cell r="G701">
            <v>238.598130841</v>
          </cell>
          <cell r="H701">
            <v>255.29999999987001</v>
          </cell>
          <cell r="J701">
            <v>270</v>
          </cell>
          <cell r="K701">
            <v>270</v>
          </cell>
          <cell r="L701">
            <v>275</v>
          </cell>
          <cell r="M701">
            <v>285</v>
          </cell>
          <cell r="N701">
            <v>305</v>
          </cell>
        </row>
        <row r="702">
          <cell r="D702" t="str">
            <v>สีชา</v>
          </cell>
          <cell r="E702" t="str">
            <v>สูง  73.30 ซม.</v>
          </cell>
          <cell r="G702">
            <v>293.925233644</v>
          </cell>
          <cell r="H702">
            <v>314.49999999908005</v>
          </cell>
          <cell r="J702">
            <v>330</v>
          </cell>
          <cell r="K702">
            <v>330</v>
          </cell>
          <cell r="L702">
            <v>340</v>
          </cell>
          <cell r="M702">
            <v>350</v>
          </cell>
          <cell r="N702">
            <v>375</v>
          </cell>
        </row>
        <row r="703">
          <cell r="D703" t="str">
            <v>อบขาว/พ่นดำ</v>
          </cell>
          <cell r="E703" t="str">
            <v>สูง  73.30 ซม.</v>
          </cell>
          <cell r="G703">
            <v>304.990654205</v>
          </cell>
          <cell r="H703">
            <v>326.33999999935003</v>
          </cell>
          <cell r="J703">
            <v>340</v>
          </cell>
          <cell r="K703">
            <v>340</v>
          </cell>
          <cell r="L703">
            <v>355</v>
          </cell>
          <cell r="M703">
            <v>365</v>
          </cell>
          <cell r="N703">
            <v>385</v>
          </cell>
        </row>
        <row r="704">
          <cell r="B704" t="str">
            <v>N/A</v>
          </cell>
          <cell r="C704" t="str">
            <v>ชุดขาเกล็ด สามศร 4*10 (ครบชุด)</v>
          </cell>
          <cell r="D704" t="str">
            <v>ขาวอลู</v>
          </cell>
          <cell r="E704" t="str">
            <v>สูง 91.10ซม.</v>
          </cell>
          <cell r="G704">
            <v>273.18</v>
          </cell>
          <cell r="H704">
            <v>292.30260000000004</v>
          </cell>
          <cell r="J704">
            <v>305</v>
          </cell>
          <cell r="K704">
            <v>305</v>
          </cell>
          <cell r="L704">
            <v>315</v>
          </cell>
          <cell r="M704">
            <v>325</v>
          </cell>
          <cell r="N704">
            <v>350</v>
          </cell>
        </row>
        <row r="705">
          <cell r="B705" t="str">
            <v>N/A</v>
          </cell>
          <cell r="D705" t="str">
            <v>ชา</v>
          </cell>
          <cell r="E705" t="str">
            <v>สูง 91.10ซม.</v>
          </cell>
          <cell r="G705">
            <v>342.34</v>
          </cell>
          <cell r="H705">
            <v>366.30379999999997</v>
          </cell>
          <cell r="J705">
            <v>382</v>
          </cell>
          <cell r="K705">
            <v>385</v>
          </cell>
          <cell r="L705">
            <v>400</v>
          </cell>
          <cell r="M705">
            <v>415</v>
          </cell>
          <cell r="N705">
            <v>430</v>
          </cell>
        </row>
        <row r="706">
          <cell r="B706" t="str">
            <v>N/A</v>
          </cell>
          <cell r="D706" t="str">
            <v>อบขาว/พ่นดำ</v>
          </cell>
          <cell r="E706" t="str">
            <v>สูง 91.10ซม.</v>
          </cell>
          <cell r="G706">
            <v>356.17</v>
          </cell>
          <cell r="H706">
            <v>381.10190000000006</v>
          </cell>
          <cell r="J706">
            <v>397</v>
          </cell>
          <cell r="K706">
            <v>400</v>
          </cell>
          <cell r="L706">
            <v>410</v>
          </cell>
          <cell r="M706">
            <v>425</v>
          </cell>
          <cell r="N706">
            <v>450</v>
          </cell>
        </row>
        <row r="707">
          <cell r="B707" t="str">
            <v>E032070501G3401100</v>
          </cell>
          <cell r="C707" t="str">
            <v>ชุดขาเกล็ด สามศร 4*11  (ครบชุด)                            สินค้า Pre-Order</v>
          </cell>
          <cell r="D707" t="str">
            <v>ขาวอลู</v>
          </cell>
          <cell r="E707" t="str">
            <v>สูง100 ซม.</v>
          </cell>
          <cell r="G707">
            <v>290.47000000000003</v>
          </cell>
          <cell r="H707">
            <v>310.80290000000002</v>
          </cell>
          <cell r="J707">
            <v>325</v>
          </cell>
          <cell r="K707">
            <v>330</v>
          </cell>
          <cell r="L707">
            <v>335</v>
          </cell>
          <cell r="M707">
            <v>350</v>
          </cell>
          <cell r="N707">
            <v>365</v>
          </cell>
        </row>
        <row r="708">
          <cell r="B708" t="str">
            <v>E032070502G3401100</v>
          </cell>
          <cell r="D708" t="str">
            <v>ชา</v>
          </cell>
          <cell r="E708" t="str">
            <v>สูง100 ซม.</v>
          </cell>
          <cell r="G708">
            <v>366.55</v>
          </cell>
          <cell r="H708">
            <v>392.20850000000002</v>
          </cell>
          <cell r="J708">
            <v>410</v>
          </cell>
          <cell r="K708">
            <v>415</v>
          </cell>
          <cell r="L708">
            <v>425</v>
          </cell>
          <cell r="M708">
            <v>435</v>
          </cell>
          <cell r="N708">
            <v>465</v>
          </cell>
        </row>
        <row r="709">
          <cell r="B709" t="str">
            <v>N/A</v>
          </cell>
          <cell r="D709" t="str">
            <v>อบขาว/พ่นดำ</v>
          </cell>
          <cell r="E709" t="str">
            <v>สูง100 ซม.</v>
          </cell>
          <cell r="G709">
            <v>381.76</v>
          </cell>
          <cell r="H709">
            <v>408.48320000000001</v>
          </cell>
          <cell r="J709">
            <v>430</v>
          </cell>
          <cell r="K709">
            <v>435</v>
          </cell>
          <cell r="L709">
            <v>440</v>
          </cell>
          <cell r="M709">
            <v>455</v>
          </cell>
          <cell r="N709">
            <v>480</v>
          </cell>
        </row>
        <row r="710">
          <cell r="B710" t="str">
            <v>E032070501G3401200</v>
          </cell>
          <cell r="C710" t="str">
            <v>ชุดขาเกล็ด สามศร 4*12  (ครบชุด) (ฉากยาว 90cm. +พร้อมมือหมุน)</v>
          </cell>
          <cell r="D710" t="str">
            <v>ขาวอลู</v>
          </cell>
          <cell r="E710" t="str">
            <v>สูง 108.90 ซม.</v>
          </cell>
          <cell r="G710">
            <v>307.76</v>
          </cell>
          <cell r="H710">
            <v>329.3032</v>
          </cell>
          <cell r="J710">
            <v>345</v>
          </cell>
          <cell r="K710">
            <v>350</v>
          </cell>
          <cell r="L710">
            <v>355</v>
          </cell>
          <cell r="M710">
            <v>365</v>
          </cell>
          <cell r="N710">
            <v>390</v>
          </cell>
        </row>
        <row r="711">
          <cell r="B711" t="str">
            <v>E032070502G3401200</v>
          </cell>
          <cell r="D711" t="str">
            <v>ชา</v>
          </cell>
          <cell r="E711" t="str">
            <v>สูง 108.90 ซม.</v>
          </cell>
          <cell r="G711">
            <v>390.75</v>
          </cell>
          <cell r="H711">
            <v>418.10250000000002</v>
          </cell>
          <cell r="J711">
            <v>440</v>
          </cell>
          <cell r="K711">
            <v>445</v>
          </cell>
          <cell r="L711">
            <v>450</v>
          </cell>
          <cell r="M711">
            <v>465</v>
          </cell>
          <cell r="N711">
            <v>490</v>
          </cell>
        </row>
        <row r="712">
          <cell r="B712" t="str">
            <v>N/A</v>
          </cell>
          <cell r="D712" t="str">
            <v>อบขาว/พ่นดำ</v>
          </cell>
          <cell r="E712" t="str">
            <v>สูง 108.90 ซม.</v>
          </cell>
          <cell r="G712">
            <v>407.35</v>
          </cell>
          <cell r="H712">
            <v>435.86450000000008</v>
          </cell>
          <cell r="J712">
            <v>455</v>
          </cell>
          <cell r="K712">
            <v>460</v>
          </cell>
          <cell r="L712">
            <v>470</v>
          </cell>
          <cell r="M712">
            <v>485</v>
          </cell>
          <cell r="N712">
            <v>515</v>
          </cell>
        </row>
        <row r="713">
          <cell r="B713" t="str">
            <v>N/A</v>
          </cell>
          <cell r="C713" t="str">
            <v>ชุดขาเกล็ด สามศร 4*13  (ครบชุด)                                  สินค้า Pre-Order</v>
          </cell>
          <cell r="D713" t="str">
            <v>ขาวอลู</v>
          </cell>
          <cell r="E713" t="str">
            <v>สูง 117.80 ซม.</v>
          </cell>
          <cell r="G713">
            <v>325.04680000000002</v>
          </cell>
          <cell r="H713">
            <v>347.80007600000005</v>
          </cell>
          <cell r="J713">
            <v>365</v>
          </cell>
          <cell r="K713">
            <v>370</v>
          </cell>
          <cell r="L713">
            <v>375</v>
          </cell>
          <cell r="M713">
            <v>395</v>
          </cell>
          <cell r="N713">
            <v>415</v>
          </cell>
        </row>
        <row r="714">
          <cell r="B714" t="str">
            <v>N/A</v>
          </cell>
          <cell r="C714" t="str">
            <v>ชุดขาเกล็ด สามศร 4*13  (ครบชุด)                                  สินค้า Pre-Order</v>
          </cell>
          <cell r="D714" t="str">
            <v>อบขาว/พ่นดำ</v>
          </cell>
          <cell r="E714" t="str">
            <v>สูง 117.80 ซม.</v>
          </cell>
          <cell r="G714">
            <v>432.93459999999999</v>
          </cell>
          <cell r="H714">
            <v>463.24002200000001</v>
          </cell>
          <cell r="J714">
            <v>485</v>
          </cell>
          <cell r="K714">
            <v>490</v>
          </cell>
          <cell r="L714">
            <v>500</v>
          </cell>
          <cell r="M714">
            <v>515</v>
          </cell>
          <cell r="N714">
            <v>545</v>
          </cell>
        </row>
        <row r="715">
          <cell r="B715" t="str">
            <v>N/A</v>
          </cell>
          <cell r="C715" t="str">
            <v>ชุดขาเกล็ด สามศร 4*13  (ครบชุด)                                  สินค้า Pre-Order</v>
          </cell>
          <cell r="D715" t="str">
            <v>ชา</v>
          </cell>
          <cell r="E715" t="str">
            <v>สูง 117.80 ซม.</v>
          </cell>
          <cell r="G715">
            <v>415</v>
          </cell>
          <cell r="H715">
            <v>444.05</v>
          </cell>
          <cell r="J715">
            <v>465</v>
          </cell>
          <cell r="K715">
            <v>475</v>
          </cell>
          <cell r="L715">
            <v>480</v>
          </cell>
          <cell r="M715">
            <v>495</v>
          </cell>
          <cell r="N715">
            <v>525</v>
          </cell>
        </row>
        <row r="716">
          <cell r="B716" t="str">
            <v>N/A</v>
          </cell>
          <cell r="C716" t="str">
            <v>ชุดขาเกล็ด สามศร 4*14  (ครบชุด)                                  สินค้า Pre-Order</v>
          </cell>
          <cell r="D716" t="str">
            <v>ขาว</v>
          </cell>
          <cell r="E716" t="str">
            <v>สูง 126.70 ซม.</v>
          </cell>
          <cell r="G716">
            <v>345.794392523</v>
          </cell>
          <cell r="H716">
            <v>369.99999999961</v>
          </cell>
          <cell r="J716">
            <v>390</v>
          </cell>
          <cell r="K716">
            <v>395</v>
          </cell>
          <cell r="L716">
            <v>400</v>
          </cell>
          <cell r="M716">
            <v>415</v>
          </cell>
          <cell r="N716">
            <v>435</v>
          </cell>
        </row>
        <row r="717">
          <cell r="B717" t="str">
            <v>N/A</v>
          </cell>
          <cell r="C717" t="str">
            <v>ชุดขาเกล็ด สามศร 4*14  (ครบชุด)                                  สินค้า Pre-Order</v>
          </cell>
          <cell r="D717" t="str">
            <v>อบขาว/พ่นดำ</v>
          </cell>
          <cell r="E717" t="str">
            <v>สูง 126.70 ซม.</v>
          </cell>
          <cell r="G717">
            <v>461.98129999999998</v>
          </cell>
          <cell r="H717">
            <v>494.31999100000002</v>
          </cell>
          <cell r="J717">
            <v>525</v>
          </cell>
          <cell r="K717">
            <v>535</v>
          </cell>
          <cell r="L717">
            <v>550</v>
          </cell>
          <cell r="M717">
            <v>585</v>
          </cell>
          <cell r="N717">
            <v>625</v>
          </cell>
        </row>
        <row r="718">
          <cell r="B718" t="str">
            <v>N/A</v>
          </cell>
          <cell r="C718" t="str">
            <v>ชุดขาเกล็ด สามศร 4*15  (ครบชุด)                                 สินค้า Pre-Order</v>
          </cell>
          <cell r="D718" t="str">
            <v>ชา</v>
          </cell>
          <cell r="E718" t="str">
            <v>สูง 135.60 ซม.</v>
          </cell>
          <cell r="G718">
            <v>470.28039999999999</v>
          </cell>
          <cell r="H718">
            <v>503.20002800000003</v>
          </cell>
          <cell r="J718">
            <v>530</v>
          </cell>
          <cell r="K718">
            <v>540</v>
          </cell>
          <cell r="L718">
            <v>545</v>
          </cell>
          <cell r="M718">
            <v>560</v>
          </cell>
          <cell r="N718">
            <v>595</v>
          </cell>
        </row>
        <row r="719">
          <cell r="B719" t="str">
            <v>E032070502G3401500</v>
          </cell>
          <cell r="C719" t="str">
            <v>ชุดขาเกล็ด สามศร 4*15  (ครบชุด)                                   (มี stock RY=8)</v>
          </cell>
          <cell r="D719" t="str">
            <v>ชา</v>
          </cell>
          <cell r="E719" t="str">
            <v>สูง 135.60 ซม.</v>
          </cell>
          <cell r="G719">
            <v>306</v>
          </cell>
          <cell r="H719">
            <v>327.42</v>
          </cell>
          <cell r="J719">
            <v>350</v>
          </cell>
          <cell r="K719">
            <v>365</v>
          </cell>
          <cell r="L719">
            <v>385</v>
          </cell>
          <cell r="M719">
            <v>400</v>
          </cell>
          <cell r="N719">
            <v>425</v>
          </cell>
        </row>
        <row r="720">
          <cell r="B720" t="str">
            <v>N/A</v>
          </cell>
          <cell r="C720" t="str">
            <v>ชุดขาเกล็ด สามศร 4*15  (ครบชุด)                                 สินค้า Pre-Order</v>
          </cell>
          <cell r="D720" t="str">
            <v>สีอบขาว/พ่นดำ</v>
          </cell>
          <cell r="E720" t="str">
            <v>สูง 135.60 ซม.</v>
          </cell>
          <cell r="G720">
            <v>491.02800000000002</v>
          </cell>
          <cell r="H720">
            <v>525.39996000000008</v>
          </cell>
          <cell r="J720">
            <v>550</v>
          </cell>
          <cell r="K720">
            <v>575</v>
          </cell>
          <cell r="L720">
            <v>585</v>
          </cell>
          <cell r="M720">
            <v>625</v>
          </cell>
          <cell r="N720">
            <v>685</v>
          </cell>
        </row>
        <row r="721">
          <cell r="B721" t="str">
            <v>N/A</v>
          </cell>
          <cell r="C721" t="str">
            <v>ชุดขาเกล็ด สามศร 4*16  (ครบชุด)                                   สินค้า Pre-Order</v>
          </cell>
          <cell r="D721" t="str">
            <v>ขาวอลู</v>
          </cell>
          <cell r="E721" t="str">
            <v>สูง 144.50 ซม.</v>
          </cell>
          <cell r="G721">
            <v>387.28980000000001</v>
          </cell>
          <cell r="H721">
            <v>414.40008600000004</v>
          </cell>
          <cell r="J721">
            <v>435</v>
          </cell>
          <cell r="K721">
            <v>440</v>
          </cell>
          <cell r="L721">
            <v>450</v>
          </cell>
          <cell r="M721">
            <v>465</v>
          </cell>
          <cell r="N721">
            <v>495</v>
          </cell>
        </row>
        <row r="722">
          <cell r="B722" t="str">
            <v>N/A</v>
          </cell>
          <cell r="C722" t="str">
            <v>ชุดขาเกล็ด สามศร 4*16  (ครบชุด)                                   สินค้า Pre-Order</v>
          </cell>
          <cell r="D722" t="str">
            <v>ชา</v>
          </cell>
          <cell r="E722" t="str">
            <v>สูง 144.50 ซม.</v>
          </cell>
          <cell r="G722">
            <v>497.94400000000002</v>
          </cell>
          <cell r="H722">
            <v>532.80008000000009</v>
          </cell>
          <cell r="J722">
            <v>560</v>
          </cell>
          <cell r="K722">
            <v>565</v>
          </cell>
          <cell r="L722">
            <v>575</v>
          </cell>
          <cell r="M722">
            <v>595</v>
          </cell>
          <cell r="N722">
            <v>630</v>
          </cell>
        </row>
        <row r="723">
          <cell r="B723" t="str">
            <v>N/A</v>
          </cell>
          <cell r="C723" t="str">
            <v>ชุดขาเกล็ด สามศร 4*16  (ครบชุด)                                   สินค้า Pre-Order</v>
          </cell>
          <cell r="D723" t="str">
            <v>อบขาว/พ่นดำ</v>
          </cell>
          <cell r="E723" t="str">
            <v>สูง 144.50 ซม.</v>
          </cell>
          <cell r="G723">
            <v>520.07479999999998</v>
          </cell>
          <cell r="H723">
            <v>556.48003600000004</v>
          </cell>
          <cell r="J723">
            <v>580</v>
          </cell>
          <cell r="K723">
            <v>590</v>
          </cell>
          <cell r="L723">
            <v>600</v>
          </cell>
          <cell r="M723">
            <v>620</v>
          </cell>
          <cell r="N723">
            <v>660</v>
          </cell>
        </row>
        <row r="724">
          <cell r="B724" t="str">
            <v>N/A</v>
          </cell>
          <cell r="C724" t="str">
            <v>ชุดขาเกล็ด สามศร 4*17  (ครบชุด)                                   สินค้า Pre-Order</v>
          </cell>
          <cell r="D724" t="str">
            <v>ขาวอลู</v>
          </cell>
          <cell r="E724" t="str">
            <v>สูง 153.40 ซม.</v>
          </cell>
          <cell r="G724">
            <v>408.03739999999999</v>
          </cell>
          <cell r="H724">
            <v>436.60001800000003</v>
          </cell>
          <cell r="J724">
            <v>460</v>
          </cell>
          <cell r="K724">
            <v>470</v>
          </cell>
          <cell r="L724">
            <v>475</v>
          </cell>
          <cell r="M724">
            <v>490</v>
          </cell>
          <cell r="N724">
            <v>525</v>
          </cell>
        </row>
        <row r="725">
          <cell r="B725" t="str">
            <v>N/A</v>
          </cell>
          <cell r="C725" t="str">
            <v>ชุดขาเกล็ด สามศร 4*17  (ครบชุด)                                   สินค้า Pre-Order</v>
          </cell>
          <cell r="D725" t="str">
            <v>ชา</v>
          </cell>
          <cell r="E725" t="str">
            <v>สูง 153.40 ซม.</v>
          </cell>
          <cell r="G725">
            <v>525.60749999999996</v>
          </cell>
          <cell r="H725">
            <v>562.40002500000003</v>
          </cell>
          <cell r="J725">
            <v>590</v>
          </cell>
          <cell r="K725">
            <v>600</v>
          </cell>
          <cell r="L725">
            <v>615</v>
          </cell>
          <cell r="M725">
            <v>635</v>
          </cell>
          <cell r="N725">
            <v>685</v>
          </cell>
        </row>
        <row r="726">
          <cell r="B726" t="str">
            <v>N/A</v>
          </cell>
          <cell r="C726" t="str">
            <v>ชุดขาเกล็ด สามศร 4*17  (ครบชุด)                                   สินค้า Pre-Order</v>
          </cell>
          <cell r="D726" t="str">
            <v>อบขาว/พ่นดำ</v>
          </cell>
          <cell r="E726" t="str">
            <v>สูง 153.40 ซม.</v>
          </cell>
          <cell r="G726">
            <v>549.12149999999997</v>
          </cell>
          <cell r="H726">
            <v>587.56000500000005</v>
          </cell>
          <cell r="J726">
            <v>625</v>
          </cell>
          <cell r="K726">
            <v>630</v>
          </cell>
          <cell r="L726">
            <v>635</v>
          </cell>
          <cell r="M726">
            <v>675</v>
          </cell>
          <cell r="N726">
            <v>700</v>
          </cell>
        </row>
        <row r="727">
          <cell r="B727" t="str">
            <v>N/A</v>
          </cell>
          <cell r="C727" t="str">
            <v>ชุดขาเกล็ด  สามศร 4*18  (ครบชุด)                                 สินค้า Pre-Order</v>
          </cell>
          <cell r="D727" t="str">
            <v>ชา</v>
          </cell>
          <cell r="E727" t="str">
            <v>สูง 162.30 ซม.</v>
          </cell>
          <cell r="G727">
            <v>553.27110000000005</v>
          </cell>
          <cell r="H727">
            <v>592.00007700000003</v>
          </cell>
          <cell r="J727">
            <v>620</v>
          </cell>
          <cell r="K727">
            <v>620</v>
          </cell>
          <cell r="L727">
            <v>640</v>
          </cell>
          <cell r="M727">
            <v>660</v>
          </cell>
          <cell r="N727">
            <v>700</v>
          </cell>
        </row>
        <row r="728">
          <cell r="B728" t="str">
            <v>N/A</v>
          </cell>
          <cell r="C728" t="str">
            <v>ชุดขาเกล็ด  สามศร 4*18  (ครบชุด)                                 สินค้า Pre-Order</v>
          </cell>
          <cell r="D728" t="str">
            <v>อบขาว/พ่นดำ</v>
          </cell>
          <cell r="E728" t="str">
            <v>สูง 162.30 ซม.</v>
          </cell>
          <cell r="G728">
            <v>578.16830000000004</v>
          </cell>
          <cell r="H728">
            <v>618.64008100000012</v>
          </cell>
          <cell r="J728">
            <v>645</v>
          </cell>
          <cell r="K728">
            <v>645</v>
          </cell>
          <cell r="L728">
            <v>665</v>
          </cell>
          <cell r="M728">
            <v>690</v>
          </cell>
          <cell r="N728">
            <v>730</v>
          </cell>
        </row>
        <row r="729">
          <cell r="B729" t="str">
            <v>N/A</v>
          </cell>
          <cell r="C729" t="str">
            <v>ชุดขาเกล็ด  สามศร 4*19  (ครบชุด) /มือหมุน2ตอน         สินค้า Pre-Order</v>
          </cell>
          <cell r="D729" t="str">
            <v>ชา</v>
          </cell>
          <cell r="E729" t="str">
            <v>สูง 171.20 ซม.</v>
          </cell>
          <cell r="G729">
            <v>676.37390000000005</v>
          </cell>
          <cell r="H729">
            <v>723.72007300000007</v>
          </cell>
          <cell r="J729">
            <v>755</v>
          </cell>
          <cell r="K729">
            <v>755</v>
          </cell>
          <cell r="L729">
            <v>780</v>
          </cell>
          <cell r="M729">
            <v>805</v>
          </cell>
          <cell r="N729">
            <v>860</v>
          </cell>
        </row>
        <row r="730">
          <cell r="B730" t="str">
            <v>N/A</v>
          </cell>
          <cell r="C730" t="str">
            <v>ชุดขาเกล็ด สามศร 4*22 เกล็ด /1ตอน (ครบชุด)              สินค้า Pre-Order</v>
          </cell>
          <cell r="D730" t="str">
            <v>ชา</v>
          </cell>
          <cell r="E730" t="str">
            <v>สูง 197.9 ซม.</v>
          </cell>
          <cell r="G730">
            <v>716.32</v>
          </cell>
          <cell r="H730">
            <v>766.46240000000012</v>
          </cell>
          <cell r="J730">
            <v>800</v>
          </cell>
          <cell r="K730">
            <v>800</v>
          </cell>
          <cell r="L730">
            <v>825</v>
          </cell>
          <cell r="M730">
            <v>870</v>
          </cell>
          <cell r="N730">
            <v>915</v>
          </cell>
        </row>
        <row r="731">
          <cell r="B731" t="str">
            <v>N/A</v>
          </cell>
          <cell r="C731" t="str">
            <v>ชุดขาเกล็ด สามศร 4*22 เกล็ด /2ตอน (ครบชุด)              สินค้า Pre-Order</v>
          </cell>
          <cell r="D731" t="str">
            <v>ชา</v>
          </cell>
          <cell r="E731" t="str">
            <v>สูง 197.9 ซม.</v>
          </cell>
          <cell r="G731">
            <v>790.32</v>
          </cell>
          <cell r="H731">
            <v>845.64240000000007</v>
          </cell>
          <cell r="J731">
            <v>890</v>
          </cell>
          <cell r="K731">
            <v>890</v>
          </cell>
          <cell r="L731">
            <v>925</v>
          </cell>
          <cell r="M731">
            <v>950</v>
          </cell>
          <cell r="N731">
            <v>1000</v>
          </cell>
        </row>
        <row r="732">
          <cell r="B732" t="str">
            <v>N/A</v>
          </cell>
          <cell r="C732" t="str">
            <v>ชุดขาเกล็ด สามศร 4*22 เกล็ด /2ตอน (ครบชุด)              สินค้า Pre-Order</v>
          </cell>
          <cell r="D732" t="str">
            <v>อบขาว/พ่นดำ</v>
          </cell>
          <cell r="E732" t="str">
            <v>สูง 197.9 ซม.</v>
          </cell>
          <cell r="G732">
            <v>769.05</v>
          </cell>
          <cell r="H732">
            <v>822.88350000000003</v>
          </cell>
          <cell r="J732">
            <v>858</v>
          </cell>
          <cell r="K732">
            <v>858</v>
          </cell>
          <cell r="L732">
            <v>885</v>
          </cell>
          <cell r="M732">
            <v>915</v>
          </cell>
          <cell r="N732">
            <v>970</v>
          </cell>
        </row>
        <row r="733">
          <cell r="B733" t="str">
            <v>N/A</v>
          </cell>
          <cell r="C733" t="str">
            <v>ชุดขาเกล็ด สามศร 4 1/2 *6  (ครบชุด)                       สินค้า Pre-Order</v>
          </cell>
          <cell r="D733" t="str">
            <v>ชา</v>
          </cell>
          <cell r="E733" t="str">
            <v>สูง 62.85ซม.</v>
          </cell>
          <cell r="G733">
            <v>235.14019999999999</v>
          </cell>
          <cell r="H733">
            <v>251.60001400000002</v>
          </cell>
          <cell r="J733">
            <v>265</v>
          </cell>
          <cell r="K733">
            <v>270</v>
          </cell>
          <cell r="L733">
            <v>280</v>
          </cell>
          <cell r="M733">
            <v>300</v>
          </cell>
          <cell r="N733">
            <v>315</v>
          </cell>
        </row>
        <row r="734">
          <cell r="B734" t="str">
            <v>N/A</v>
          </cell>
          <cell r="C734" t="str">
            <v>ชุดขาเกล็ด สามศร 4 1/2 *8  (ครบชุด)                       สินค้า Pre-Order</v>
          </cell>
          <cell r="D734" t="str">
            <v>ชา</v>
          </cell>
          <cell r="E734" t="str">
            <v>สูง 83.20 ซม.</v>
          </cell>
          <cell r="G734">
            <v>280.09350000000001</v>
          </cell>
          <cell r="H734">
            <v>299.70004500000005</v>
          </cell>
          <cell r="J734">
            <v>315</v>
          </cell>
          <cell r="K734">
            <v>320</v>
          </cell>
          <cell r="L734">
            <v>335</v>
          </cell>
          <cell r="M734">
            <v>360</v>
          </cell>
          <cell r="N734">
            <v>375</v>
          </cell>
        </row>
        <row r="735">
          <cell r="B735" t="str">
            <v>N/A</v>
          </cell>
          <cell r="C735" t="str">
            <v>ชุดขาเกล็ด สามศร 4 1/2 *16  (ครบชุด)                       สินค้า Pre-Order</v>
          </cell>
          <cell r="D735" t="str">
            <v>ชา</v>
          </cell>
          <cell r="E735" t="str">
            <v>สูง 164.45 ซม.</v>
          </cell>
          <cell r="G735">
            <v>484.1121</v>
          </cell>
          <cell r="H735">
            <v>517.99994700000002</v>
          </cell>
          <cell r="J735">
            <v>540</v>
          </cell>
          <cell r="K735">
            <v>555</v>
          </cell>
          <cell r="L735">
            <v>575</v>
          </cell>
          <cell r="M735">
            <v>610</v>
          </cell>
          <cell r="N735">
            <v>650</v>
          </cell>
        </row>
        <row r="736">
          <cell r="B736" t="str">
            <v>N/A</v>
          </cell>
          <cell r="C736" t="str">
            <v>ชุดขาเกล็ด สามศร 4 1/2 *9  (ครบชุด)                              สินค้า Pre-Order</v>
          </cell>
          <cell r="D736" t="str">
            <v>ขาวอลู</v>
          </cell>
          <cell r="E736" t="str">
            <v>สูง 93.35 ซม.</v>
          </cell>
          <cell r="G736">
            <v>242.05609999999999</v>
          </cell>
          <cell r="H736">
            <v>259.00002699999999</v>
          </cell>
          <cell r="J736">
            <v>270</v>
          </cell>
          <cell r="K736">
            <v>270</v>
          </cell>
          <cell r="L736">
            <v>280</v>
          </cell>
          <cell r="M736">
            <v>300</v>
          </cell>
          <cell r="N736">
            <v>305</v>
          </cell>
        </row>
        <row r="737">
          <cell r="B737" t="str">
            <v>E032070501Z3451000</v>
          </cell>
          <cell r="C737" t="str">
            <v>ชุดขาเกล็ด สามศร 4 1/2 *10  (ครบชุด)                            สินค้า Pre-Order</v>
          </cell>
          <cell r="D737" t="str">
            <v>ขาวอลู</v>
          </cell>
          <cell r="E737" t="str">
            <v>สูง 103.5 ซม.</v>
          </cell>
          <cell r="G737">
            <v>259.3458</v>
          </cell>
          <cell r="H737">
            <v>277.50000599999998</v>
          </cell>
          <cell r="J737">
            <v>290</v>
          </cell>
          <cell r="K737">
            <v>290</v>
          </cell>
          <cell r="L737">
            <v>300</v>
          </cell>
          <cell r="M737">
            <v>310</v>
          </cell>
          <cell r="N737">
            <v>330</v>
          </cell>
        </row>
        <row r="738">
          <cell r="B738" t="str">
            <v>N/A</v>
          </cell>
          <cell r="C738" t="str">
            <v>ชุดขาเกล็ด สามศร 4 1/2 *11  (ครบชุด)                            สินค้า Pre-Order</v>
          </cell>
          <cell r="D738" t="str">
            <v>ขาวอลู</v>
          </cell>
          <cell r="E738" t="str">
            <v>สูง 93.35 ซม.</v>
          </cell>
          <cell r="G738">
            <v>276.63560000000001</v>
          </cell>
          <cell r="H738">
            <v>296.00009200000005</v>
          </cell>
          <cell r="J738">
            <v>310</v>
          </cell>
          <cell r="K738">
            <v>310</v>
          </cell>
          <cell r="L738">
            <v>320</v>
          </cell>
          <cell r="M738">
            <v>330</v>
          </cell>
          <cell r="N738">
            <v>350</v>
          </cell>
        </row>
        <row r="739">
          <cell r="B739" t="str">
            <v>N/A</v>
          </cell>
          <cell r="C739" t="str">
            <v>ชุดขาเกล็ด สามศร 4 1/2 *12  (ครบชุด)                            สินค้า Pre-Order</v>
          </cell>
          <cell r="D739" t="str">
            <v>ขาวอลู</v>
          </cell>
          <cell r="E739" t="str">
            <v>สูง 123.80 ซม.</v>
          </cell>
          <cell r="G739">
            <v>293.92529999999999</v>
          </cell>
          <cell r="H739">
            <v>314.50007099999999</v>
          </cell>
          <cell r="J739">
            <v>330</v>
          </cell>
          <cell r="K739">
            <v>330</v>
          </cell>
          <cell r="L739">
            <v>340</v>
          </cell>
          <cell r="M739">
            <v>350</v>
          </cell>
          <cell r="N739">
            <v>375</v>
          </cell>
        </row>
        <row r="740">
          <cell r="B740" t="str">
            <v>รหัส</v>
          </cell>
          <cell r="C740" t="str">
            <v>รายการ (ขาเกล็ด ยี่ห้อ ไทยกล้า) ยกเลิกผลิต ขายแค่ในสต็อก</v>
          </cell>
          <cell r="D740" t="str">
            <v>สี</v>
          </cell>
          <cell r="E740" t="str">
            <v>บรรจุ</v>
          </cell>
          <cell r="F740" t="str">
            <v>ราคาตั้ง</v>
          </cell>
          <cell r="G740" t="str">
            <v>ทุน
ก่อน VAT</v>
          </cell>
          <cell r="H740" t="str">
            <v>ทุน
รวม VAT</v>
          </cell>
          <cell r="J740" t="str">
            <v>SDM</v>
          </cell>
          <cell r="K740" t="str">
            <v>W1</v>
          </cell>
          <cell r="L740" t="str">
            <v>W2</v>
          </cell>
          <cell r="M740" t="str">
            <v>R1</v>
          </cell>
          <cell r="N740" t="str">
            <v>R2</v>
          </cell>
        </row>
        <row r="741">
          <cell r="B741" t="str">
            <v>E030070501G1401100</v>
          </cell>
          <cell r="C741" t="str">
            <v>ขาเกล็ดไทยกล้า 4*11               (เฉพาะขาเกล็ดไม่ครบชุด)</v>
          </cell>
          <cell r="D741" t="str">
            <v>ขาวอลู</v>
          </cell>
          <cell r="E741" t="str">
            <v>สาขา KK</v>
          </cell>
          <cell r="G741">
            <v>153.89092590000001</v>
          </cell>
          <cell r="H741">
            <v>164.66329071300004</v>
          </cell>
          <cell r="J741">
            <v>175</v>
          </cell>
          <cell r="K741">
            <v>175</v>
          </cell>
          <cell r="L741">
            <v>180</v>
          </cell>
          <cell r="M741">
            <v>185</v>
          </cell>
          <cell r="N741">
            <v>190</v>
          </cell>
        </row>
        <row r="742">
          <cell r="B742" t="str">
            <v>E030070501G1401200</v>
          </cell>
          <cell r="C742" t="str">
            <v>ขาเกล็ดไทยกล้า สีขาวอลู 4x12  (เฉพาะขาเกล็ดไม่ครบชุด)</v>
          </cell>
          <cell r="D742" t="str">
            <v>ขาวอลู</v>
          </cell>
          <cell r="G742">
            <v>142.13499999999999</v>
          </cell>
          <cell r="H742">
            <v>152.08445</v>
          </cell>
          <cell r="J742">
            <v>165</v>
          </cell>
          <cell r="K742">
            <v>165</v>
          </cell>
          <cell r="L742">
            <v>170</v>
          </cell>
          <cell r="M742">
            <v>180</v>
          </cell>
          <cell r="N742">
            <v>185</v>
          </cell>
        </row>
        <row r="743">
          <cell r="B743" t="str">
            <v>E030070501Z1451000</v>
          </cell>
          <cell r="C743" t="str">
            <v>ขาเกล็ด ไทยกล้า สีขาวอลู 4 1/2x10   (เฉพาะขาเกล็ดไม่ครบชุด)</v>
          </cell>
          <cell r="D743" t="str">
            <v>ขาวอลู</v>
          </cell>
          <cell r="G743">
            <v>141.58000000000001</v>
          </cell>
          <cell r="H743">
            <v>151.49060000000003</v>
          </cell>
          <cell r="J743">
            <v>165</v>
          </cell>
          <cell r="K743">
            <v>165</v>
          </cell>
          <cell r="L743">
            <v>170</v>
          </cell>
          <cell r="M743">
            <v>180</v>
          </cell>
          <cell r="N743">
            <v>185</v>
          </cell>
        </row>
        <row r="744">
          <cell r="B744" t="str">
            <v>E030070502Z1401100</v>
          </cell>
          <cell r="C744" t="str">
            <v>ขาเกล็ดไทยกล้า สีชา 4x11         (เฉพาะขาเกล็ดไม่ครบชุด)</v>
          </cell>
          <cell r="D744" t="str">
            <v>ชา</v>
          </cell>
          <cell r="G744">
            <v>218.70999999999998</v>
          </cell>
          <cell r="H744">
            <v>234.0197</v>
          </cell>
          <cell r="J744">
            <v>250</v>
          </cell>
          <cell r="K744">
            <v>250</v>
          </cell>
          <cell r="L744">
            <v>260</v>
          </cell>
          <cell r="M744">
            <v>275</v>
          </cell>
          <cell r="N744">
            <v>295</v>
          </cell>
        </row>
        <row r="745">
          <cell r="B745" t="str">
            <v>E030070502Z1401200</v>
          </cell>
          <cell r="C745" t="str">
            <v>ขาเกล็ดไทยกล้า สีชา 4x12</v>
          </cell>
          <cell r="D745" t="str">
            <v>ชา</v>
          </cell>
          <cell r="G745">
            <v>300.60000000000002</v>
          </cell>
          <cell r="H745">
            <v>321.64200000000005</v>
          </cell>
          <cell r="J745">
            <v>340</v>
          </cell>
          <cell r="K745">
            <v>340</v>
          </cell>
          <cell r="L745">
            <v>350</v>
          </cell>
          <cell r="M745">
            <v>365</v>
          </cell>
          <cell r="N745">
            <v>385</v>
          </cell>
        </row>
        <row r="746">
          <cell r="B746" t="str">
            <v>รหัส</v>
          </cell>
          <cell r="C746" t="str">
            <v xml:space="preserve">  </v>
          </cell>
          <cell r="D746" t="str">
            <v>สี</v>
          </cell>
          <cell r="E746" t="str">
            <v>บรรจุ</v>
          </cell>
          <cell r="F746" t="str">
            <v>ราคาตั้ง</v>
          </cell>
          <cell r="G746" t="str">
            <v>ทุน
ก่อน VAT</v>
          </cell>
          <cell r="H746" t="str">
            <v>ทุน
รวม VAT</v>
          </cell>
          <cell r="J746" t="str">
            <v>SDM</v>
          </cell>
          <cell r="K746" t="str">
            <v>W1</v>
          </cell>
          <cell r="L746" t="str">
            <v>W2</v>
          </cell>
          <cell r="M746" t="str">
            <v>R1</v>
          </cell>
          <cell r="N746" t="str">
            <v>R2</v>
          </cell>
        </row>
        <row r="747">
          <cell r="B747" t="str">
            <v>E028070501G2300001</v>
          </cell>
          <cell r="C747" t="str">
            <v>ฉากบน-ล่าง 30 นิ้ว สีขาวอลู (บาง)</v>
          </cell>
          <cell r="D747" t="str">
            <v>ขาวอลู</v>
          </cell>
          <cell r="E747" t="str">
            <v>มัด/100ชุด</v>
          </cell>
          <cell r="G747">
            <v>19.626200000000001</v>
          </cell>
          <cell r="H747">
            <v>21.000034000000003</v>
          </cell>
          <cell r="J747">
            <v>22</v>
          </cell>
          <cell r="K747">
            <v>22.5</v>
          </cell>
          <cell r="L747">
            <v>23.5</v>
          </cell>
          <cell r="M747">
            <v>25</v>
          </cell>
          <cell r="N747">
            <v>26</v>
          </cell>
        </row>
        <row r="748">
          <cell r="B748" t="str">
            <v>E028070501G2300002</v>
          </cell>
          <cell r="C748" t="str">
            <v>ฉากบน-ล่าง 30 นิ้ว สีขาวอลู (หนา)</v>
          </cell>
          <cell r="D748" t="str">
            <v>ขาวอลู</v>
          </cell>
          <cell r="E748" t="str">
            <v>มัด/100ชุด</v>
          </cell>
          <cell r="G748">
            <v>33.6449</v>
          </cell>
          <cell r="H748">
            <v>36.000043000000005</v>
          </cell>
          <cell r="J748">
            <v>38</v>
          </cell>
          <cell r="K748">
            <v>38.5</v>
          </cell>
          <cell r="L748">
            <v>40</v>
          </cell>
          <cell r="M748">
            <v>43</v>
          </cell>
          <cell r="N748">
            <v>44</v>
          </cell>
        </row>
        <row r="749">
          <cell r="B749" t="str">
            <v>E028070502G2300002</v>
          </cell>
          <cell r="C749" t="str">
            <v>ฉากบน-ล่าง 30 นิ้ว สีชา (หนา)   (สินค้าเลิกผลิต ขายเฉพาะที่มีสต็อก)</v>
          </cell>
          <cell r="D749" t="str">
            <v>ชา</v>
          </cell>
          <cell r="E749" t="str">
            <v>มัด/100ชุด</v>
          </cell>
          <cell r="G749">
            <v>23.18</v>
          </cell>
          <cell r="H749">
            <v>24.802600000000002</v>
          </cell>
          <cell r="J749">
            <v>26</v>
          </cell>
          <cell r="K749">
            <v>26</v>
          </cell>
          <cell r="L749">
            <v>27</v>
          </cell>
          <cell r="M749">
            <v>28</v>
          </cell>
          <cell r="N749">
            <v>30</v>
          </cell>
        </row>
        <row r="750">
          <cell r="B750" t="str">
            <v>NAN0000</v>
          </cell>
          <cell r="C750" t="str">
            <v>ฉากบน-ล่าง 30 นิ้ว สีอบขาว/ดำ (หนา) (ต้องสั่งไม่สต็อก)</v>
          </cell>
          <cell r="D750" t="str">
            <v>อบขาว/ดำ</v>
          </cell>
          <cell r="E750" t="str">
            <v>มัด/100ชุด</v>
          </cell>
          <cell r="G750">
            <v>45.560699999999997</v>
          </cell>
          <cell r="H750">
            <v>48.749949000000001</v>
          </cell>
          <cell r="J750">
            <v>51</v>
          </cell>
          <cell r="K750">
            <v>52.5</v>
          </cell>
          <cell r="L750">
            <v>54.5</v>
          </cell>
          <cell r="M750">
            <v>58</v>
          </cell>
          <cell r="N750">
            <v>60</v>
          </cell>
        </row>
        <row r="751">
          <cell r="B751" t="str">
            <v>E028070501G2360001</v>
          </cell>
          <cell r="C751" t="str">
            <v>ฉากบน-ล่าง 36 นิ้ว สีขาวอลู (บาง)</v>
          </cell>
          <cell r="D751" t="str">
            <v>ขาวอลู</v>
          </cell>
          <cell r="E751" t="str">
            <v>มัด/100ชุด</v>
          </cell>
          <cell r="G751">
            <v>22.4299</v>
          </cell>
          <cell r="H751">
            <v>23.999993</v>
          </cell>
          <cell r="J751">
            <v>25</v>
          </cell>
          <cell r="K751">
            <v>25.5</v>
          </cell>
          <cell r="L751">
            <v>27</v>
          </cell>
          <cell r="M751">
            <v>28.5</v>
          </cell>
          <cell r="N751">
            <v>29.5</v>
          </cell>
        </row>
        <row r="752">
          <cell r="B752" t="str">
            <v>E028070501G2360002</v>
          </cell>
          <cell r="C752" t="str">
            <v>ฉากบน-ล่าง 36 นิ้ว สีขาวอลู หนา</v>
          </cell>
          <cell r="D752" t="str">
            <v>ขาวอลู</v>
          </cell>
          <cell r="E752" t="str">
            <v>มัด/100ชุด</v>
          </cell>
          <cell r="G752">
            <v>35.046700000000001</v>
          </cell>
          <cell r="H752">
            <v>37.499969</v>
          </cell>
          <cell r="J752">
            <v>39.5</v>
          </cell>
          <cell r="K752">
            <v>40.5</v>
          </cell>
          <cell r="L752">
            <v>42</v>
          </cell>
          <cell r="M752">
            <v>44.5</v>
          </cell>
          <cell r="N752">
            <v>46</v>
          </cell>
        </row>
        <row r="753">
          <cell r="B753" t="str">
            <v>E028070502Z2360002</v>
          </cell>
          <cell r="C753" t="str">
            <v>ฉากบน-ล่าง 36 นิ้ว สีชา หนา   (สินค้าเลิกผลิต ขายเฉพาะที่มีสต็อก)</v>
          </cell>
          <cell r="D753" t="str">
            <v>ชา</v>
          </cell>
          <cell r="E753" t="str">
            <v>มัด/100ชุด</v>
          </cell>
          <cell r="G753">
            <v>24.68</v>
          </cell>
          <cell r="H753">
            <v>26.407600000000002</v>
          </cell>
          <cell r="J753">
            <v>28</v>
          </cell>
          <cell r="K753">
            <v>28</v>
          </cell>
          <cell r="L753">
            <v>28.5</v>
          </cell>
          <cell r="M753">
            <v>29.5</v>
          </cell>
          <cell r="N753">
            <v>31</v>
          </cell>
        </row>
        <row r="754">
          <cell r="B754" t="str">
            <v>E028070503G2360002</v>
          </cell>
          <cell r="C754" t="str">
            <v>ฉากบน-ล่าง 36 นิ้ว สีอบขาว/ดำ หนา</v>
          </cell>
          <cell r="D754" t="str">
            <v>อบขาว/ดำ</v>
          </cell>
          <cell r="E754" t="str">
            <v>มัด/100ชุด</v>
          </cell>
          <cell r="G754">
            <v>52.570099999999996</v>
          </cell>
          <cell r="H754">
            <v>56.250006999999997</v>
          </cell>
          <cell r="J754">
            <v>59</v>
          </cell>
          <cell r="K754">
            <v>60.5</v>
          </cell>
          <cell r="L754">
            <v>62.5</v>
          </cell>
          <cell r="M754">
            <v>66.5</v>
          </cell>
          <cell r="N754">
            <v>70</v>
          </cell>
        </row>
        <row r="756">
          <cell r="G756">
            <v>82.8</v>
          </cell>
          <cell r="H756">
            <v>88.596000000000004</v>
          </cell>
          <cell r="J756">
            <v>95</v>
          </cell>
          <cell r="K756">
            <v>100</v>
          </cell>
          <cell r="L756">
            <v>105</v>
          </cell>
          <cell r="M756">
            <v>110</v>
          </cell>
          <cell r="N756">
            <v>115</v>
          </cell>
        </row>
        <row r="757">
          <cell r="G757">
            <v>203.52</v>
          </cell>
          <cell r="H757">
            <v>217.76640000000003</v>
          </cell>
          <cell r="J757">
            <v>228</v>
          </cell>
          <cell r="K757">
            <v>230</v>
          </cell>
          <cell r="L757">
            <v>235</v>
          </cell>
          <cell r="M757">
            <v>240</v>
          </cell>
          <cell r="N757">
            <v>245</v>
          </cell>
        </row>
        <row r="758">
          <cell r="G758">
            <v>1105.6099999999999</v>
          </cell>
          <cell r="H758">
            <v>1183.0027</v>
          </cell>
          <cell r="J758">
            <v>1235</v>
          </cell>
          <cell r="K758">
            <v>1250</v>
          </cell>
          <cell r="L758">
            <v>1275</v>
          </cell>
          <cell r="M758">
            <v>1285</v>
          </cell>
          <cell r="N758">
            <v>1300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t. Analys by Dim. Matrix"/>
      <sheetName val="Sheet1"/>
    </sheetNames>
    <sheetDataSet>
      <sheetData sheetId="0"/>
      <sheetData sheetId="1">
        <row r="1">
          <cell r="A1" t="str">
            <v>Code</v>
          </cell>
          <cell r="B1" t="str">
            <v>Name</v>
          </cell>
          <cell r="C1" t="str">
            <v>Total Quantity</v>
          </cell>
        </row>
        <row r="2">
          <cell r="A2" t="str">
            <v>E00001000000000000</v>
          </cell>
          <cell r="B2" t="str">
            <v>ยางไม่มียี่ห้อ (กลุ่ม)</v>
          </cell>
          <cell r="C2">
            <v>1</v>
          </cell>
        </row>
        <row r="3">
          <cell r="A3" t="str">
            <v>E00002000000000000</v>
          </cell>
          <cell r="B3" t="str">
            <v>โช้ค ไม่มียี่ห้อ (กลุ่ม)</v>
          </cell>
          <cell r="C3">
            <v>0</v>
          </cell>
        </row>
        <row r="4">
          <cell r="A4" t="str">
            <v>E00003000000000000</v>
          </cell>
          <cell r="B4" t="str">
            <v>ลูกล้อ ไม่มียี่ห้อ (กลุ่ม)</v>
          </cell>
          <cell r="C4">
            <v>0</v>
          </cell>
        </row>
        <row r="5">
          <cell r="A5" t="str">
            <v>E00004000000000000</v>
          </cell>
          <cell r="B5" t="str">
            <v>มือจับไม่มียี่ห้อ (กลุ่ม)</v>
          </cell>
          <cell r="C5">
            <v>360</v>
          </cell>
        </row>
        <row r="6">
          <cell r="A6" t="str">
            <v>E00005000000000000</v>
          </cell>
          <cell r="B6" t="str">
            <v>กุญแจ-กลอนไม่ระบุยี่ห้อ (กลุ่ม)</v>
          </cell>
          <cell r="C6">
            <v>2</v>
          </cell>
        </row>
        <row r="7">
          <cell r="A7" t="str">
            <v>E00006000000000000</v>
          </cell>
          <cell r="B7" t="str">
            <v>ยางแพ๊ค (กลุ่ม)</v>
          </cell>
          <cell r="C7">
            <v>0</v>
          </cell>
        </row>
        <row r="8">
          <cell r="A8" t="str">
            <v>E00007000000000000</v>
          </cell>
          <cell r="B8" t="str">
            <v>ขาเกล็ด ไม่ระบุยี่ห้อ (กลุ่ม)</v>
          </cell>
          <cell r="C8">
            <v>0</v>
          </cell>
        </row>
        <row r="9">
          <cell r="A9" t="str">
            <v>E00008000000000000</v>
          </cell>
          <cell r="B9" t="str">
            <v>บานพับไม่มียี่ห้อ (กลุ่ม)</v>
          </cell>
          <cell r="C9">
            <v>2</v>
          </cell>
        </row>
        <row r="10">
          <cell r="A10" t="str">
            <v>E00009000000000000</v>
          </cell>
          <cell r="B10" t="str">
            <v>มุ้งไม่มียี่ห้อ (กลุ่ม)</v>
          </cell>
          <cell r="C10">
            <v>0</v>
          </cell>
        </row>
        <row r="11">
          <cell r="A11" t="str">
            <v>E000090900I3100000</v>
          </cell>
          <cell r="B11" t="str">
            <v>มุมประตู</v>
          </cell>
          <cell r="C11">
            <v>13684</v>
          </cell>
        </row>
        <row r="12">
          <cell r="A12" t="str">
            <v>E000090900I3100001</v>
          </cell>
          <cell r="B12" t="str">
            <v>มุมประตู (7กก./กระสอบ)</v>
          </cell>
          <cell r="C12">
            <v>2</v>
          </cell>
        </row>
        <row r="13">
          <cell r="A13" t="str">
            <v>E000090900I3200000</v>
          </cell>
          <cell r="B13" t="str">
            <v xml:space="preserve">มุมหน้าต่าง </v>
          </cell>
          <cell r="C13">
            <v>17888</v>
          </cell>
        </row>
        <row r="14">
          <cell r="A14" t="str">
            <v>E000090900I3200001</v>
          </cell>
          <cell r="B14" t="str">
            <v>มุมหน้าต่าง (7กก./กระสอบ)</v>
          </cell>
          <cell r="C14">
            <v>2</v>
          </cell>
        </row>
        <row r="15">
          <cell r="A15" t="str">
            <v>E000090900I3300000</v>
          </cell>
          <cell r="B15" t="str">
            <v>มุมกรอบรูป</v>
          </cell>
          <cell r="C15">
            <v>5700</v>
          </cell>
        </row>
        <row r="16">
          <cell r="A16" t="str">
            <v>E000090900I3300001</v>
          </cell>
          <cell r="B16" t="str">
            <v>มุมกรอบรูป (7กก./กระสอบ)</v>
          </cell>
          <cell r="C16">
            <v>0</v>
          </cell>
        </row>
        <row r="17">
          <cell r="A17" t="str">
            <v>E000090901I1120000</v>
          </cell>
          <cell r="B17" t="str">
            <v>บานพับประตูมุ้ง ธรรมดา สีขาวอลู</v>
          </cell>
          <cell r="C17">
            <v>5556</v>
          </cell>
        </row>
        <row r="18">
          <cell r="A18" t="str">
            <v>E000090901I1220000</v>
          </cell>
          <cell r="B18" t="str">
            <v>บานพับหน้าต่างมุ้ง ธรรมดา สีขาวอลู</v>
          </cell>
          <cell r="C18">
            <v>6005</v>
          </cell>
        </row>
        <row r="19">
          <cell r="A19" t="str">
            <v>E000090901I4000000</v>
          </cell>
          <cell r="B19" t="str">
            <v>ลูกบิดหางปลา สีขาว</v>
          </cell>
          <cell r="C19">
            <v>13700</v>
          </cell>
        </row>
        <row r="20">
          <cell r="A20" t="str">
            <v>E000090901I4000001</v>
          </cell>
          <cell r="B20" t="str">
            <v xml:space="preserve">ลูกบิดหางปลา สีขาว 1000ตัว/ถุง (ซื้อ) </v>
          </cell>
          <cell r="C20">
            <v>0</v>
          </cell>
        </row>
        <row r="21">
          <cell r="A21" t="str">
            <v>E000090901I8200000</v>
          </cell>
          <cell r="B21" t="str">
            <v>มือจับหน้าต่างมุ้ง สีขาวอลู (คันธนู)</v>
          </cell>
          <cell r="C21">
            <v>1910</v>
          </cell>
        </row>
        <row r="22">
          <cell r="A22" t="str">
            <v>E000090902I1120000</v>
          </cell>
          <cell r="B22" t="str">
            <v>บานพับประตูมุ้ง ธรรมดา สีชา</v>
          </cell>
          <cell r="C22">
            <v>3192</v>
          </cell>
        </row>
        <row r="23">
          <cell r="A23" t="str">
            <v>E000090902I1220000</v>
          </cell>
          <cell r="B23" t="str">
            <v>บานพับหน้าต่างมุ้ง ธรรมดา สีชา</v>
          </cell>
          <cell r="C23">
            <v>3210</v>
          </cell>
        </row>
        <row r="24">
          <cell r="A24" t="str">
            <v>E000090902I2100200</v>
          </cell>
          <cell r="B24" t="str">
            <v>กันชนแม่เหล็ก สีชา (ใหญ่)</v>
          </cell>
          <cell r="C24">
            <v>390</v>
          </cell>
        </row>
        <row r="25">
          <cell r="A25" t="str">
            <v>E000090902I4000000</v>
          </cell>
          <cell r="B25" t="str">
            <v>ลูกบิดหางปลา สีชา</v>
          </cell>
          <cell r="C25">
            <v>8800</v>
          </cell>
        </row>
        <row r="26">
          <cell r="A26" t="str">
            <v>E000090902I4000001</v>
          </cell>
          <cell r="B26" t="str">
            <v xml:space="preserve">ลูกบิดหางปลา สีชา 1000ตัว/ถุง (ซื้อ) </v>
          </cell>
          <cell r="C26">
            <v>0</v>
          </cell>
        </row>
        <row r="27">
          <cell r="A27" t="str">
            <v>E000090902I8200000</v>
          </cell>
          <cell r="B27" t="str">
            <v>มือจับหน้าต่างมุ้ง สีชา (คันธนู)</v>
          </cell>
          <cell r="C27">
            <v>1630</v>
          </cell>
        </row>
        <row r="28">
          <cell r="A28" t="str">
            <v>E000090903I1120000</v>
          </cell>
          <cell r="B28" t="str">
            <v>บานพับประตูมุ้ง ธรรมดา สีดำ</v>
          </cell>
          <cell r="C28">
            <v>3078</v>
          </cell>
        </row>
        <row r="29">
          <cell r="A29" t="str">
            <v>E000090903I1220000</v>
          </cell>
          <cell r="B29" t="str">
            <v>บานพับหน้าต่างมุ้ง ธรรมดา สีดำ</v>
          </cell>
          <cell r="C29">
            <v>4839</v>
          </cell>
        </row>
        <row r="30">
          <cell r="A30" t="str">
            <v>E000090903I4000000</v>
          </cell>
          <cell r="B30" t="str">
            <v>ลูกบิดหางปลา สีดำ</v>
          </cell>
          <cell r="C30">
            <v>700</v>
          </cell>
        </row>
        <row r="31">
          <cell r="A31" t="str">
            <v>E000090903I4000001</v>
          </cell>
          <cell r="B31" t="str">
            <v xml:space="preserve">ลูกบิดหางปลา สีดำ 1000ตัว/ถุง (ซื้อ) </v>
          </cell>
          <cell r="C31">
            <v>0</v>
          </cell>
        </row>
        <row r="32">
          <cell r="A32" t="str">
            <v>E000090903I8200000</v>
          </cell>
          <cell r="B32" t="str">
            <v>มือจับหน้าต่างมุ้ง สีดำ (คันธนู)</v>
          </cell>
          <cell r="C32">
            <v>1205</v>
          </cell>
        </row>
        <row r="33">
          <cell r="A33" t="str">
            <v>E000090904I1120000</v>
          </cell>
          <cell r="B33" t="str">
            <v>บานพับประตูมุ้ง ธรรมดา สีอบขาว</v>
          </cell>
          <cell r="C33">
            <v>5560</v>
          </cell>
        </row>
        <row r="34">
          <cell r="A34" t="str">
            <v>E000090904I1220000</v>
          </cell>
          <cell r="B34" t="str">
            <v>บานพับหน้าต่างมุ้ง ธรรมดา สีอบขาว</v>
          </cell>
          <cell r="C34">
            <v>5141</v>
          </cell>
        </row>
        <row r="35">
          <cell r="A35" t="str">
            <v>E000090904I2100200</v>
          </cell>
          <cell r="B35" t="str">
            <v>กันชนแม่เหล็ก สีอบขาว (ใหญ่)</v>
          </cell>
          <cell r="C35">
            <v>519</v>
          </cell>
        </row>
        <row r="36">
          <cell r="A36" t="str">
            <v>E000090904I8200000</v>
          </cell>
          <cell r="B36" t="str">
            <v>มือจับหน้าต่างมุ้ง สีอบขาว (คันธนู)</v>
          </cell>
          <cell r="C36">
            <v>1370</v>
          </cell>
        </row>
        <row r="37">
          <cell r="A37" t="str">
            <v>E00010070000000000</v>
          </cell>
          <cell r="B37" t="str">
            <v>บานสำเร็จ (กลุ่ม)</v>
          </cell>
          <cell r="C37">
            <v>0</v>
          </cell>
        </row>
        <row r="38">
          <cell r="A38" t="str">
            <v>E00011000000000000</v>
          </cell>
          <cell r="B38" t="str">
            <v>สแตนเลสไม่มียี่ห้อ (กลุ่ม)</v>
          </cell>
          <cell r="C38">
            <v>0</v>
          </cell>
        </row>
        <row r="39">
          <cell r="A39" t="str">
            <v>E00012000000000000</v>
          </cell>
          <cell r="B39" t="str">
            <v>ACC ALU ไม่มียี่ห้อ (กลุ่ม)</v>
          </cell>
          <cell r="C39">
            <v>2</v>
          </cell>
        </row>
        <row r="40">
          <cell r="A40" t="str">
            <v>E000120001L1000000</v>
          </cell>
          <cell r="B40" t="str">
            <v>ฉากรับชั้น 10 นิ้ว สีขาวอลู</v>
          </cell>
          <cell r="C40">
            <v>0</v>
          </cell>
        </row>
        <row r="41">
          <cell r="A41" t="str">
            <v>E000120001L1200000</v>
          </cell>
          <cell r="B41" t="str">
            <v>ฉากรับชั้น 12 นิ้ว สีขาวอลู</v>
          </cell>
          <cell r="C41">
            <v>0</v>
          </cell>
        </row>
        <row r="42">
          <cell r="A42" t="str">
            <v>E000120001L1400000</v>
          </cell>
          <cell r="B42" t="str">
            <v>ฉากรับชั้น 14 นิ้ว สีขาวอลู</v>
          </cell>
          <cell r="C42">
            <v>0</v>
          </cell>
        </row>
        <row r="43">
          <cell r="A43" t="str">
            <v>E000120001L1600000</v>
          </cell>
          <cell r="B43" t="str">
            <v>ฉากรับชั้น 16 นิ้ว สีขาวอลู</v>
          </cell>
          <cell r="C43">
            <v>0</v>
          </cell>
        </row>
        <row r="44">
          <cell r="A44" t="str">
            <v>E000120101L0100000</v>
          </cell>
          <cell r="B44" t="str">
            <v>บานพับยาว 2 เมตร สีขาว</v>
          </cell>
          <cell r="C44">
            <v>0</v>
          </cell>
        </row>
        <row r="45">
          <cell r="A45" t="str">
            <v>E000120102L0100000</v>
          </cell>
          <cell r="B45" t="str">
            <v>บานพับยาว 2 เมตร สีชา</v>
          </cell>
          <cell r="C45">
            <v>0</v>
          </cell>
        </row>
        <row r="46">
          <cell r="A46" t="str">
            <v>E000120104L0100000</v>
          </cell>
          <cell r="B46" t="str">
            <v>บานพับยาว 2 เมตร สีอบขาว</v>
          </cell>
          <cell r="C46">
            <v>0</v>
          </cell>
        </row>
        <row r="47">
          <cell r="A47" t="str">
            <v>E000120300L0000100</v>
          </cell>
          <cell r="B47" t="str">
            <v>น็อต (เหล็กเส้น)</v>
          </cell>
          <cell r="C47">
            <v>2475</v>
          </cell>
        </row>
        <row r="48">
          <cell r="A48" t="str">
            <v>E000120300L0000101</v>
          </cell>
          <cell r="B48" t="str">
            <v>น็อต (เหล็กเส้น) 50กก./กระสอบ</v>
          </cell>
          <cell r="C48">
            <v>0</v>
          </cell>
        </row>
        <row r="49">
          <cell r="A49" t="str">
            <v>E000120300L0000200</v>
          </cell>
          <cell r="B49" t="str">
            <v>แหวน (เหล็กเส้น)</v>
          </cell>
          <cell r="C49">
            <v>6460</v>
          </cell>
        </row>
        <row r="50">
          <cell r="A50" t="str">
            <v>E000120300L0000201</v>
          </cell>
          <cell r="B50" t="str">
            <v>แหวน (เหล็กเส้น) 50กก./กระสอบ</v>
          </cell>
          <cell r="C50">
            <v>0</v>
          </cell>
        </row>
        <row r="51">
          <cell r="A51" t="str">
            <v>E000120300L0007600</v>
          </cell>
          <cell r="B51" t="str">
            <v>เหล็กเส้นเกลียวตลอด (ชุบซิงค์) 76 ซม.</v>
          </cell>
          <cell r="C51">
            <v>0</v>
          </cell>
        </row>
        <row r="52">
          <cell r="A52" t="str">
            <v>E000120300L0008600</v>
          </cell>
          <cell r="B52" t="str">
            <v xml:space="preserve">เหล็กเส้นเกลียวตลอด (ชุบซิงค์) 86 ซม. </v>
          </cell>
          <cell r="C52">
            <v>0</v>
          </cell>
        </row>
        <row r="53">
          <cell r="A53" t="str">
            <v>E000120300L0009600</v>
          </cell>
          <cell r="B53" t="str">
            <v>เหล็กเส้นเกลียวตลอด (ชุบซิงค์) 96 ซม.</v>
          </cell>
          <cell r="C53">
            <v>0</v>
          </cell>
        </row>
        <row r="54">
          <cell r="A54" t="str">
            <v>E000120300L0010600</v>
          </cell>
          <cell r="B54" t="str">
            <v>เหล็กเส้นเกลียวตลอด (ชุบซิงค์) 106 ซม.</v>
          </cell>
          <cell r="C54">
            <v>0</v>
          </cell>
        </row>
        <row r="55">
          <cell r="A55" t="str">
            <v>E000120300L0011000</v>
          </cell>
          <cell r="B55" t="str">
            <v>เหล็กเส้นเกลียวตลอด (ชุบซิงค์) 110 ซม.</v>
          </cell>
          <cell r="C55">
            <v>0</v>
          </cell>
        </row>
        <row r="56">
          <cell r="A56" t="str">
            <v>E000120300L0012000</v>
          </cell>
          <cell r="B56" t="str">
            <v>เหล็กเส้นเกลียวตลอด (ชุบซิงค์) 120 ซม.</v>
          </cell>
          <cell r="C56">
            <v>0</v>
          </cell>
        </row>
        <row r="57">
          <cell r="A57" t="str">
            <v>E000120300L0013000</v>
          </cell>
          <cell r="B57" t="str">
            <v>เหล็กเส้นเกลียวตลอด (ชุบซิงค์) 130 ซม.</v>
          </cell>
          <cell r="C57">
            <v>0</v>
          </cell>
        </row>
        <row r="58">
          <cell r="A58" t="str">
            <v>E000120300L0015000</v>
          </cell>
          <cell r="B58" t="str">
            <v>เหล็กเส้นเกลียวตลอด (ชุบซิงค์) 150 ซม.</v>
          </cell>
          <cell r="C58">
            <v>0</v>
          </cell>
        </row>
        <row r="59">
          <cell r="A59" t="str">
            <v>E000120300L0020000</v>
          </cell>
          <cell r="B59" t="str">
            <v>เหล็กเส้นเกลียวตลอด (ชุบซิงค์) 200 ซม.</v>
          </cell>
          <cell r="C59">
            <v>0</v>
          </cell>
        </row>
        <row r="60">
          <cell r="A60" t="str">
            <v>E000120300L0100000</v>
          </cell>
          <cell r="B60" t="str">
            <v>น็อต+แหวน (เหล็กเส้น)</v>
          </cell>
          <cell r="C60">
            <v>4691</v>
          </cell>
        </row>
        <row r="61">
          <cell r="A61" t="str">
            <v>E000120300L0107600</v>
          </cell>
          <cell r="B61" t="str">
            <v>เหล็กเส้นเกลียวตลอด 76 ซม. (พร้อมน็อต)</v>
          </cell>
          <cell r="C61">
            <v>537</v>
          </cell>
        </row>
        <row r="62">
          <cell r="A62" t="str">
            <v>E000120300L0108600</v>
          </cell>
          <cell r="B62" t="str">
            <v>เหล็กเส้นเกลียวตลอด 86 ซม. (พร้อมน็อต)</v>
          </cell>
          <cell r="C62">
            <v>2870</v>
          </cell>
        </row>
        <row r="63">
          <cell r="A63" t="str">
            <v>E000120300L0109600</v>
          </cell>
          <cell r="B63" t="str">
            <v>เหล็กเส้นเกลียวตลอด 96 ซม. (พร้อมน็อต)</v>
          </cell>
          <cell r="C63">
            <v>6266</v>
          </cell>
        </row>
        <row r="64">
          <cell r="A64" t="str">
            <v>E000120300L0110600</v>
          </cell>
          <cell r="B64" t="str">
            <v>เหล็กเส้นเกลียวตลอด 106 ซม. (พร้อมน็อต)</v>
          </cell>
          <cell r="C64">
            <v>567</v>
          </cell>
        </row>
        <row r="65">
          <cell r="A65" t="str">
            <v>E000120300L0111000</v>
          </cell>
          <cell r="B65" t="str">
            <v>เหล็กเส้นเกลียวตลอด 110 ซม. (พร้อมน็อต)</v>
          </cell>
          <cell r="C65">
            <v>2849</v>
          </cell>
        </row>
        <row r="66">
          <cell r="A66" t="str">
            <v>E000120300L0112000</v>
          </cell>
          <cell r="B66" t="str">
            <v>เหล็กเส้นเกลียวตลอด 120 ซม. (พร้อมน็อต)</v>
          </cell>
          <cell r="C66">
            <v>4117</v>
          </cell>
        </row>
        <row r="67">
          <cell r="A67" t="str">
            <v>E000120300L0113000</v>
          </cell>
          <cell r="B67" t="str">
            <v>เหล็กเส้นเกลียวตลอด 130 ซม. (พร้อมน็อต)</v>
          </cell>
          <cell r="C67">
            <v>0</v>
          </cell>
        </row>
        <row r="68">
          <cell r="A68" t="str">
            <v>E000120300L0115000</v>
          </cell>
          <cell r="B68" t="str">
            <v>เหล็กเส้นเกลียวตลอด 150 ซม. (พร้อมน็อต)</v>
          </cell>
          <cell r="C68">
            <v>1576</v>
          </cell>
        </row>
        <row r="69">
          <cell r="A69" t="str">
            <v>E000120300L0120000</v>
          </cell>
          <cell r="B69" t="str">
            <v>เหล็กเส้นเกลียวตลอด 200 ซม. (พร้อมน็อต)</v>
          </cell>
          <cell r="C69">
            <v>754</v>
          </cell>
        </row>
        <row r="70">
          <cell r="A70" t="str">
            <v>E00012100000000000</v>
          </cell>
          <cell r="B70" t="str">
            <v>อุปกรณ์อลูมิเนียมไม่มียี่ห้อ (กลุ่ม)</v>
          </cell>
          <cell r="C70">
            <v>7</v>
          </cell>
        </row>
        <row r="71">
          <cell r="A71" t="str">
            <v>E00013000000000000</v>
          </cell>
          <cell r="B71" t="str">
            <v>อุปกรณ์กระจกไม่มียี่ห้อ (กลุ่ม)</v>
          </cell>
          <cell r="C71">
            <v>0</v>
          </cell>
        </row>
        <row r="72">
          <cell r="A72" t="str">
            <v>E000130000M0000000</v>
          </cell>
          <cell r="B72" t="str">
            <v>ขาทองเหลือง</v>
          </cell>
          <cell r="C72">
            <v>78</v>
          </cell>
        </row>
        <row r="73">
          <cell r="A73" t="str">
            <v>E000131100M0000000</v>
          </cell>
          <cell r="B73" t="str">
            <v>แป้นติดหลังกระจก (กะรัต)</v>
          </cell>
          <cell r="C73">
            <v>349</v>
          </cell>
        </row>
        <row r="74">
          <cell r="A74" t="str">
            <v>E000131100M0000800</v>
          </cell>
          <cell r="B74" t="str">
            <v>หัวยางดูดกระจกแผ่น หัวเดียว 8 นิ้ว (ชนิดปั๊มลม) จีน</v>
          </cell>
          <cell r="C74">
            <v>2</v>
          </cell>
        </row>
        <row r="75">
          <cell r="A75" t="str">
            <v>E000131100M0200000</v>
          </cell>
          <cell r="B75" t="str">
            <v>หัวยางดูดกระจกแผ่น - สองหัว จีน</v>
          </cell>
          <cell r="C75">
            <v>8</v>
          </cell>
        </row>
        <row r="76">
          <cell r="A76" t="str">
            <v>E000131100M0317000</v>
          </cell>
          <cell r="B76" t="str">
            <v>หัวยางดูดกระจกแผ่น สามหัว-จีน PBM #013-B-2 (รับนน.170 kg.)</v>
          </cell>
          <cell r="C76">
            <v>239</v>
          </cell>
        </row>
        <row r="77">
          <cell r="A77" t="str">
            <v>E000131100Z0000500</v>
          </cell>
          <cell r="B77" t="str">
            <v>ไม้ตัดกระจก 5 ฟุต</v>
          </cell>
          <cell r="C77">
            <v>0</v>
          </cell>
        </row>
        <row r="78">
          <cell r="A78" t="str">
            <v>E000131100Z0000800</v>
          </cell>
          <cell r="B78" t="str">
            <v>ไม้ตัดกระจก 8 ฟุต</v>
          </cell>
          <cell r="C78">
            <v>0</v>
          </cell>
        </row>
        <row r="79">
          <cell r="A79" t="str">
            <v>E000131116M0000000</v>
          </cell>
          <cell r="B79" t="str">
            <v xml:space="preserve">ตัวหนีบกระจกสีส้ม หน้ากว้างครีบ Body 10" (ใช้กับเครน) </v>
          </cell>
          <cell r="C79">
            <v>12</v>
          </cell>
        </row>
        <row r="80">
          <cell r="A80" t="str">
            <v>E000131117M0000000</v>
          </cell>
          <cell r="B80" t="str">
            <v>หมุดติดกระจกสีทอง #NP000 (1ชุด-4ชิ้น)</v>
          </cell>
          <cell r="C80">
            <v>104</v>
          </cell>
        </row>
        <row r="81">
          <cell r="A81" t="str">
            <v>E000131118M0000000</v>
          </cell>
          <cell r="B81" t="str">
            <v>หมุดติดกระจกสีเงิน #NP000 (1ชุด-4ชิ้น)</v>
          </cell>
          <cell r="C81">
            <v>117</v>
          </cell>
        </row>
        <row r="82">
          <cell r="A82" t="str">
            <v>E00014000000000000</v>
          </cell>
          <cell r="B82" t="str">
            <v>Tools ไม่มียี่ห้อ (กลุ่ม)</v>
          </cell>
          <cell r="C82">
            <v>0</v>
          </cell>
        </row>
        <row r="83">
          <cell r="A83" t="str">
            <v>E000140000Z0000000</v>
          </cell>
          <cell r="B83" t="str">
            <v>ปากกระบอกคีมย้ำรีเวท แบบยาว 3.2 มม.</v>
          </cell>
          <cell r="C83">
            <v>63</v>
          </cell>
        </row>
        <row r="84">
          <cell r="A84" t="str">
            <v>E000140005N0610000</v>
          </cell>
          <cell r="B84" t="str">
            <v>โฟมเส้น 6 มม. (100 ม.) สีเทา</v>
          </cell>
          <cell r="C84">
            <v>17</v>
          </cell>
        </row>
        <row r="85">
          <cell r="A85" t="str">
            <v>E000140005N0810000</v>
          </cell>
          <cell r="B85" t="str">
            <v>โฟมเส้น 8 มม. (100 ม.) สีเทา</v>
          </cell>
          <cell r="C85">
            <v>29</v>
          </cell>
        </row>
        <row r="86">
          <cell r="A86" t="str">
            <v>E000140005N1010000</v>
          </cell>
          <cell r="B86" t="str">
            <v>โฟมเส้น 10 มม. (100 ม.) สีเทา</v>
          </cell>
          <cell r="C86">
            <v>44</v>
          </cell>
        </row>
        <row r="87">
          <cell r="A87" t="str">
            <v>E000140005N1310000</v>
          </cell>
          <cell r="B87" t="str">
            <v>โฟมเส้น 13 มม. (100 ม.) สีเทา</v>
          </cell>
          <cell r="C87">
            <v>64</v>
          </cell>
        </row>
        <row r="88">
          <cell r="A88" t="str">
            <v>E000140005N1510000</v>
          </cell>
          <cell r="B88" t="str">
            <v>โฟมเส้น 15 มม. (100 ม.) สีเทา</v>
          </cell>
          <cell r="C88">
            <v>20</v>
          </cell>
        </row>
        <row r="89">
          <cell r="A89" t="str">
            <v>E000140300Z0000000</v>
          </cell>
          <cell r="B89" t="str">
            <v>น๊อตมือจับสแตนเลส</v>
          </cell>
          <cell r="C89">
            <v>38</v>
          </cell>
        </row>
        <row r="90">
          <cell r="A90" t="str">
            <v>E000141303N0000700</v>
          </cell>
          <cell r="B90" t="str">
            <v>พุกพลาสติก สีดำ No.7 (100ตัว/ถุง)</v>
          </cell>
          <cell r="C90">
            <v>3076</v>
          </cell>
        </row>
        <row r="91">
          <cell r="A91" t="str">
            <v>E000141303N0000701</v>
          </cell>
          <cell r="B91" t="str">
            <v>พุกพลาสติก สีดำ No.7 TTP (100ตัว/ถุง)</v>
          </cell>
          <cell r="C91">
            <v>353</v>
          </cell>
        </row>
        <row r="92">
          <cell r="A92" t="str">
            <v>E000141303N0000702</v>
          </cell>
          <cell r="B92" t="str">
            <v>พุกพลาสติก สีดำ No.7 (1กก./ถุง) รหัสเพื่อซื้อ</v>
          </cell>
          <cell r="C92">
            <v>0</v>
          </cell>
        </row>
        <row r="93">
          <cell r="A93" t="str">
            <v>E000141303N0000703</v>
          </cell>
          <cell r="B93" t="str">
            <v>พุกพลาสติก สีดำ No.7 TTP (20กก./กระสอบ)</v>
          </cell>
          <cell r="C93">
            <v>0</v>
          </cell>
        </row>
        <row r="94">
          <cell r="A94" t="str">
            <v>E00015000000000000</v>
          </cell>
          <cell r="B94" t="str">
            <v>TNG PRO (กลุ่ม)</v>
          </cell>
          <cell r="C94">
            <v>0</v>
          </cell>
        </row>
        <row r="95">
          <cell r="A95" t="str">
            <v>E00102000000000000</v>
          </cell>
          <cell r="B95" t="str">
            <v>โช้ค ยี่ห้อ Diamond (กลุ่ม)</v>
          </cell>
          <cell r="C95">
            <v>0</v>
          </cell>
        </row>
        <row r="96">
          <cell r="A96" t="str">
            <v>E001020100B0600100</v>
          </cell>
          <cell r="B96" t="str">
            <v>โช้คอัพบานสวิง 1V No.600  DIAMOND</v>
          </cell>
          <cell r="C96">
            <v>3</v>
          </cell>
        </row>
        <row r="97">
          <cell r="A97" t="str">
            <v>E001020300B0000100</v>
          </cell>
          <cell r="B97" t="str">
            <v>ADM001 ชุดหางปลา (Diamond)</v>
          </cell>
          <cell r="C97">
            <v>7</v>
          </cell>
        </row>
        <row r="98">
          <cell r="A98" t="str">
            <v>E001020300B0000200</v>
          </cell>
          <cell r="B98" t="str">
            <v>ADM002 ชุดเดือยล่าง (Diamond)</v>
          </cell>
          <cell r="C98">
            <v>6</v>
          </cell>
        </row>
        <row r="99">
          <cell r="A99" t="str">
            <v>E001020300B0000300</v>
          </cell>
          <cell r="B99" t="str">
            <v>ADM003 ชุดฉาก (Diamond)</v>
          </cell>
          <cell r="C99">
            <v>5</v>
          </cell>
        </row>
        <row r="100">
          <cell r="A100" t="str">
            <v>E001020300B0000400</v>
          </cell>
          <cell r="B100" t="str">
            <v>ADM004 จุดหมุนยึดพื้นแบบขาเรียวสี่เหลี่ยม ไม่ใช้ธรณี(Diamond)</v>
          </cell>
          <cell r="C100">
            <v>9</v>
          </cell>
        </row>
        <row r="101">
          <cell r="A101" t="str">
            <v>E001020300B0000500</v>
          </cell>
          <cell r="B101" t="str">
            <v>ADM005  จุดหมุนยึดพื้น ทรงสามเหลี่ยม ไม่ใช้ธรณี (Diamond)</v>
          </cell>
          <cell r="C101">
            <v>10</v>
          </cell>
        </row>
        <row r="102">
          <cell r="A102" t="str">
            <v>E001020300B0800100</v>
          </cell>
          <cell r="B102" t="str">
            <v>โช้คอัพบานสวิง 1V No.800  DIAMOND</v>
          </cell>
          <cell r="C102">
            <v>524</v>
          </cell>
        </row>
        <row r="103">
          <cell r="A103" t="str">
            <v>E001020300B1000100</v>
          </cell>
          <cell r="B103" t="str">
            <v>โช้คอัพบานสวิง 1V No.1000  DIAMOND</v>
          </cell>
          <cell r="C103">
            <v>1959</v>
          </cell>
        </row>
        <row r="104">
          <cell r="A104" t="str">
            <v>E001020300B1200100</v>
          </cell>
          <cell r="B104" t="str">
            <v>โช้คอัพบานสวิง 1V No.1200  DIAMOND</v>
          </cell>
          <cell r="C104">
            <v>445</v>
          </cell>
        </row>
        <row r="105">
          <cell r="A105" t="str">
            <v>E001020300B1500100</v>
          </cell>
          <cell r="B105" t="str">
            <v>โช้คอัพบานสวิง 1V No.1500  DIAMOND</v>
          </cell>
          <cell r="C105">
            <v>117</v>
          </cell>
        </row>
        <row r="106">
          <cell r="A106" t="str">
            <v>E001020301B0020200</v>
          </cell>
          <cell r="B106" t="str">
            <v>โช๊คอัพประตูแขนสไลด์ 2ระบบ Diamond รุ่น TDM-DC202 รับน้ำหนักไม่เกิน 80-90kg. (ไม่ตั้งค้าง) สีขาวอลู</v>
          </cell>
          <cell r="C106">
            <v>1</v>
          </cell>
        </row>
        <row r="107">
          <cell r="A107" t="str">
            <v>E001020303B0020200</v>
          </cell>
          <cell r="B107" t="str">
            <v>โช๊คอัพประตูแขนสไลด์ 2ระบบ Diamond รุ่น TDM-DC202 รับน้ำหนักไม่เกิน 80-90kg. (ไม่ตั้งค้าง) สีดำด้าน</v>
          </cell>
          <cell r="C107">
            <v>12</v>
          </cell>
        </row>
        <row r="108">
          <cell r="A108" t="str">
            <v>E001020304B0020200</v>
          </cell>
          <cell r="B108" t="str">
            <v>โช๊คอัพประตูแขนสไลด์ 2ระบบ Diamond รุ่น TDM-DC202 รับน้ำหนักไม่เกิน 80-90kg. (ไม่ตั้งค้าง) สีอบขาว</v>
          </cell>
          <cell r="C108">
            <v>2</v>
          </cell>
        </row>
        <row r="109">
          <cell r="A109" t="str">
            <v>E00113000000000000</v>
          </cell>
          <cell r="B109" t="str">
            <v>อุปกรณ์กระจกยี่ห้อ Diamond (กลุ่ม)</v>
          </cell>
          <cell r="C109">
            <v>0</v>
          </cell>
        </row>
        <row r="110">
          <cell r="A110" t="str">
            <v>E002010002Z0403002</v>
          </cell>
          <cell r="B110" t="str">
            <v>ยางเดิน สีชา #04 TOP (ญ)</v>
          </cell>
          <cell r="C110">
            <v>4</v>
          </cell>
        </row>
        <row r="111">
          <cell r="A111" t="str">
            <v>E002010002Z0503002</v>
          </cell>
          <cell r="B111" t="str">
            <v>ยางอัดใหญ่ 05 สีชา TOP (ญ)</v>
          </cell>
          <cell r="C111">
            <v>30</v>
          </cell>
        </row>
        <row r="112">
          <cell r="A112" t="str">
            <v>E002010002Z0603002</v>
          </cell>
          <cell r="B112" t="str">
            <v>ยางอัดเล็ก 06 สีชา TOP (ญ)</v>
          </cell>
          <cell r="C112">
            <v>25</v>
          </cell>
        </row>
        <row r="113">
          <cell r="A113" t="str">
            <v>E002010003A0402501</v>
          </cell>
          <cell r="B113" t="str">
            <v>ยางเดิน 04 สีดำ TOP</v>
          </cell>
          <cell r="C113">
            <v>3279</v>
          </cell>
        </row>
        <row r="114">
          <cell r="A114" t="str">
            <v>E002010003A0502501</v>
          </cell>
          <cell r="B114" t="str">
            <v>ยางอัดใหญ่ 05 สีดำ TOP</v>
          </cell>
          <cell r="C114">
            <v>2402</v>
          </cell>
        </row>
        <row r="115">
          <cell r="A115" t="str">
            <v>E002010003A0602501</v>
          </cell>
          <cell r="B115" t="str">
            <v>ยางอัดเล็ก 06 สีดำ TOP</v>
          </cell>
          <cell r="C115">
            <v>2405</v>
          </cell>
        </row>
        <row r="116">
          <cell r="A116" t="str">
            <v>E002010003A1302501</v>
          </cell>
          <cell r="B116" t="str">
            <v xml:space="preserve">ยางอัดจิ๋ว 13 สีดำ TOP </v>
          </cell>
          <cell r="C116">
            <v>550</v>
          </cell>
        </row>
        <row r="117">
          <cell r="A117" t="str">
            <v>E002010003A1502501</v>
          </cell>
          <cell r="B117" t="str">
            <v>ยางอัดใหญ่ 1.25 หุน สีดำ TOP</v>
          </cell>
          <cell r="C117">
            <v>585</v>
          </cell>
        </row>
        <row r="118">
          <cell r="A118" t="str">
            <v>E002010003Z0503002</v>
          </cell>
          <cell r="B118" t="str">
            <v>ยางอัดใหญ่ 05 สีดำ TOP (ญ)</v>
          </cell>
          <cell r="C118">
            <v>0</v>
          </cell>
        </row>
        <row r="119">
          <cell r="A119" t="str">
            <v>E002010003Z1303002</v>
          </cell>
          <cell r="B119" t="str">
            <v>ยางอัดจิ๋ว 13 สีดำ TOP (ญ)</v>
          </cell>
          <cell r="C119">
            <v>0</v>
          </cell>
        </row>
        <row r="120">
          <cell r="A120" t="str">
            <v>E002010003Z1503002</v>
          </cell>
          <cell r="B120" t="str">
            <v>ยางอัดใหญ่ 1.25 หุน สีดำ TOP (ญ)</v>
          </cell>
          <cell r="C120">
            <v>0</v>
          </cell>
        </row>
        <row r="121">
          <cell r="A121" t="str">
            <v>E002010004A0402501</v>
          </cell>
          <cell r="B121" t="str">
            <v>ยางเดิน 04 สีอบขาว TOP</v>
          </cell>
          <cell r="C121">
            <v>4</v>
          </cell>
        </row>
        <row r="122">
          <cell r="A122" t="str">
            <v>E002010004A0502501</v>
          </cell>
          <cell r="B122" t="str">
            <v>ยางอัดใหญ่ 05 สีอบขาว TOP</v>
          </cell>
          <cell r="C122">
            <v>12</v>
          </cell>
        </row>
        <row r="123">
          <cell r="A123" t="str">
            <v>E002010004A0602501</v>
          </cell>
          <cell r="B123" t="str">
            <v>ยางอัดเล็ก 06 สีอบขาว TOP</v>
          </cell>
          <cell r="C123">
            <v>3</v>
          </cell>
        </row>
        <row r="124">
          <cell r="A124" t="str">
            <v>E002010004A1302501</v>
          </cell>
          <cell r="B124" t="str">
            <v>ยางอัดจิ๋ว 13 สีอบขาว TOP</v>
          </cell>
          <cell r="C124">
            <v>1</v>
          </cell>
        </row>
        <row r="125">
          <cell r="A125" t="str">
            <v>E002010004A1502501</v>
          </cell>
          <cell r="B125" t="str">
            <v>ยางอัดใหญ่ 1.25 หุน สีอบขาว TOP</v>
          </cell>
          <cell r="C125">
            <v>0</v>
          </cell>
        </row>
        <row r="126">
          <cell r="A126" t="str">
            <v>E002010004Z0503002</v>
          </cell>
          <cell r="B126" t="str">
            <v>ยางอัดใหญ่ 05 สีอบขาว TOP (ญ)</v>
          </cell>
          <cell r="C126">
            <v>0</v>
          </cell>
        </row>
        <row r="127">
          <cell r="A127" t="str">
            <v>E002010004Z0603002</v>
          </cell>
          <cell r="B127" t="str">
            <v>ยางอัดเล็ก 06 สีอบขาว TOP (ญ)</v>
          </cell>
          <cell r="C127">
            <v>96</v>
          </cell>
        </row>
        <row r="128">
          <cell r="A128" t="str">
            <v>E002010004Z1303002</v>
          </cell>
          <cell r="B128" t="str">
            <v>ยางอัดจิ๋ว สีอบขาว TOP (ญ)</v>
          </cell>
          <cell r="C128">
            <v>13</v>
          </cell>
        </row>
        <row r="129">
          <cell r="A129" t="str">
            <v>E002010004Z1503002</v>
          </cell>
          <cell r="B129" t="str">
            <v>ยางอัดใหญ่ 1.25 หุน สีอบขาว TOP (ญ)</v>
          </cell>
          <cell r="C129">
            <v>10</v>
          </cell>
        </row>
        <row r="130">
          <cell r="A130" t="str">
            <v>E002010005A0402501</v>
          </cell>
          <cell r="B130" t="str">
            <v>ยางเดิน 04 สีเทา TOP</v>
          </cell>
          <cell r="C130">
            <v>0</v>
          </cell>
        </row>
        <row r="131">
          <cell r="A131" t="str">
            <v>E002010005A0502501</v>
          </cell>
          <cell r="B131" t="str">
            <v>ยางอัดใหญ่ 05 สีเทา TOP</v>
          </cell>
          <cell r="C131">
            <v>31</v>
          </cell>
        </row>
        <row r="132">
          <cell r="A132" t="str">
            <v>E002010005A0602501</v>
          </cell>
          <cell r="B132" t="str">
            <v>ยางอัดเล็ก 06 สีเทา TOP</v>
          </cell>
          <cell r="C132">
            <v>156</v>
          </cell>
        </row>
        <row r="133">
          <cell r="A133" t="str">
            <v>E002010005A1302501</v>
          </cell>
          <cell r="B133" t="str">
            <v>ยางอัดจิ๋ว 13 สีเทา TOP</v>
          </cell>
          <cell r="C133">
            <v>30</v>
          </cell>
        </row>
        <row r="134">
          <cell r="A134" t="str">
            <v>E002010005A1502501</v>
          </cell>
          <cell r="B134" t="str">
            <v>ยางอัดใหญ่ 1.25 หุน สีเทา TOP</v>
          </cell>
          <cell r="C134">
            <v>2</v>
          </cell>
        </row>
        <row r="135">
          <cell r="A135" t="str">
            <v>E002010005Z0503002</v>
          </cell>
          <cell r="B135" t="str">
            <v>ยางอัดใหญ่ 05 สีเทา TOP (ญ)</v>
          </cell>
          <cell r="C135">
            <v>45</v>
          </cell>
        </row>
        <row r="136">
          <cell r="A136" t="str">
            <v>E002010005Z0603002</v>
          </cell>
          <cell r="B136" t="str">
            <v>ยางอัดเล็ก 06 สีเทา TOP (ญ)</v>
          </cell>
          <cell r="C136">
            <v>36</v>
          </cell>
        </row>
        <row r="137">
          <cell r="A137" t="str">
            <v>E002010005Z1303002</v>
          </cell>
          <cell r="B137" t="str">
            <v>ยางอัดจิ๋ว 13 สีเทา TOP (ญ)</v>
          </cell>
          <cell r="C137">
            <v>81</v>
          </cell>
        </row>
        <row r="138">
          <cell r="A138" t="str">
            <v>E002010005Z1503002</v>
          </cell>
          <cell r="B138" t="str">
            <v>ยางอัดใหญ่ 1.25 หุน สีเทา TOP (ญ)</v>
          </cell>
          <cell r="C138">
            <v>0</v>
          </cell>
        </row>
        <row r="139">
          <cell r="A139" t="str">
            <v>E002010203A0102201</v>
          </cell>
          <cell r="B139" t="str">
            <v>ยางบานเลื่อน 2 หุน 01 สีดำ TOP</v>
          </cell>
          <cell r="C139">
            <v>3239</v>
          </cell>
        </row>
        <row r="140">
          <cell r="A140" t="str">
            <v>E002010203A0202201</v>
          </cell>
          <cell r="B140" t="str">
            <v>ยางบานเลื่อน 1 1/2 หุน 02 สีดำ TOP</v>
          </cell>
          <cell r="C140">
            <v>2981</v>
          </cell>
        </row>
        <row r="141">
          <cell r="A141" t="str">
            <v>E002010204A0102201</v>
          </cell>
          <cell r="B141" t="str">
            <v>ยางบานเลื่อน 2 หุน 01 สีอบขาว TOP</v>
          </cell>
          <cell r="C141">
            <v>7</v>
          </cell>
        </row>
        <row r="142">
          <cell r="A142" t="str">
            <v>E002010204A0202201</v>
          </cell>
          <cell r="B142" t="str">
            <v>ยางบานเลื่อน 1 1/2 หุน 02 สีอบขาว TOP</v>
          </cell>
          <cell r="C142">
            <v>22</v>
          </cell>
        </row>
        <row r="143">
          <cell r="A143" t="str">
            <v>E002010204Z0102502</v>
          </cell>
          <cell r="B143" t="str">
            <v>ยางบานเลื่อน 2 หุน 01 สีอบขาว TOP (ญ)</v>
          </cell>
          <cell r="C143">
            <v>5</v>
          </cell>
        </row>
        <row r="144">
          <cell r="A144" t="str">
            <v>E002010204Z0202502</v>
          </cell>
          <cell r="B144" t="str">
            <v>ยางบานเลื่อน 1 1/2 หุน 02 สีอบขาว TOP (ญ)</v>
          </cell>
          <cell r="C144">
            <v>22</v>
          </cell>
        </row>
        <row r="145">
          <cell r="A145" t="str">
            <v>E002010205A0102201</v>
          </cell>
          <cell r="B145" t="str">
            <v>ยางบานเลื่อน 2 หุน 01 สีเทา TOP</v>
          </cell>
          <cell r="C145">
            <v>2</v>
          </cell>
        </row>
        <row r="146">
          <cell r="A146" t="str">
            <v>E002010205A0202201</v>
          </cell>
          <cell r="B146" t="str">
            <v>ยางบานเลื่อน 1 1/2 หุน 02 สีเทา TOP</v>
          </cell>
          <cell r="C146">
            <v>13</v>
          </cell>
        </row>
        <row r="147">
          <cell r="A147" t="str">
            <v>E002010205Z0202502</v>
          </cell>
          <cell r="B147" t="str">
            <v>ยางบานเลื่อน 1 1/2 หุน 02 สีเทา TOP (ญ)</v>
          </cell>
          <cell r="C147">
            <v>0</v>
          </cell>
        </row>
        <row r="148">
          <cell r="A148" t="str">
            <v>E002010603A1202500</v>
          </cell>
          <cell r="B148" t="str">
            <v>ยางอัดลูกโป่งฐานแข็ง 12P (ปีกส้ม) สีดำ TOP</v>
          </cell>
          <cell r="C148">
            <v>356</v>
          </cell>
        </row>
        <row r="149">
          <cell r="A149" t="str">
            <v>E002010603A1202501</v>
          </cell>
          <cell r="B149" t="str">
            <v>ยางอัดลูกโป่งฐานนิ่ม 12 สีดำ TOP</v>
          </cell>
          <cell r="C149">
            <v>808</v>
          </cell>
        </row>
        <row r="150">
          <cell r="A150" t="str">
            <v>E002010603A1205002</v>
          </cell>
          <cell r="B150" t="str">
            <v>ยางอัดลูกโป่งฐานนิ่ม 12 สีดำ TOP (50ม.)</v>
          </cell>
          <cell r="C150">
            <v>0</v>
          </cell>
        </row>
        <row r="151">
          <cell r="A151" t="str">
            <v>E002010604Z1205002</v>
          </cell>
          <cell r="B151" t="str">
            <v>ยางอัดลูกโป่ง 12 สีอบขาว TOP (ญ)</v>
          </cell>
          <cell r="C151">
            <v>16</v>
          </cell>
        </row>
        <row r="152">
          <cell r="A152" t="str">
            <v>E002010902Z1001502</v>
          </cell>
          <cell r="B152" t="str">
            <v>ยางกันยุง 10 สีชา TOP (ญ)</v>
          </cell>
          <cell r="C152">
            <v>12</v>
          </cell>
        </row>
        <row r="153">
          <cell r="A153" t="str">
            <v>E002010903A0702501</v>
          </cell>
          <cell r="B153" t="str">
            <v>ยางอัดมุ้งไฟเบอร์ 07 สีดำ TOP</v>
          </cell>
          <cell r="C153">
            <v>717</v>
          </cell>
        </row>
        <row r="154">
          <cell r="A154" t="str">
            <v>E002010903A1001201</v>
          </cell>
          <cell r="B154" t="str">
            <v>ยางกันยุง 10 สีดำ TOP</v>
          </cell>
          <cell r="C154">
            <v>735</v>
          </cell>
        </row>
        <row r="155">
          <cell r="A155" t="str">
            <v>E002010904A0702501</v>
          </cell>
          <cell r="B155" t="str">
            <v>ยางอัดมุ้งไฟเบอร์ 07 สีอบขาว TOP</v>
          </cell>
          <cell r="C155">
            <v>9</v>
          </cell>
        </row>
        <row r="156">
          <cell r="A156" t="str">
            <v>E002010904A1001201</v>
          </cell>
          <cell r="B156" t="str">
            <v>ยางกันยุง 10 สีอบขาว TOP</v>
          </cell>
          <cell r="C156">
            <v>0</v>
          </cell>
        </row>
        <row r="157">
          <cell r="A157" t="str">
            <v>E002010904Z0703002</v>
          </cell>
          <cell r="B157" t="str">
            <v>ยางอัดมุ้งไฟเบอร์ 07 สีอบขาว TOP (ญ)</v>
          </cell>
          <cell r="C157">
            <v>0</v>
          </cell>
        </row>
        <row r="158">
          <cell r="A158" t="str">
            <v>E002010905A0702501</v>
          </cell>
          <cell r="B158" t="str">
            <v>ยางอัดมุ้งไฟเบอร์ 07 สีเทา TOP</v>
          </cell>
          <cell r="C158">
            <v>8</v>
          </cell>
        </row>
        <row r="159">
          <cell r="A159" t="str">
            <v>E002010905A1001201</v>
          </cell>
          <cell r="B159" t="str">
            <v>ยางกันยุง 10 สีเทา TOP</v>
          </cell>
          <cell r="C159">
            <v>24</v>
          </cell>
        </row>
        <row r="160">
          <cell r="A160" t="str">
            <v>E002020300B0800101</v>
          </cell>
          <cell r="B160" t="str">
            <v>โช้คอัพบานสวิง 1V No.800 TOP (H)</v>
          </cell>
          <cell r="C160">
            <v>119</v>
          </cell>
        </row>
        <row r="161">
          <cell r="A161" t="str">
            <v>E002020300B1000101</v>
          </cell>
          <cell r="B161" t="str">
            <v>โช้คอัพบานสวิง 1V No.1000 TOP (H)</v>
          </cell>
          <cell r="C161">
            <v>352</v>
          </cell>
        </row>
        <row r="162">
          <cell r="A162" t="str">
            <v>E002020300B1000200</v>
          </cell>
          <cell r="B162" t="str">
            <v>โช้คอัพบานสวิง 2V No.1000  TOP (H)</v>
          </cell>
          <cell r="C162">
            <v>9</v>
          </cell>
        </row>
        <row r="163">
          <cell r="A163" t="str">
            <v>E002020300B1200101</v>
          </cell>
          <cell r="B163" t="str">
            <v>โช้คอัพบานสวิง 1V No.1200 TOP (H)</v>
          </cell>
          <cell r="C163">
            <v>167</v>
          </cell>
        </row>
        <row r="164">
          <cell r="A164" t="str">
            <v>E002020300Z0800100</v>
          </cell>
          <cell r="B164" t="str">
            <v>โช้คอัพบานสวิง 1V No.800 TOP</v>
          </cell>
          <cell r="C164">
            <v>0</v>
          </cell>
        </row>
        <row r="165">
          <cell r="A165" t="str">
            <v>E002020300Z1000100</v>
          </cell>
          <cell r="B165" t="str">
            <v>โช้คอัพบานสวิง 1V No.1000  TOP</v>
          </cell>
          <cell r="C165">
            <v>4</v>
          </cell>
        </row>
        <row r="166">
          <cell r="A166" t="str">
            <v>E002020300Z1200100</v>
          </cell>
          <cell r="B166" t="str">
            <v>โช้คอัพบานสวิง 1V No.1200 TOP</v>
          </cell>
          <cell r="C166">
            <v>9</v>
          </cell>
        </row>
        <row r="167">
          <cell r="A167" t="str">
            <v>E002020400B1000100</v>
          </cell>
          <cell r="B167" t="str">
            <v>โช้คอัพฝังพื้นไม่มีอุปกรณ์ 2V No.1000 TOP (H)</v>
          </cell>
          <cell r="C167">
            <v>22</v>
          </cell>
        </row>
        <row r="168">
          <cell r="A168" t="str">
            <v>E002020400B1200100</v>
          </cell>
          <cell r="B168" t="str">
            <v>โช้คอัพฝังพื้นไม่มีอุปกรณ์ 2V No.1200 TOP (H)</v>
          </cell>
          <cell r="C168">
            <v>5</v>
          </cell>
        </row>
        <row r="169">
          <cell r="A169" t="str">
            <v>E002030210C0010100</v>
          </cell>
          <cell r="B169" t="str">
            <v>ลูกล้อบานเลื่อนเดี่ยว (เขียว) TOP (รับนน. 25Kg.)</v>
          </cell>
          <cell r="C169">
            <v>3374</v>
          </cell>
        </row>
        <row r="170">
          <cell r="A170" t="str">
            <v>E002030211C0010100</v>
          </cell>
          <cell r="B170" t="str">
            <v>ลูกล้อบานเลื่อนเดี่ยว (แดง) TOP (รับนน. 35Kg.)</v>
          </cell>
          <cell r="C170">
            <v>1183</v>
          </cell>
        </row>
        <row r="171">
          <cell r="A171" t="str">
            <v>E002030211C0010200</v>
          </cell>
          <cell r="B171" t="str">
            <v>ลูกล้อบานเลื่อนคู่ TOP (รับนน. 50Kg.)</v>
          </cell>
          <cell r="C171">
            <v>1366</v>
          </cell>
        </row>
        <row r="172">
          <cell r="A172" t="str">
            <v>E002030800C0010400</v>
          </cell>
          <cell r="B172" t="str">
            <v>ลูกล้อรางแขวน 4 ล้อ (เดี่ยว) TOP (รับนน. 60Kg.)</v>
          </cell>
          <cell r="C172">
            <v>863</v>
          </cell>
        </row>
        <row r="173">
          <cell r="A173" t="str">
            <v>E002030900C0000100</v>
          </cell>
          <cell r="B173" t="str">
            <v>ลูกล้อมุ้งพลาสติก (มีลูกปืน) TOP</v>
          </cell>
          <cell r="C173">
            <v>12580</v>
          </cell>
        </row>
        <row r="174">
          <cell r="A174" t="str">
            <v>E002040101D1000010</v>
          </cell>
          <cell r="B174" t="str">
            <v>มือจับกระทุ้งซ้าย (แปะ) สีขาวอลู TOP</v>
          </cell>
          <cell r="C174">
            <v>957</v>
          </cell>
        </row>
        <row r="175">
          <cell r="A175" t="str">
            <v>E002040101D1000020</v>
          </cell>
          <cell r="B175" t="str">
            <v>มือจับกระทุ้งขวา (แปะ) สีขาวอลู TOP</v>
          </cell>
          <cell r="C175">
            <v>567</v>
          </cell>
        </row>
        <row r="176">
          <cell r="A176" t="str">
            <v>E002040102D1000010</v>
          </cell>
          <cell r="B176" t="str">
            <v>มือจับกระทุ้งซ้าย (แปะ) สีชา TOP</v>
          </cell>
          <cell r="C176">
            <v>719</v>
          </cell>
        </row>
        <row r="177">
          <cell r="A177" t="str">
            <v>E002040102D1000020</v>
          </cell>
          <cell r="B177" t="str">
            <v>มือจับกระทุ้งขวา (แปะ) สีชา TOP</v>
          </cell>
          <cell r="C177">
            <v>711</v>
          </cell>
        </row>
        <row r="178">
          <cell r="A178" t="str">
            <v>E002040103D1000010</v>
          </cell>
          <cell r="B178" t="str">
            <v>มือจับกระทุ้งซ้าย (แปะ) สีดำ TOP</v>
          </cell>
          <cell r="C178">
            <v>1588</v>
          </cell>
        </row>
        <row r="179">
          <cell r="A179" t="str">
            <v>E002040103D1000020</v>
          </cell>
          <cell r="B179" t="str">
            <v>มือจับกระทุ้งขวา (แปะ) สีดำ TOP</v>
          </cell>
          <cell r="C179">
            <v>1658</v>
          </cell>
        </row>
        <row r="180">
          <cell r="A180" t="str">
            <v>E002040104D1000010</v>
          </cell>
          <cell r="B180" t="str">
            <v>มือจับกระทุ้งซ้าย (แปะ) สีอบขาว TOP</v>
          </cell>
          <cell r="C180">
            <v>1120</v>
          </cell>
        </row>
        <row r="181">
          <cell r="A181" t="str">
            <v>E002040104D1000020</v>
          </cell>
          <cell r="B181" t="str">
            <v>มือจับกระทุ้งขวา (แปะ) สีอบขาว TOP</v>
          </cell>
          <cell r="C181">
            <v>1468</v>
          </cell>
        </row>
        <row r="182">
          <cell r="A182" t="str">
            <v>E002040201D2100010</v>
          </cell>
          <cell r="B182" t="str">
            <v>มือจับล็อคเสาเกี่ยวซ้าย สีขาวอลุ TOP</v>
          </cell>
          <cell r="C182">
            <v>1391</v>
          </cell>
        </row>
        <row r="183">
          <cell r="A183" t="str">
            <v>E002040201D2100020</v>
          </cell>
          <cell r="B183" t="str">
            <v>มือจับล็อคเสาเกี่ยวขวา สีขาวอลู TOP</v>
          </cell>
          <cell r="C183">
            <v>1470</v>
          </cell>
        </row>
        <row r="184">
          <cell r="A184" t="str">
            <v>E002040201D2100200</v>
          </cell>
          <cell r="B184" t="str">
            <v>มือจับล็อค A2 สีขาวอลู TOP (S)</v>
          </cell>
          <cell r="C184">
            <v>393</v>
          </cell>
        </row>
        <row r="185">
          <cell r="A185" t="str">
            <v>E002040201D2109800</v>
          </cell>
          <cell r="B185" t="str">
            <v>มือจับล็อค รุ่นใหญ่ สีขาวอลู TOP (s)</v>
          </cell>
          <cell r="C185">
            <v>555</v>
          </cell>
        </row>
        <row r="186">
          <cell r="A186" t="str">
            <v>E002040201D2200000</v>
          </cell>
          <cell r="B186" t="str">
            <v>มือจับล็อคกุญแจ A4 สีขาวอลู TOP (s)</v>
          </cell>
          <cell r="C186">
            <v>1440</v>
          </cell>
        </row>
        <row r="187">
          <cell r="A187" t="str">
            <v>E002040201D2209800</v>
          </cell>
          <cell r="B187" t="str">
            <v>มือจับล็อคกุญแจ รุ่นใหญ่ สีขาวอลู TOP (s)</v>
          </cell>
          <cell r="C187">
            <v>1130</v>
          </cell>
        </row>
        <row r="188">
          <cell r="A188" t="str">
            <v>E002040201D2301000</v>
          </cell>
          <cell r="B188" t="str">
            <v>มือจับเรียบมีรู A10 สีขาวอลู TOP (s)</v>
          </cell>
          <cell r="C188">
            <v>1055</v>
          </cell>
        </row>
        <row r="189">
          <cell r="A189" t="str">
            <v>E002040201D2309800</v>
          </cell>
          <cell r="B189" t="str">
            <v>มือจับเรียบมีรู รุ่นใหญ่ สีขาวอลู TOP (s)</v>
          </cell>
          <cell r="C189">
            <v>1259</v>
          </cell>
        </row>
        <row r="190">
          <cell r="A190" t="str">
            <v>E002040201D2401100</v>
          </cell>
          <cell r="B190" t="str">
            <v>มือจับเรียบไม่มีรู A11 สีขาวอลู TOP (s)</v>
          </cell>
          <cell r="C190">
            <v>1080</v>
          </cell>
        </row>
        <row r="191">
          <cell r="A191" t="str">
            <v>E002040201D2409800</v>
          </cell>
          <cell r="B191" t="str">
            <v>มือจับเรียบไม่มีรู รุ่นใหญ่ สีขาวอลู TOP (s)</v>
          </cell>
          <cell r="C191">
            <v>1470</v>
          </cell>
        </row>
        <row r="192">
          <cell r="A192" t="str">
            <v>E002040201Z2000000</v>
          </cell>
          <cell r="B192" t="str">
            <v>มือจับดับเบิ้ลล็อค สีขาวอลู TOP</v>
          </cell>
          <cell r="C192">
            <v>150</v>
          </cell>
        </row>
        <row r="193">
          <cell r="A193" t="str">
            <v>E002040201Z2109800</v>
          </cell>
          <cell r="B193" t="str">
            <v>มือจับล็อค รุ่นใหญ่ สีขาวอลู TOP</v>
          </cell>
          <cell r="C193">
            <v>72</v>
          </cell>
        </row>
        <row r="194">
          <cell r="A194" t="str">
            <v>E002040202D2100000</v>
          </cell>
          <cell r="B194" t="str">
            <v>มือจับล็อค A2 สีชา TOP (s)</v>
          </cell>
          <cell r="C194">
            <v>657</v>
          </cell>
        </row>
        <row r="195">
          <cell r="A195" t="str">
            <v>E002040202D2100010</v>
          </cell>
          <cell r="B195" t="str">
            <v>มือจับล็อคเสาเกี่ยวซ้าย สีชา TOP</v>
          </cell>
          <cell r="C195">
            <v>127</v>
          </cell>
        </row>
        <row r="196">
          <cell r="A196" t="str">
            <v>E002040202D2100020</v>
          </cell>
          <cell r="B196" t="str">
            <v>มือจับล็อคเสาเกี่ยวขวา สีชา TOP</v>
          </cell>
          <cell r="C196">
            <v>1415</v>
          </cell>
        </row>
        <row r="197">
          <cell r="A197" t="str">
            <v>E002040202D2109800</v>
          </cell>
          <cell r="B197" t="str">
            <v>มือจับล็อค รุ่นใหญ่ สีชา TOP (s)</v>
          </cell>
          <cell r="C197">
            <v>210</v>
          </cell>
        </row>
        <row r="198">
          <cell r="A198" t="str">
            <v>E002040202D2200000</v>
          </cell>
          <cell r="B198" t="str">
            <v>มือจับล็อคกุญแจ A4 สีชา TOP (s)</v>
          </cell>
          <cell r="C198">
            <v>708</v>
          </cell>
        </row>
        <row r="199">
          <cell r="A199" t="str">
            <v>E002040202D2209800</v>
          </cell>
          <cell r="B199" t="str">
            <v>มือจับล็อคกุญแจ รุ่นใหญ่ สีชา TOP (s)</v>
          </cell>
          <cell r="C199">
            <v>716</v>
          </cell>
        </row>
        <row r="200">
          <cell r="A200" t="str">
            <v>E002040202D2301000</v>
          </cell>
          <cell r="B200" t="str">
            <v>มือจับเรียบมีรู A10 สีชา TOP (s)</v>
          </cell>
          <cell r="C200">
            <v>477</v>
          </cell>
        </row>
        <row r="201">
          <cell r="A201" t="str">
            <v>E002040202D2309800</v>
          </cell>
          <cell r="B201" t="str">
            <v>มือจับเรียบมีรู รุ่นใหญ่ สีชา TOP (s)</v>
          </cell>
          <cell r="C201">
            <v>935</v>
          </cell>
        </row>
        <row r="202">
          <cell r="A202" t="str">
            <v>E002040202D2401100</v>
          </cell>
          <cell r="B202" t="str">
            <v>มือจับเรียบไม่มีรู A11 สีชา TOP (s)</v>
          </cell>
          <cell r="C202">
            <v>1114</v>
          </cell>
        </row>
        <row r="203">
          <cell r="A203" t="str">
            <v>E002040202D2409800</v>
          </cell>
          <cell r="B203" t="str">
            <v>มือจับเรียบไม่มีรู รุ่นใหญ่ สีชา TOP (s)</v>
          </cell>
          <cell r="C203">
            <v>1494</v>
          </cell>
        </row>
        <row r="204">
          <cell r="A204" t="str">
            <v>E002040202Z0000020</v>
          </cell>
          <cell r="B204" t="str">
            <v>มือจับดับเบิ้ลล็อค สีชา TOP</v>
          </cell>
          <cell r="C204">
            <v>102</v>
          </cell>
        </row>
        <row r="205">
          <cell r="A205" t="str">
            <v>E002040202Z2109800</v>
          </cell>
          <cell r="B205" t="str">
            <v>มือจับล็อค รุ่นใหญ่ สีชา TOP</v>
          </cell>
          <cell r="C205">
            <v>0</v>
          </cell>
        </row>
        <row r="206">
          <cell r="A206" t="str">
            <v>E002040202Z2409800</v>
          </cell>
          <cell r="B206" t="str">
            <v>มือจับเรียบไม่มีรู รุ่นใหญ่ สีชา TOP</v>
          </cell>
          <cell r="C206">
            <v>87</v>
          </cell>
        </row>
        <row r="207">
          <cell r="A207" t="str">
            <v>E002040202Z2600000</v>
          </cell>
          <cell r="B207" t="str">
            <v>มือจับบานเลื่อนออโตล็อค สีชา TOP</v>
          </cell>
          <cell r="C207">
            <v>136</v>
          </cell>
        </row>
        <row r="208">
          <cell r="A208" t="str">
            <v>E002040203D2100010</v>
          </cell>
          <cell r="B208" t="str">
            <v>มือจับล็อคเสาเกี่ยวซ้าย สีดำ TOP</v>
          </cell>
          <cell r="C208">
            <v>412</v>
          </cell>
        </row>
        <row r="209">
          <cell r="A209" t="str">
            <v>E002040203D2100020</v>
          </cell>
          <cell r="B209" t="str">
            <v>มือจับล็อคเสาเกี่ยวขวา สีดำ TOP</v>
          </cell>
          <cell r="C209">
            <v>406</v>
          </cell>
        </row>
        <row r="210">
          <cell r="A210" t="str">
            <v>E002040203D2100200</v>
          </cell>
          <cell r="B210" t="str">
            <v>มือจับล็อค A2 สีดำ TOP (s)</v>
          </cell>
          <cell r="C210">
            <v>819</v>
          </cell>
        </row>
        <row r="211">
          <cell r="A211" t="str">
            <v>E002040203D2109800</v>
          </cell>
          <cell r="B211" t="str">
            <v>มือจับล็อค รุ่นใหญ่ สีดำ TOP (s)</v>
          </cell>
          <cell r="C211">
            <v>1148</v>
          </cell>
        </row>
        <row r="212">
          <cell r="A212" t="str">
            <v>E002040203D2200400</v>
          </cell>
          <cell r="B212" t="str">
            <v>มือจับล็อคกุญแจ A4 สีดำ TOP (s)</v>
          </cell>
          <cell r="C212">
            <v>1216</v>
          </cell>
        </row>
        <row r="213">
          <cell r="A213" t="str">
            <v>E002040203D2209800</v>
          </cell>
          <cell r="B213" t="str">
            <v>มือจับล็อคกุญแจ รุ่นใหญ่ สีดำ TOP (s)</v>
          </cell>
          <cell r="C213">
            <v>1084</v>
          </cell>
        </row>
        <row r="214">
          <cell r="A214" t="str">
            <v>E002040203D2301000</v>
          </cell>
          <cell r="B214" t="str">
            <v>มือจับเรียบมีรู A10 สีดำ TOP (s)</v>
          </cell>
          <cell r="C214">
            <v>452</v>
          </cell>
        </row>
        <row r="215">
          <cell r="A215" t="str">
            <v>E002040203D2309800</v>
          </cell>
          <cell r="B215" t="str">
            <v>มือจับเรียบมีรู รุ่นใหญ่ สีดำ TOP (s)</v>
          </cell>
          <cell r="C215">
            <v>673</v>
          </cell>
        </row>
        <row r="216">
          <cell r="A216" t="str">
            <v>E002040203D2401100</v>
          </cell>
          <cell r="B216" t="str">
            <v>มือจับเรียบไม่มีรู A11 สีดำ TOP (s)</v>
          </cell>
          <cell r="C216">
            <v>1066</v>
          </cell>
        </row>
        <row r="217">
          <cell r="A217" t="str">
            <v>E002040203D2409800</v>
          </cell>
          <cell r="B217" t="str">
            <v>มือจับเรียบไม่มีรู รุ่นใหญ่ สีดำ TOP (s)</v>
          </cell>
          <cell r="C217">
            <v>585</v>
          </cell>
        </row>
        <row r="218">
          <cell r="A218" t="str">
            <v>E002040203Z0000020</v>
          </cell>
          <cell r="B218" t="str">
            <v>มือจับดับเบิ้ลล็อค สีดำ TOP</v>
          </cell>
          <cell r="C218">
            <v>47</v>
          </cell>
        </row>
        <row r="219">
          <cell r="A219" t="str">
            <v>E002040203Z2209800</v>
          </cell>
          <cell r="B219" t="str">
            <v>มือจับล็อคกุญแจ รุ่นใหญ่ สีดำ TOP</v>
          </cell>
          <cell r="C219">
            <v>66</v>
          </cell>
        </row>
        <row r="220">
          <cell r="A220" t="str">
            <v>E002040203Z2301000</v>
          </cell>
          <cell r="B220" t="str">
            <v>มือจับเรียบมีรู A10 สีดำ TOP</v>
          </cell>
          <cell r="C220">
            <v>0</v>
          </cell>
        </row>
        <row r="221">
          <cell r="A221" t="str">
            <v>E002040203Z2309800</v>
          </cell>
          <cell r="B221" t="str">
            <v>มือจับเรียบมีรู รุ่นใหญ่ สีดำ TOP</v>
          </cell>
          <cell r="C221">
            <v>207</v>
          </cell>
        </row>
        <row r="222">
          <cell r="A222" t="str">
            <v>E002040203Z2409800</v>
          </cell>
          <cell r="B222" t="str">
            <v>มือจับเรียบไม่มีรู รุ่นใหญ่ สีดำ TOP</v>
          </cell>
          <cell r="C222">
            <v>8</v>
          </cell>
        </row>
        <row r="223">
          <cell r="A223" t="str">
            <v>E002040203Z2600000</v>
          </cell>
          <cell r="B223" t="str">
            <v>มือจับบานเลื่อนออโตล็อค สีดำ TOP</v>
          </cell>
          <cell r="C223">
            <v>46</v>
          </cell>
        </row>
        <row r="224">
          <cell r="A224" t="str">
            <v>E002040204D2100010</v>
          </cell>
          <cell r="B224" t="str">
            <v>มือจับล็อคเสาเกี่ยวซ้าย สีอบขาว TOP</v>
          </cell>
          <cell r="C224">
            <v>622</v>
          </cell>
        </row>
        <row r="225">
          <cell r="A225" t="str">
            <v>E002040204D2100020</v>
          </cell>
          <cell r="B225" t="str">
            <v>มือจับล็อคเสาเกี่ยวขวา สีอบขาว TOP</v>
          </cell>
          <cell r="C225">
            <v>355</v>
          </cell>
        </row>
        <row r="226">
          <cell r="A226" t="str">
            <v>E002040204D2100200</v>
          </cell>
          <cell r="B226" t="str">
            <v>มือจับล็อค A2 สีอบขาว TOP (s)</v>
          </cell>
          <cell r="C226">
            <v>1721</v>
          </cell>
        </row>
        <row r="227">
          <cell r="A227" t="str">
            <v>E002040204D2109800</v>
          </cell>
          <cell r="B227" t="str">
            <v>มือจับล็อค รุ่นใหญ่ สีอบขาว TOP (s)</v>
          </cell>
          <cell r="C227">
            <v>1134</v>
          </cell>
        </row>
        <row r="228">
          <cell r="A228" t="str">
            <v>E002040204D2200400</v>
          </cell>
          <cell r="B228" t="str">
            <v>มือจับล็อคกุญแจ A4 สีอบขาว TOP (s)</v>
          </cell>
          <cell r="C228">
            <v>876</v>
          </cell>
        </row>
        <row r="229">
          <cell r="A229" t="str">
            <v>E002040204D2209800</v>
          </cell>
          <cell r="B229" t="str">
            <v>มือจับล็อคกุญแจ รุ่นใหญ่ สีอบขาว TOP (s)</v>
          </cell>
          <cell r="C229">
            <v>491</v>
          </cell>
        </row>
        <row r="230">
          <cell r="A230" t="str">
            <v>E002040204D2301000</v>
          </cell>
          <cell r="B230" t="str">
            <v>มือจับเรียบมีรู A10 สีอบขาว TOP (s)</v>
          </cell>
          <cell r="C230">
            <v>429</v>
          </cell>
        </row>
        <row r="231">
          <cell r="A231" t="str">
            <v>E002040204D2309800</v>
          </cell>
          <cell r="B231" t="str">
            <v>มือจับเรียบมีรู รุ่นใหญ่ สีอบขาว TOP (s)</v>
          </cell>
          <cell r="C231">
            <v>766</v>
          </cell>
        </row>
        <row r="232">
          <cell r="A232" t="str">
            <v>E002040204D2401100</v>
          </cell>
          <cell r="B232" t="str">
            <v>มือจับเรียบไม่มีรู A11 สีอบขาว TOP (s)</v>
          </cell>
          <cell r="C232">
            <v>1084</v>
          </cell>
        </row>
        <row r="233">
          <cell r="A233" t="str">
            <v>E002040204D2409800</v>
          </cell>
          <cell r="B233" t="str">
            <v>มือจับเรียบไม่มีรู รุ่นใหญ่ สีอบขาว TOP (s)</v>
          </cell>
          <cell r="C233">
            <v>622</v>
          </cell>
        </row>
        <row r="234">
          <cell r="A234" t="str">
            <v>E002040204Z0000020</v>
          </cell>
          <cell r="B234" t="str">
            <v>มือจับดับเบิ้ลล็อค สีอบขาว TOP</v>
          </cell>
          <cell r="C234">
            <v>360</v>
          </cell>
        </row>
        <row r="235">
          <cell r="A235" t="str">
            <v>E002040204Z2209800</v>
          </cell>
          <cell r="B235" t="str">
            <v>มือจับล็อคกุญแจ รุ่นใหญ่ สีอบขาว TOP</v>
          </cell>
          <cell r="C235">
            <v>0</v>
          </cell>
        </row>
        <row r="236">
          <cell r="A236" t="str">
            <v>E002040204Z2301000</v>
          </cell>
          <cell r="B236" t="str">
            <v>มือจับเรียบมีรู A10 สีอบขาว TOP</v>
          </cell>
          <cell r="C236">
            <v>39</v>
          </cell>
        </row>
        <row r="237">
          <cell r="A237" t="str">
            <v>E002040204Z2309800</v>
          </cell>
          <cell r="B237" t="str">
            <v>มือจับเรียบมีรู รุ่นใหญ่ สีอบขาว TOP</v>
          </cell>
          <cell r="C237">
            <v>201</v>
          </cell>
        </row>
        <row r="238">
          <cell r="A238" t="str">
            <v>E002040204Z2409800</v>
          </cell>
          <cell r="B238" t="str">
            <v>มือจับเรียบไม่มีรู รุ่นใหญ่ สีอบขาว TOP</v>
          </cell>
          <cell r="C238">
            <v>113</v>
          </cell>
        </row>
        <row r="239">
          <cell r="A239" t="str">
            <v>E002040204Z2600000</v>
          </cell>
          <cell r="B239" t="str">
            <v>มือจับบานเลื่อนออโตล็อคแบบเรียบ สีอบขาว TOP</v>
          </cell>
          <cell r="C239">
            <v>0</v>
          </cell>
        </row>
        <row r="240">
          <cell r="A240" t="str">
            <v>E002040314D3010100</v>
          </cell>
          <cell r="B240" t="str">
            <v>มือจับสแตนเลส TOP รุ่น 101 PS ขนาด 305x25x75</v>
          </cell>
          <cell r="C240">
            <v>0</v>
          </cell>
        </row>
        <row r="241">
          <cell r="A241" t="str">
            <v>E002040314D3011700</v>
          </cell>
          <cell r="B241" t="str">
            <v>มือจับสแตนเลส TOP รุ่น 117 PS ขนาด 305x25x75</v>
          </cell>
          <cell r="C241">
            <v>5185</v>
          </cell>
        </row>
        <row r="242">
          <cell r="A242" t="str">
            <v>E002040314E1011000</v>
          </cell>
          <cell r="B242" t="str">
            <v>มือจับสแตนเลส HD-110 #2011 ขนาด 25x305x450 ผิวเงา</v>
          </cell>
          <cell r="C242">
            <v>12</v>
          </cell>
        </row>
        <row r="243">
          <cell r="A243" t="str">
            <v>E002050201E0100000</v>
          </cell>
          <cell r="B243" t="str">
            <v>กุญแจเกี่ยวลูกบิด สีขาวอลู TOP</v>
          </cell>
          <cell r="C243">
            <v>25</v>
          </cell>
        </row>
        <row r="244">
          <cell r="A244" t="str">
            <v>E002050202E0100000</v>
          </cell>
          <cell r="B244" t="str">
            <v>กุญแจเกี่ยวลูกบิด สีชา TOP</v>
          </cell>
          <cell r="C244">
            <v>15</v>
          </cell>
        </row>
        <row r="245">
          <cell r="A245" t="str">
            <v>E002050202Z0000000</v>
          </cell>
          <cell r="B245" t="str">
            <v>กุญแจเกี่ยวสองหน้า สีชา TOP</v>
          </cell>
          <cell r="C245">
            <v>3</v>
          </cell>
        </row>
        <row r="246">
          <cell r="A246" t="str">
            <v>E002050203E0100000</v>
          </cell>
          <cell r="B246" t="str">
            <v>กุญแจเกี่ยวลูกบิด สีดำ TOP</v>
          </cell>
          <cell r="C246">
            <v>28</v>
          </cell>
        </row>
        <row r="247">
          <cell r="A247" t="str">
            <v>E002050204E0100000</v>
          </cell>
          <cell r="B247" t="str">
            <v>กุญแจเกี่ยวลูกบิด สีอบขาว TOP</v>
          </cell>
          <cell r="C247">
            <v>29</v>
          </cell>
        </row>
        <row r="248">
          <cell r="A248" t="str">
            <v>E002050206E0100000</v>
          </cell>
          <cell r="B248" t="str">
            <v>กุญแจเกี่ยวลูกบิด สีเทาซาฮาร่า TOP</v>
          </cell>
          <cell r="C248">
            <v>2</v>
          </cell>
        </row>
        <row r="249">
          <cell r="A249" t="str">
            <v>E002050301E0000100</v>
          </cell>
          <cell r="B249" t="str">
            <v>กลอนประตูสวิง สีขาวอลู TOP</v>
          </cell>
          <cell r="C249">
            <v>243</v>
          </cell>
        </row>
        <row r="250">
          <cell r="A250" t="str">
            <v>E002050301E0200000</v>
          </cell>
          <cell r="B250" t="str">
            <v>กุญแจสวิงลูกบิด สีขาวอลู TOP</v>
          </cell>
          <cell r="C250">
            <v>28</v>
          </cell>
        </row>
        <row r="251">
          <cell r="A251" t="str">
            <v>E002050302E0000100</v>
          </cell>
          <cell r="B251" t="str">
            <v>กลอนประตูสวิง สีชา TOP</v>
          </cell>
          <cell r="C251">
            <v>478</v>
          </cell>
        </row>
        <row r="252">
          <cell r="A252" t="str">
            <v>E002050302E0200000</v>
          </cell>
          <cell r="B252" t="str">
            <v>กุญแจสวิงลูกบิด สีชา TOP</v>
          </cell>
          <cell r="C252">
            <v>56</v>
          </cell>
        </row>
        <row r="253">
          <cell r="A253" t="str">
            <v>E002050303E0000100</v>
          </cell>
          <cell r="B253" t="str">
            <v>กลอนประตูสวิง สีดำ TOP</v>
          </cell>
          <cell r="C253">
            <v>685</v>
          </cell>
        </row>
        <row r="254">
          <cell r="A254" t="str">
            <v>E002050303E0200000</v>
          </cell>
          <cell r="B254" t="str">
            <v>กุญแจสวิงลูกบิด สีดำ TOP</v>
          </cell>
          <cell r="C254">
            <v>26</v>
          </cell>
        </row>
        <row r="255">
          <cell r="A255" t="str">
            <v>E002050304E0000100</v>
          </cell>
          <cell r="B255" t="str">
            <v>กลอนประตูสวิง สีอบขาว TOP</v>
          </cell>
          <cell r="C255">
            <v>528</v>
          </cell>
        </row>
        <row r="256">
          <cell r="A256" t="str">
            <v>E002050304E0200000</v>
          </cell>
          <cell r="B256" t="str">
            <v>กุญแจสวิงลูกบิด สีอบขาว TOP</v>
          </cell>
          <cell r="C256">
            <v>12</v>
          </cell>
        </row>
        <row r="257">
          <cell r="A257" t="str">
            <v>E002050306E0200000</v>
          </cell>
          <cell r="B257" t="str">
            <v>กุญแจสวิงลูกบิด สีเทาซาฮาร่า TOP</v>
          </cell>
          <cell r="C257">
            <v>4</v>
          </cell>
        </row>
        <row r="258">
          <cell r="A258" t="str">
            <v>E002090900I9000000</v>
          </cell>
          <cell r="B258" t="str">
            <v>ฉากข้อต่อมุ้ง TOP</v>
          </cell>
          <cell r="C258">
            <v>21046</v>
          </cell>
        </row>
        <row r="259">
          <cell r="A259" t="str">
            <v>E00213000000000000</v>
          </cell>
          <cell r="B259" t="str">
            <v>อุปกรณ์กระจกยี่ห้อ TOP (กลุ่ม)</v>
          </cell>
          <cell r="C259">
            <v>0</v>
          </cell>
        </row>
        <row r="260">
          <cell r="A260" t="str">
            <v>E002131100M0000100</v>
          </cell>
          <cell r="B260" t="str">
            <v>ฉากกั้นกระจกเทมเปอร์ TOP Shield แบบไม่มีช่อง รุ่น TS01 STD.</v>
          </cell>
          <cell r="C260">
            <v>11</v>
          </cell>
        </row>
        <row r="261">
          <cell r="A261" t="str">
            <v>E002131100M0000101</v>
          </cell>
          <cell r="B261" t="str">
            <v>ฉากกั้นกระจกเทมเปอร์ TOP Shield แบบไม่มีช่อง รุ่น TS01</v>
          </cell>
          <cell r="C261">
            <v>0</v>
          </cell>
        </row>
        <row r="262">
          <cell r="A262" t="str">
            <v>E002131100M0000200</v>
          </cell>
          <cell r="B262" t="str">
            <v>ฉากกั้นกระจกเทมเปอร์ TOP Shield แบบมีช่อง รุ่น TS02 STD.</v>
          </cell>
          <cell r="C262">
            <v>18</v>
          </cell>
        </row>
        <row r="263">
          <cell r="A263" t="str">
            <v>E002131100M0000201</v>
          </cell>
          <cell r="B263" t="str">
            <v>ฉากกั้นกระจกเทมเปอร์ TOP Shield แบบมีช่อง รุ่น TS02</v>
          </cell>
          <cell r="C263">
            <v>1</v>
          </cell>
        </row>
        <row r="264">
          <cell r="A264" t="str">
            <v>E002131114M0050600</v>
          </cell>
          <cell r="B264" t="str">
            <v>ตัวหนีบกระจกห้องน้ำรุ่นเล็ก TOP #GC-506 PS (ไม่เจาะ)</v>
          </cell>
          <cell r="C264">
            <v>46</v>
          </cell>
        </row>
        <row r="265">
          <cell r="A265" t="str">
            <v>E002131114M0050700</v>
          </cell>
          <cell r="B265" t="str">
            <v>ตัวหนีบกระจกห้องน้ำรุ่นเล็ก TOP #GC-507 PS (ไม่เจาะ)</v>
          </cell>
          <cell r="C265">
            <v>59</v>
          </cell>
        </row>
        <row r="266">
          <cell r="A266" t="str">
            <v>E003040201D2109800</v>
          </cell>
          <cell r="B266" t="str">
            <v>มือจับล็อค รุ่นใหญ่ สีขาวอลู TOP X TRA</v>
          </cell>
          <cell r="C266">
            <v>72</v>
          </cell>
        </row>
        <row r="267">
          <cell r="A267" t="str">
            <v>E003040201D2209800</v>
          </cell>
          <cell r="B267" t="str">
            <v>มือจับล็อคกุญแจ รุ่นใหญ่ สีขาวอลู TOP X TRA</v>
          </cell>
          <cell r="C267">
            <v>485</v>
          </cell>
        </row>
        <row r="268">
          <cell r="A268" t="str">
            <v>E003040201D2309800</v>
          </cell>
          <cell r="B268" t="str">
            <v>มือจับเรียบมีรู รุ่นใหญ่ สีขาวอลู TOP X TRA</v>
          </cell>
          <cell r="C268">
            <v>96</v>
          </cell>
        </row>
        <row r="269">
          <cell r="A269" t="str">
            <v>E003040201D2409800</v>
          </cell>
          <cell r="B269" t="str">
            <v>มือจับเรียบไม่มีรู รุ่นใหญ่ สีขาวอลู TOP X TRA</v>
          </cell>
          <cell r="C269">
            <v>777</v>
          </cell>
        </row>
        <row r="270">
          <cell r="A270" t="str">
            <v>E003040202D2109800</v>
          </cell>
          <cell r="B270" t="str">
            <v>มือจับล็อค รุ่นใหญ่ สีชา TOP X TRA</v>
          </cell>
          <cell r="C270">
            <v>255</v>
          </cell>
        </row>
        <row r="271">
          <cell r="A271" t="str">
            <v>E003040202D2209800</v>
          </cell>
          <cell r="B271" t="str">
            <v>มือจับล็อคกุญแจ รุ่นใหญ่ สีชา TOP X TRA</v>
          </cell>
          <cell r="C271">
            <v>137</v>
          </cell>
        </row>
        <row r="272">
          <cell r="A272" t="str">
            <v>E003040202D2309800</v>
          </cell>
          <cell r="B272" t="str">
            <v>มือจับเรียบมีรู รุ่นใหญ่ สีชา TOP X TRA</v>
          </cell>
          <cell r="C272">
            <v>276</v>
          </cell>
        </row>
        <row r="273">
          <cell r="A273" t="str">
            <v>E003040202D2409800</v>
          </cell>
          <cell r="B273" t="str">
            <v>มือจับเรียบไม่มีรู รุ่นใหญ่ สีชา TOP X TRA</v>
          </cell>
          <cell r="C273">
            <v>465</v>
          </cell>
        </row>
        <row r="274">
          <cell r="A274" t="str">
            <v>E003040202Z0020100</v>
          </cell>
          <cell r="B274" t="str">
            <v>มือจับล็อค รุ่นเล็ก สีชา TOP X TRA</v>
          </cell>
          <cell r="C274">
            <v>0</v>
          </cell>
        </row>
        <row r="275">
          <cell r="A275" t="str">
            <v>E003040203D2109800</v>
          </cell>
          <cell r="B275" t="str">
            <v>มือจับล็อค รุ่นใหญ่ สีดำ TOP X TRA</v>
          </cell>
          <cell r="C275">
            <v>610</v>
          </cell>
        </row>
        <row r="276">
          <cell r="A276" t="str">
            <v>E003040203D2209800</v>
          </cell>
          <cell r="B276" t="str">
            <v>มือจับล็อคกุญแจ รุ่นใหญ่ สีดำ TOP X TRA</v>
          </cell>
          <cell r="C276">
            <v>228</v>
          </cell>
        </row>
        <row r="277">
          <cell r="A277" t="str">
            <v>E003040203D2309800</v>
          </cell>
          <cell r="B277" t="str">
            <v>มือจับเรียบมีรู รุ่นใหญ่ สีดำ TOP X TRA</v>
          </cell>
          <cell r="C277">
            <v>348</v>
          </cell>
        </row>
        <row r="278">
          <cell r="A278" t="str">
            <v>E003040203D2409800</v>
          </cell>
          <cell r="B278" t="str">
            <v>มือจับเรียบไม่มีรู รุ่นใหญ่ สีดำ TOP X TRA</v>
          </cell>
          <cell r="C278">
            <v>155</v>
          </cell>
        </row>
        <row r="279">
          <cell r="A279" t="str">
            <v>E003040204D2109800</v>
          </cell>
          <cell r="B279" t="str">
            <v>มือจับล็อค รุ่นใหญ่ สีอบขาว TOP X TRA</v>
          </cell>
          <cell r="C279">
            <v>146</v>
          </cell>
        </row>
        <row r="280">
          <cell r="A280" t="str">
            <v>E003040204D2209800</v>
          </cell>
          <cell r="B280" t="str">
            <v>มือจับล็อคกุญแจ รุ่นใหญ่ สีอบขาว TOP X TRA</v>
          </cell>
          <cell r="C280">
            <v>137</v>
          </cell>
        </row>
        <row r="281">
          <cell r="A281" t="str">
            <v>E003040204D2309800</v>
          </cell>
          <cell r="B281" t="str">
            <v>มือจับเรียบมีรู รุ่นใหญ่ สีอบขาว TOP X TRA</v>
          </cell>
          <cell r="C281">
            <v>211</v>
          </cell>
        </row>
        <row r="282">
          <cell r="A282" t="str">
            <v>E003040204D2409800</v>
          </cell>
          <cell r="B282" t="str">
            <v>มือจับเรียบไม่มีรู รุ่นใหญ่ สีอบขาว TOP X TRA</v>
          </cell>
          <cell r="C282">
            <v>331</v>
          </cell>
        </row>
        <row r="283">
          <cell r="A283" t="str">
            <v>E004020100B0800100</v>
          </cell>
          <cell r="B283" t="str">
            <v>โช้คอัพบานสวิง 1V No.800 HYDA (Model.85)</v>
          </cell>
          <cell r="C283">
            <v>0</v>
          </cell>
        </row>
        <row r="284">
          <cell r="A284" t="str">
            <v>E004020100B1000100</v>
          </cell>
          <cell r="B284" t="str">
            <v>โช้คอัพบานสวิง 1V No.1000 HYDA (Model.85)</v>
          </cell>
          <cell r="C284">
            <v>0</v>
          </cell>
        </row>
        <row r="285">
          <cell r="A285" t="str">
            <v>E004020300B1000200</v>
          </cell>
          <cell r="B285" t="str">
            <v>โช้คอัพบานสวิง 2V No.1000 HYDA (Model.85)</v>
          </cell>
          <cell r="C285">
            <v>73</v>
          </cell>
        </row>
        <row r="286">
          <cell r="A286" t="str">
            <v>E00403000000000000</v>
          </cell>
          <cell r="B286" t="str">
            <v>ลูกล้อ ยี่ห้อ HYDA (กลุ่ม)</v>
          </cell>
          <cell r="C286">
            <v>0</v>
          </cell>
        </row>
        <row r="287">
          <cell r="A287" t="str">
            <v>E004030200C0090400</v>
          </cell>
          <cell r="B287" t="str">
            <v>ลูกล้อบานเลื่อนคู่ HYDA #HD-904 (รับนน. 50 kg)</v>
          </cell>
          <cell r="C287">
            <v>0</v>
          </cell>
        </row>
        <row r="288">
          <cell r="A288" t="str">
            <v>E004030200C0923100</v>
          </cell>
          <cell r="B288" t="str">
            <v>ล้อตลับบานเลื่อนเดี่ยว HD-923-1 (รับนน. 50 kg)</v>
          </cell>
          <cell r="C288">
            <v>0</v>
          </cell>
        </row>
        <row r="289">
          <cell r="A289" t="str">
            <v>E004030200C0923200</v>
          </cell>
          <cell r="B289" t="str">
            <v>ล้อตลับบานเลื่อนคู่ HD-923-2 (รับนน. 100 kg)</v>
          </cell>
          <cell r="C289">
            <v>0</v>
          </cell>
        </row>
        <row r="290">
          <cell r="A290" t="str">
            <v>E004030200C0924100</v>
          </cell>
          <cell r="B290" t="str">
            <v>ล้อตลับบานเลื่อนเดี่ยว HD-924-1 (รับนน. 50 kg)</v>
          </cell>
          <cell r="C290">
            <v>427</v>
          </cell>
        </row>
        <row r="291">
          <cell r="A291" t="str">
            <v>E004030200C0924200</v>
          </cell>
          <cell r="B291" t="str">
            <v>ล้อตลับบานเลื่อนคู่ HD-924-2 (รับนน. 100 kg)</v>
          </cell>
          <cell r="C291">
            <v>318</v>
          </cell>
        </row>
        <row r="292">
          <cell r="A292" t="str">
            <v>E004030200C0924400</v>
          </cell>
          <cell r="B292" t="str">
            <v>ล้อตลับบานเลื่อน 4 ล้อ HD-924-4 (รับนน. 200 kg)</v>
          </cell>
          <cell r="C292">
            <v>0</v>
          </cell>
        </row>
        <row r="293">
          <cell r="A293" t="str">
            <v>E004030210C0090000</v>
          </cell>
          <cell r="B293" t="str">
            <v>ลูกล้อบานเลื่อนเดี่ยว (เขียว) HYDA #HD-900 (รับนน. 15 kg)</v>
          </cell>
          <cell r="C293">
            <v>0</v>
          </cell>
        </row>
        <row r="294">
          <cell r="A294" t="str">
            <v>E004030800C0091200</v>
          </cell>
          <cell r="B294" t="str">
            <v>ล้อรางแขวนใหญ่ 4 ล้อ HD-912 (รับนน. 120 kg)</v>
          </cell>
          <cell r="C294">
            <v>180</v>
          </cell>
        </row>
        <row r="295">
          <cell r="A295" t="str">
            <v>E00404000000000000</v>
          </cell>
          <cell r="B295" t="str">
            <v>มือจับ ยี่ห้อ HYDA (กลุ่ม)</v>
          </cell>
          <cell r="C295">
            <v>0</v>
          </cell>
        </row>
        <row r="296">
          <cell r="A296" t="str">
            <v>E004040101D0045100</v>
          </cell>
          <cell r="B296" t="str">
            <v>EURO มือจับบานเปิดมัลติล็อค สีขาวอลู HD-451A</v>
          </cell>
          <cell r="C296">
            <v>0</v>
          </cell>
        </row>
        <row r="297">
          <cell r="A297" t="str">
            <v>E004040103D0045000</v>
          </cell>
          <cell r="B297" t="str">
            <v>EURO มือจับหลบมุ้ง HD-450A สีดำ (แกนฟ็อก)</v>
          </cell>
          <cell r="C297">
            <v>7</v>
          </cell>
        </row>
        <row r="298">
          <cell r="A298" t="str">
            <v>E004040103D0048100</v>
          </cell>
          <cell r="B298" t="str">
            <v>BI-FOLD มือจับก้านโยกกุญแจ สีดำ HD-481A (MZS11)</v>
          </cell>
          <cell r="C298">
            <v>1</v>
          </cell>
        </row>
        <row r="299">
          <cell r="A299" t="str">
            <v>E004040103D0054100</v>
          </cell>
          <cell r="B299" t="str">
            <v>EURO มือจับบานเปิดมัลติล็อค สีดำ HD-451A</v>
          </cell>
          <cell r="C299">
            <v>0</v>
          </cell>
        </row>
        <row r="300">
          <cell r="A300" t="str">
            <v>E004040104D0045000</v>
          </cell>
          <cell r="B300" t="str">
            <v>EURO มือจับหลบมุ้ง HD-450A สีอบขาว (แกนฟ็อก)</v>
          </cell>
          <cell r="C300">
            <v>0</v>
          </cell>
        </row>
        <row r="301">
          <cell r="A301" t="str">
            <v>E004040104D0048100</v>
          </cell>
          <cell r="B301" t="str">
            <v>BI-FOLD มือจับก้านโยกกุญแจ สีอบขาว HD-481A (MZS11)</v>
          </cell>
          <cell r="C301">
            <v>0</v>
          </cell>
        </row>
        <row r="302">
          <cell r="A302" t="str">
            <v>E004040104D0054100</v>
          </cell>
          <cell r="B302" t="str">
            <v>EURO มือจับบานเปิดมัลติล็อค สีอบขาว HD-451A</v>
          </cell>
          <cell r="C302">
            <v>0</v>
          </cell>
        </row>
        <row r="303">
          <cell r="A303" t="str">
            <v>E004040203D7640713</v>
          </cell>
          <cell r="B303" t="str">
            <v>EURO มือจับบานเลื่อนมัลติล็อคหัวตัด (ดัมมี่+ดัมมี่) สีดำ HD-407A</v>
          </cell>
          <cell r="C303">
            <v>0</v>
          </cell>
        </row>
        <row r="304">
          <cell r="A304" t="str">
            <v>E004040203D7640723</v>
          </cell>
          <cell r="B304" t="str">
            <v>EURO มือจับบานเลื่อนมัลติล็อคหัวตัด (ดัมมี่+ล็อค) สีดำ  HD-407B</v>
          </cell>
          <cell r="C304">
            <v>0</v>
          </cell>
        </row>
        <row r="305">
          <cell r="A305" t="str">
            <v>E004040203D7640733</v>
          </cell>
          <cell r="B305" t="str">
            <v>EURO มือจับบานเลื่อนมัลติล็อคหัวตัด (ล็อค+กุญแจ) สีดำ HD-407C</v>
          </cell>
          <cell r="C305">
            <v>0</v>
          </cell>
        </row>
        <row r="306">
          <cell r="A306" t="str">
            <v>E004040204D7640713</v>
          </cell>
          <cell r="B306" t="str">
            <v>EURO มือจับบานเลื่อนมัลติล็อคหัวตัด (ดัมมี่+ดัมมี่) สีอบขาว HD-407A</v>
          </cell>
          <cell r="C306">
            <v>0</v>
          </cell>
        </row>
        <row r="307">
          <cell r="A307" t="str">
            <v>E004040204D7640723</v>
          </cell>
          <cell r="B307" t="str">
            <v>EURO มือจับบานเลื่อนมัลติล็อคหัวตัด (ดัมมี่+ล็อค) สีอบขาว HD-407B</v>
          </cell>
          <cell r="C307">
            <v>0</v>
          </cell>
        </row>
        <row r="308">
          <cell r="A308" t="str">
            <v>E004040204D7640733</v>
          </cell>
          <cell r="B308" t="str">
            <v>EURO มือจับบานเลื่อนมัลติล็อคหัวตัด (ล็อค+กุญแจ) สีอบขาว  HD-407C</v>
          </cell>
          <cell r="C308">
            <v>0</v>
          </cell>
        </row>
        <row r="309">
          <cell r="A309" t="str">
            <v>E004040404D0047400</v>
          </cell>
          <cell r="B309" t="str">
            <v>BI-FOLD มือจับ Multi Lock สีอบขาว HD-474 (T28A)</v>
          </cell>
          <cell r="C309">
            <v>9</v>
          </cell>
        </row>
        <row r="310">
          <cell r="A310" t="str">
            <v>E004040603D0047401</v>
          </cell>
          <cell r="B310" t="str">
            <v>BI-FOLD มือจับ Multi Lock HD-474 สีดำ (T28A)</v>
          </cell>
          <cell r="C310">
            <v>0</v>
          </cell>
        </row>
        <row r="311">
          <cell r="A311" t="str">
            <v>E004040803D8000000</v>
          </cell>
          <cell r="B311" t="str">
            <v>มือจับรางแขวน สีดำ (คู่) HYDA</v>
          </cell>
          <cell r="C311">
            <v>190</v>
          </cell>
        </row>
        <row r="312">
          <cell r="A312" t="str">
            <v>E004040804D8000000</v>
          </cell>
          <cell r="B312" t="str">
            <v>มือจับรางแขวน สีอบขาว (คู่) HYDA</v>
          </cell>
          <cell r="C312">
            <v>179</v>
          </cell>
        </row>
        <row r="313">
          <cell r="A313" t="str">
            <v>E00405000000000000</v>
          </cell>
          <cell r="B313" t="str">
            <v>กุญแจ-กลอน ยี่ห้อ HYDA (กลุ่ม)</v>
          </cell>
          <cell r="C313">
            <v>2</v>
          </cell>
        </row>
        <row r="314">
          <cell r="A314" t="str">
            <v>E004050100E0085000</v>
          </cell>
          <cell r="B314" t="str">
            <v>EURO เสื้อกุญแจบานเปิด Single lock HD-850/L35</v>
          </cell>
          <cell r="C314">
            <v>0</v>
          </cell>
        </row>
        <row r="315">
          <cell r="A315" t="str">
            <v>E004050100E0085100</v>
          </cell>
          <cell r="B315" t="str">
            <v>EURO เสื้อกุญแจบานเปิด Mulitilock HD-851/L35</v>
          </cell>
          <cell r="C315">
            <v>0</v>
          </cell>
        </row>
        <row r="316">
          <cell r="A316" t="str">
            <v>E004050100E0111500</v>
          </cell>
          <cell r="B316" t="str">
            <v>EURO แป้นรับล็อคบานเปิด HD-1115</v>
          </cell>
          <cell r="C316">
            <v>9</v>
          </cell>
        </row>
        <row r="317">
          <cell r="A317" t="str">
            <v>E004050100E0111600</v>
          </cell>
          <cell r="B317" t="str">
            <v>BI-FOLD ฝารับล็อคกุญแจประตูบานเปิด HD-1116 (DMS20A)</v>
          </cell>
          <cell r="C317">
            <v>0</v>
          </cell>
        </row>
        <row r="318">
          <cell r="A318" t="str">
            <v>E004050203E0031200</v>
          </cell>
          <cell r="B318" t="str">
            <v>กุญแจชินโย ล็อคข้าง 2 หน้า สีดำ #HD-312DSL</v>
          </cell>
          <cell r="C318">
            <v>45</v>
          </cell>
        </row>
        <row r="319">
          <cell r="A319" t="str">
            <v>E004050203E0031300</v>
          </cell>
          <cell r="B319" t="str">
            <v>กุญแจชินโย ล็อคกลาง 2 หน้า สีดำ #HD-313DCL</v>
          </cell>
          <cell r="C319">
            <v>44</v>
          </cell>
        </row>
        <row r="320">
          <cell r="A320" t="str">
            <v>E004050204E0031200</v>
          </cell>
          <cell r="B320" t="str">
            <v>กุญแจชินโย ล็อคข้าง 2 หน้า สีอบขาว #HD-312DSL</v>
          </cell>
          <cell r="C320">
            <v>30</v>
          </cell>
        </row>
        <row r="321">
          <cell r="A321" t="str">
            <v>E004050204E0031300</v>
          </cell>
          <cell r="B321" t="str">
            <v>กุญแจชินโย ล็อคกลาง 2 หน้า สีอบขาว #HD-313DCL</v>
          </cell>
          <cell r="C321">
            <v>28</v>
          </cell>
        </row>
        <row r="322">
          <cell r="A322" t="str">
            <v>E004050600E0030500</v>
          </cell>
          <cell r="B322" t="str">
            <v>BI-FOLD กลอนบานเฟี้ยม สีดำ ยาว 50 ซม. HD-305 (SCX500)</v>
          </cell>
          <cell r="C322">
            <v>2</v>
          </cell>
        </row>
        <row r="323">
          <cell r="A323" t="str">
            <v>E004050600E0031200</v>
          </cell>
          <cell r="B323" t="str">
            <v>BI-FOLD ตลับกลอนก้านโยกมัลติล็อค HD-832 (CDQ20)</v>
          </cell>
          <cell r="C323">
            <v>7</v>
          </cell>
        </row>
        <row r="324">
          <cell r="A324" t="str">
            <v>E004050600E0032000</v>
          </cell>
          <cell r="B324" t="str">
            <v>BI-FOLD ปลายกลอนบานเฟี้ยม HD-320</v>
          </cell>
          <cell r="C324">
            <v>3</v>
          </cell>
        </row>
        <row r="325">
          <cell r="A325" t="str">
            <v>E004050600E0080100</v>
          </cell>
          <cell r="B325" t="str">
            <v>BI-FOLD ไส้กุญแจบานเฟี้ยม HD-801/L75 (KIL3636/T)</v>
          </cell>
          <cell r="C325">
            <v>0</v>
          </cell>
        </row>
        <row r="326">
          <cell r="A326" t="str">
            <v>E004050600E0085000</v>
          </cell>
          <cell r="B326" t="str">
            <v>BI-FOLD เสื้อกุญแจบานเฟี้ยม Single lock HD-850/L30 (MSB28/ll)</v>
          </cell>
          <cell r="C326">
            <v>0</v>
          </cell>
        </row>
        <row r="327">
          <cell r="A327" t="str">
            <v>E004050600E0085100</v>
          </cell>
          <cell r="B327" t="str">
            <v>BI-FOLD เสื้อกุญแจบานเฟี้ยม Multilock HD-851/L30</v>
          </cell>
          <cell r="C327">
            <v>1</v>
          </cell>
        </row>
        <row r="328">
          <cell r="A328" t="str">
            <v>E004050600E0118000</v>
          </cell>
          <cell r="B328" t="str">
            <v>BI-FOLD ก้านกลอน Multi Lock ขนาด 1.5 m HD-1180 (FXZ6)</v>
          </cell>
          <cell r="C328">
            <v>0</v>
          </cell>
        </row>
        <row r="329">
          <cell r="A329" t="str">
            <v>E004050603E0030501</v>
          </cell>
          <cell r="B329" t="str">
            <v>BI-FOLD กลอนบานเฟี้ยม สีดำ ยาว 25 ซม. HD-305 (SCX500)</v>
          </cell>
          <cell r="C329">
            <v>0</v>
          </cell>
        </row>
        <row r="330">
          <cell r="A330" t="str">
            <v>E004050603E0030503</v>
          </cell>
          <cell r="B330" t="str">
            <v>BI-FOLD กลอนบานเฟี้ยม สีดำ ยาว 75 ซม. HD-305 (SCX500)</v>
          </cell>
          <cell r="C330">
            <v>0</v>
          </cell>
        </row>
        <row r="331">
          <cell r="A331" t="str">
            <v>E004050603E0030504</v>
          </cell>
          <cell r="B331" t="str">
            <v>BI-FOLD กลอนบานเฟี้ยม สีดำ ยาว 100 ซม. HD-305 (SCX500)</v>
          </cell>
          <cell r="C331">
            <v>0</v>
          </cell>
        </row>
        <row r="332">
          <cell r="A332" t="str">
            <v>E004050603E0030505</v>
          </cell>
          <cell r="B332" t="str">
            <v>BI-FOLD กลอนบานเฟี้ยม สีดำ ยาว 125 ซม. HD-305 (SCX500)</v>
          </cell>
          <cell r="C332">
            <v>0</v>
          </cell>
        </row>
        <row r="333">
          <cell r="A333" t="str">
            <v>E004050700E0080100</v>
          </cell>
          <cell r="B333" t="str">
            <v>EURO ไส้กุญแจบานเปิด 1 หน้า HD-801/L62</v>
          </cell>
          <cell r="C333">
            <v>0</v>
          </cell>
        </row>
        <row r="334">
          <cell r="A334" t="str">
            <v>E00408000000000000</v>
          </cell>
          <cell r="B334" t="str">
            <v>บานพับ ยี่ห้อ HYDA (กลุ่ม)</v>
          </cell>
          <cell r="C334">
            <v>0</v>
          </cell>
        </row>
        <row r="335">
          <cell r="A335" t="str">
            <v>E004080100H0061000</v>
          </cell>
          <cell r="B335" t="str">
            <v>แขนค้ำบานเปิด ขนาด 8" HD-610A</v>
          </cell>
          <cell r="C335">
            <v>0</v>
          </cell>
        </row>
        <row r="336">
          <cell r="A336" t="str">
            <v>E004080100H0062500</v>
          </cell>
          <cell r="B336" t="str">
            <v>EURO บานพับกระทุ้งยูโร 6นิ้ว HD-625</v>
          </cell>
          <cell r="C336">
            <v>0</v>
          </cell>
        </row>
        <row r="337">
          <cell r="A337" t="str">
            <v>E004080100H1061000</v>
          </cell>
          <cell r="B337" t="str">
            <v>แขนค้ำบานเปิด ขนาด 10" HD-610B</v>
          </cell>
          <cell r="C337">
            <v>0</v>
          </cell>
        </row>
        <row r="338">
          <cell r="A338" t="str">
            <v>E004080100H1261000</v>
          </cell>
          <cell r="B338" t="str">
            <v>แขนค้ำบานเปิด ขนาด 12" HD-610C</v>
          </cell>
          <cell r="C338">
            <v>23</v>
          </cell>
        </row>
        <row r="339">
          <cell r="A339" t="str">
            <v>E004080100H6151000</v>
          </cell>
          <cell r="B339" t="str">
            <v>EURO แขนค้ำบานเปิด ขนาด 10" HD-615</v>
          </cell>
          <cell r="C339">
            <v>0</v>
          </cell>
        </row>
        <row r="340">
          <cell r="A340" t="str">
            <v>E004080100H6151200</v>
          </cell>
          <cell r="B340" t="str">
            <v>EURO แขนค้ำบานเปิด ขนาด 12" HD-615</v>
          </cell>
          <cell r="C340">
            <v>12</v>
          </cell>
        </row>
        <row r="341">
          <cell r="A341" t="str">
            <v>E004080100H6200800</v>
          </cell>
          <cell r="B341" t="str">
            <v>บานพับกระทุ้งสี่แขน 8 นิ้ว HYDA #HD-620</v>
          </cell>
          <cell r="C341">
            <v>563</v>
          </cell>
        </row>
        <row r="342">
          <cell r="A342" t="str">
            <v>E004080100H6201000</v>
          </cell>
          <cell r="B342" t="str">
            <v>บานพับกระทุ้งสี่แขน 10 นิ้ว HYDA #HD-620</v>
          </cell>
          <cell r="C342">
            <v>628</v>
          </cell>
        </row>
        <row r="343">
          <cell r="A343" t="str">
            <v>E004080100H6201200</v>
          </cell>
          <cell r="B343" t="str">
            <v>บานพับกระทุ้งสี่แขน 12 นิ้ว HYDA #HD-620</v>
          </cell>
          <cell r="C343">
            <v>451</v>
          </cell>
        </row>
        <row r="344">
          <cell r="A344" t="str">
            <v>E004080100H6201400</v>
          </cell>
          <cell r="B344" t="str">
            <v>บานพับกระทุ้งสี่แขน 14 นิ้ว HYDA #HD-620</v>
          </cell>
          <cell r="C344">
            <v>335</v>
          </cell>
        </row>
        <row r="345">
          <cell r="A345" t="str">
            <v>E004080100H6201600</v>
          </cell>
          <cell r="B345" t="str">
            <v>บานพับกระทุ้งสี่แขน 16 นิ้ว HYDA #HD-620</v>
          </cell>
          <cell r="C345">
            <v>419</v>
          </cell>
        </row>
        <row r="346">
          <cell r="A346" t="str">
            <v>E004080100H6201800</v>
          </cell>
          <cell r="B346" t="str">
            <v>บานพับกระทุ้งสี่แขน 18 นิ้ว HYDA #HD-620</v>
          </cell>
          <cell r="C346">
            <v>89</v>
          </cell>
        </row>
        <row r="347">
          <cell r="A347" t="str">
            <v>E004080100H6202000</v>
          </cell>
          <cell r="B347" t="str">
            <v>บานพับกระทุ้งสี่แขน 20 นิ้ว HYDA #HD-620</v>
          </cell>
          <cell r="C347">
            <v>0</v>
          </cell>
        </row>
        <row r="348">
          <cell r="A348" t="str">
            <v>E004080100H6202400</v>
          </cell>
          <cell r="B348" t="str">
            <v>บานพับกระทุ้งสี่แขน 24 นิ้ว HYDA #HD-620</v>
          </cell>
          <cell r="C348">
            <v>44</v>
          </cell>
        </row>
        <row r="349">
          <cell r="A349" t="str">
            <v>E004080103H0065500</v>
          </cell>
          <cell r="B349" t="str">
            <v>บานพับบานเปิดยูเรเซีย ORM สีดำ HD-655</v>
          </cell>
          <cell r="C349">
            <v>100</v>
          </cell>
        </row>
        <row r="350">
          <cell r="A350" t="str">
            <v>E004080104H0065500</v>
          </cell>
          <cell r="B350" t="str">
            <v>บานพับบานเปิดยูเรเซีย ORM สีอบขาว HD-655</v>
          </cell>
          <cell r="C350">
            <v>90</v>
          </cell>
        </row>
        <row r="351">
          <cell r="A351" t="str">
            <v>E004080400H6261400</v>
          </cell>
          <cell r="B351" t="str">
            <v>EURO บานพับ 4 บาร์ 14 นิ้ว HD-626</v>
          </cell>
          <cell r="C351">
            <v>9</v>
          </cell>
        </row>
        <row r="352">
          <cell r="A352" t="str">
            <v>E004080400H6261600</v>
          </cell>
          <cell r="B352" t="str">
            <v>EURO บานพับ 4 บาร์ 16 นิ้ว HD-626</v>
          </cell>
          <cell r="C352">
            <v>0</v>
          </cell>
        </row>
        <row r="353">
          <cell r="A353" t="str">
            <v>E004080603H0064001</v>
          </cell>
          <cell r="B353" t="str">
            <v>BI-FOLD บานพับล้อบนบานเฟี้ยม สีดำ HD-640B (FXZ1B)</v>
          </cell>
          <cell r="C353">
            <v>9</v>
          </cell>
        </row>
        <row r="354">
          <cell r="A354" t="str">
            <v>E004080603H0064101</v>
          </cell>
          <cell r="B354" t="str">
            <v>BI-FOLD บานพับบานเฟี้ยม สีดำ HD-641 (FXZ11)</v>
          </cell>
          <cell r="C354">
            <v>69</v>
          </cell>
        </row>
        <row r="355">
          <cell r="A355" t="str">
            <v>E004080603H0064201</v>
          </cell>
          <cell r="B355" t="str">
            <v>BI-FOLD บานพับมือจับบานเฟี้ยม สีดำ HD-642 (FXZ12)</v>
          </cell>
          <cell r="C355">
            <v>10</v>
          </cell>
        </row>
        <row r="356">
          <cell r="A356" t="str">
            <v>E004080603H0064301</v>
          </cell>
          <cell r="B356" t="str">
            <v>BI-FOLD บานพับไกด์ล่างบานเฟี้ยม สีดำ HD-643B (FXZ5B)</v>
          </cell>
          <cell r="C356">
            <v>9</v>
          </cell>
        </row>
        <row r="357">
          <cell r="A357" t="str">
            <v>E004080604H0064001</v>
          </cell>
          <cell r="B357" t="str">
            <v>BI-FOLD บานพับล้อบนบานเฟี้ยม สีอบขาว HD-640B (FXZ1B)</v>
          </cell>
          <cell r="C357">
            <v>0</v>
          </cell>
        </row>
        <row r="358">
          <cell r="A358" t="str">
            <v>E004080604H0064102</v>
          </cell>
          <cell r="B358" t="str">
            <v>BI-FOLD บานพับบานเฟี้ยม สีอบขาว HD-641 (FXZ11)</v>
          </cell>
          <cell r="C358">
            <v>4</v>
          </cell>
        </row>
        <row r="359">
          <cell r="A359" t="str">
            <v>E004080604H0064202</v>
          </cell>
          <cell r="B359" t="str">
            <v>BI-FOLD บานพับมือจับบานเฟี้ยม สีอบขาว HD-642 (FXZ12)</v>
          </cell>
          <cell r="C359">
            <v>0</v>
          </cell>
        </row>
        <row r="360">
          <cell r="A360" t="str">
            <v>E004080604H0064302</v>
          </cell>
          <cell r="B360" t="str">
            <v>BI-FOLD บานพับไกด์ล่างบานเฟี้ยม สีอบขาว HD-643B (FXZ5B)</v>
          </cell>
          <cell r="C360">
            <v>0</v>
          </cell>
        </row>
        <row r="361">
          <cell r="A361" t="str">
            <v>E004090900I9000000</v>
          </cell>
          <cell r="B361" t="str">
            <v>ฉากข้อต่อมุ้ง #HD-231</v>
          </cell>
          <cell r="C361">
            <v>0</v>
          </cell>
        </row>
        <row r="362">
          <cell r="A362" t="str">
            <v>E004090902I3023200</v>
          </cell>
          <cell r="B362" t="str">
            <v>มุมมุ้งบานเลื่อน สีชา #HD-232P</v>
          </cell>
          <cell r="C362">
            <v>172</v>
          </cell>
        </row>
        <row r="363">
          <cell r="A363" t="str">
            <v>E004090903I3023200</v>
          </cell>
          <cell r="B363" t="str">
            <v>มุมมุ้งบานเลื่อน สีดำ #HD-232P</v>
          </cell>
          <cell r="C363">
            <v>68</v>
          </cell>
        </row>
        <row r="364">
          <cell r="A364" t="str">
            <v>E004090904I3023200</v>
          </cell>
          <cell r="B364" t="str">
            <v>มุมมุ้งบานเลื่อน สีอบขาว #HD-232P</v>
          </cell>
          <cell r="C364">
            <v>50</v>
          </cell>
        </row>
        <row r="365">
          <cell r="A365" t="str">
            <v>E00412000000000000</v>
          </cell>
          <cell r="B365" t="str">
            <v>ACC ALU ยี่ห้อ HYDA (กลุ่ม)</v>
          </cell>
          <cell r="C365">
            <v>0</v>
          </cell>
        </row>
        <row r="366">
          <cell r="A366" t="str">
            <v>E004120100L3221000</v>
          </cell>
          <cell r="B366" t="str">
            <v>มุมบานกระทุ้ง #32 HD-210</v>
          </cell>
          <cell r="C366">
            <v>1821</v>
          </cell>
        </row>
        <row r="367">
          <cell r="A367" t="str">
            <v>E004120200L0112000</v>
          </cell>
          <cell r="B367" t="str">
            <v>EURO แป้นรับล็อคบานเลื่อน HD-1120</v>
          </cell>
          <cell r="C367">
            <v>0</v>
          </cell>
        </row>
        <row r="368">
          <cell r="A368" t="str">
            <v>E004120200L2421300</v>
          </cell>
          <cell r="B368" t="str">
            <v>EURO ฉากเข้ามุมปรับได้ #24 HD-213</v>
          </cell>
          <cell r="C368">
            <v>58</v>
          </cell>
        </row>
        <row r="369">
          <cell r="A369" t="str">
            <v>E004120200L2421400</v>
          </cell>
          <cell r="B369" t="str">
            <v>EURO ฉากเข้ามุมปรับได้ #24 HD-214</v>
          </cell>
          <cell r="C369">
            <v>346</v>
          </cell>
        </row>
        <row r="370">
          <cell r="A370" t="str">
            <v>E004120200L4121400</v>
          </cell>
          <cell r="B370" t="str">
            <v>EURO ฉากเข้ามุมปรับได้ #41 HD-214</v>
          </cell>
          <cell r="C370">
            <v>134</v>
          </cell>
        </row>
        <row r="371">
          <cell r="A371" t="str">
            <v>E004120203L0101400</v>
          </cell>
          <cell r="B371" t="str">
            <v>EURO ยางกันชนคอม้า HD-1016</v>
          </cell>
          <cell r="C371">
            <v>0</v>
          </cell>
        </row>
        <row r="372">
          <cell r="A372" t="str">
            <v>E004120203L0102100</v>
          </cell>
          <cell r="B372" t="str">
            <v>EURO ฝาปิดรูระบายน้ำออก ทรงรีกลม #HD-1021</v>
          </cell>
          <cell r="C372">
            <v>2290</v>
          </cell>
        </row>
        <row r="373">
          <cell r="A373" t="str">
            <v>E004120203L0102500</v>
          </cell>
          <cell r="B373" t="str">
            <v>EURO ฝาปิดรูระบายน้ำเข้า ทรงสี่เหลี่ยม #HD-1025A</v>
          </cell>
          <cell r="C373">
            <v>2094</v>
          </cell>
        </row>
        <row r="374">
          <cell r="A374" t="str">
            <v>E004120203L0103000</v>
          </cell>
          <cell r="B374" t="str">
            <v>EURO ฝาปิดเสาบานเลื่อน HD-1030</v>
          </cell>
          <cell r="C374">
            <v>276</v>
          </cell>
        </row>
        <row r="375">
          <cell r="A375" t="str">
            <v>E004120203L0103100</v>
          </cell>
          <cell r="B375" t="str">
            <v>EURO ฝาปิดเสาบานเลื่อน HD-1031</v>
          </cell>
          <cell r="C375">
            <v>237</v>
          </cell>
        </row>
        <row r="376">
          <cell r="A376" t="str">
            <v>E004120203L0106500</v>
          </cell>
          <cell r="B376" t="str">
            <v>ลิ่มหนุนเฟรม สีดำ #HD-1065</v>
          </cell>
          <cell r="C376">
            <v>9</v>
          </cell>
        </row>
        <row r="377">
          <cell r="A377" t="str">
            <v>E004120204L0106500</v>
          </cell>
          <cell r="B377" t="str">
            <v>ลิ่มหนุนเฟรม สีอบขาว #HD-1065</v>
          </cell>
          <cell r="C377">
            <v>200</v>
          </cell>
        </row>
        <row r="378">
          <cell r="A378" t="str">
            <v>E004120300L0020000</v>
          </cell>
          <cell r="B378" t="str">
            <v>ฉากประคอง HYDA #HD-200</v>
          </cell>
          <cell r="C378">
            <v>8965</v>
          </cell>
        </row>
        <row r="379">
          <cell r="A379" t="str">
            <v>E004120300L0020500</v>
          </cell>
          <cell r="B379" t="str">
            <v>มุมข้อต่อสวิง HD-205</v>
          </cell>
          <cell r="C379">
            <v>902</v>
          </cell>
        </row>
        <row r="380">
          <cell r="A380" t="str">
            <v>E004120600L0022602</v>
          </cell>
          <cell r="B380" t="str">
            <v>BI-FOLD มุมบานเฟี้ยมยูโร(กัดร่อง) 46.5มม. #HD-226B</v>
          </cell>
          <cell r="C380">
            <v>8</v>
          </cell>
        </row>
        <row r="381">
          <cell r="A381" t="str">
            <v>E004120700L0054100</v>
          </cell>
          <cell r="B381" t="str">
            <v>EURO ตะขอมัลติพอยท์ล็อค HD-1110</v>
          </cell>
          <cell r="C381">
            <v>0</v>
          </cell>
        </row>
        <row r="382">
          <cell r="A382" t="str">
            <v>E004120700L0105000</v>
          </cell>
          <cell r="B382" t="str">
            <v>EURO เต้ากันตก HD-1050</v>
          </cell>
          <cell r="C382">
            <v>0</v>
          </cell>
        </row>
        <row r="383">
          <cell r="A383" t="str">
            <v>E004120700L0106100</v>
          </cell>
          <cell r="B383" t="str">
            <v>EURO เต้ารับล็อค HD-1061</v>
          </cell>
          <cell r="C383">
            <v>0</v>
          </cell>
        </row>
        <row r="384">
          <cell r="A384" t="str">
            <v>E004120700L0110100</v>
          </cell>
          <cell r="B384" t="str">
            <v>EURO จุดรับล็อครุ่นสกรู HD-1101</v>
          </cell>
          <cell r="C384">
            <v>0</v>
          </cell>
        </row>
        <row r="385">
          <cell r="A385" t="str">
            <v>E004120700L0110200</v>
          </cell>
          <cell r="B385" t="str">
            <v>EURO หมุดล็อค HD-1102</v>
          </cell>
          <cell r="C385">
            <v>11</v>
          </cell>
        </row>
        <row r="386">
          <cell r="A386" t="str">
            <v>E004120700L0110300</v>
          </cell>
          <cell r="B386" t="str">
            <v>EURO ตัวที HD-1103</v>
          </cell>
          <cell r="C386">
            <v>7</v>
          </cell>
        </row>
        <row r="387">
          <cell r="A387" t="str">
            <v>E004120700L0112400</v>
          </cell>
          <cell r="B387" t="str">
            <v>EURO แป้นยูรับล็อคบานเลื่อน HD-1124</v>
          </cell>
          <cell r="C387">
            <v>55</v>
          </cell>
        </row>
        <row r="388">
          <cell r="A388" t="str">
            <v>E004120700L0112500</v>
          </cell>
          <cell r="B388" t="str">
            <v>EURO แป้นยูรับล็อค HD-1125</v>
          </cell>
          <cell r="C388">
            <v>411</v>
          </cell>
        </row>
        <row r="389">
          <cell r="A389" t="str">
            <v>E004120700L0117500</v>
          </cell>
          <cell r="B389" t="str">
            <v>EURO ก้าน PVC สไลด์ 19.5 mm  HD-1175</v>
          </cell>
          <cell r="C389">
            <v>462</v>
          </cell>
        </row>
        <row r="390">
          <cell r="A390" t="str">
            <v>E004120703L0101400</v>
          </cell>
          <cell r="B390" t="str">
            <v>EURO ยางกันชนเหลี่ยมยูโร สีดำ HD-1014</v>
          </cell>
          <cell r="C390">
            <v>206</v>
          </cell>
        </row>
        <row r="391">
          <cell r="A391" t="str">
            <v>E004120703L0101500</v>
          </cell>
          <cell r="B391" t="str">
            <v>EURO ยางกันชนเม้าส์ สีดำ HD-1015</v>
          </cell>
          <cell r="C391">
            <v>215</v>
          </cell>
        </row>
        <row r="392">
          <cell r="A392" t="str">
            <v>E004120803L0107100</v>
          </cell>
          <cell r="B392" t="str">
            <v>สต็อปเปอร์รางแขวนใหญ่ 2in1 HD-1071P</v>
          </cell>
          <cell r="C392">
            <v>64</v>
          </cell>
        </row>
        <row r="393">
          <cell r="A393" t="str">
            <v>E004131100M0061201</v>
          </cell>
          <cell r="B393" t="str">
            <v>มีดตัดกระจก 6-12 มม. #HD-8211 (ธรรมดา)</v>
          </cell>
          <cell r="C393">
            <v>107</v>
          </cell>
        </row>
        <row r="394">
          <cell r="A394" t="str">
            <v>E004131100M0061202</v>
          </cell>
          <cell r="B394" t="str">
            <v>มีดตัดกระจก 6-12 มม. #HD-8213 (ใช้น้ำมัน)</v>
          </cell>
          <cell r="C394">
            <v>222</v>
          </cell>
        </row>
        <row r="395">
          <cell r="A395" t="str">
            <v>E004141300N0000100</v>
          </cell>
          <cell r="B395" t="str">
            <v>คีมย้ำรีเวท Hyda Reveter #HW-002</v>
          </cell>
          <cell r="C395">
            <v>54</v>
          </cell>
        </row>
        <row r="396">
          <cell r="A396" t="str">
            <v>E00502000000000000</v>
          </cell>
          <cell r="B396" t="str">
            <v>โช้ค ยี่ห้อVVP (กลุ่ม)</v>
          </cell>
          <cell r="C396">
            <v>0</v>
          </cell>
        </row>
        <row r="397">
          <cell r="A397" t="str">
            <v>E005020300B0800200</v>
          </cell>
          <cell r="B397" t="str">
            <v>โช้คอัพบานสวิง 2V OC-35 15NM VVP</v>
          </cell>
          <cell r="C397">
            <v>32</v>
          </cell>
        </row>
        <row r="398">
          <cell r="A398" t="str">
            <v>E005020300B1500200</v>
          </cell>
          <cell r="B398" t="str">
            <v>โช้คอัพบานสวิง 2V OC-35 25NM VVP</v>
          </cell>
          <cell r="C398">
            <v>0</v>
          </cell>
        </row>
        <row r="399">
          <cell r="A399" t="str">
            <v>E005020314B1000200</v>
          </cell>
          <cell r="B399" t="str">
            <v>โช้คอัพบานสวิง 2V OC-35 20NM VVP</v>
          </cell>
          <cell r="C399">
            <v>21</v>
          </cell>
        </row>
        <row r="400">
          <cell r="A400" t="str">
            <v>E005020414B1000200</v>
          </cell>
          <cell r="B400" t="str">
            <v>โช้คอัพฝังพื้นไม่มีอุปกรณ์ 2V FC-34 20 NM  VVP</v>
          </cell>
          <cell r="C400">
            <v>56</v>
          </cell>
        </row>
        <row r="401">
          <cell r="A401" t="str">
            <v>E005020414B1000201</v>
          </cell>
          <cell r="B401" t="str">
            <v>โช้คอัพฝังพื้นพร้อมอุปกรณ์ 2V FC-34 20 NM  VVP</v>
          </cell>
          <cell r="C401">
            <v>48</v>
          </cell>
        </row>
        <row r="402">
          <cell r="A402" t="str">
            <v>E005020414B1200200</v>
          </cell>
          <cell r="B402" t="str">
            <v>โช้คอัพฝังพื้นไม่มีอุปกรณ์ 2V FC-34 25 NM  VVP</v>
          </cell>
          <cell r="C402">
            <v>25</v>
          </cell>
        </row>
        <row r="403">
          <cell r="A403" t="str">
            <v>E005020414B1200201</v>
          </cell>
          <cell r="B403" t="str">
            <v>โช้คอัพฝังพื้นพร้อมอุปกรณ์ 2V FC-34 25 NM  VVP</v>
          </cell>
          <cell r="C403">
            <v>22</v>
          </cell>
        </row>
        <row r="404">
          <cell r="A404" t="str">
            <v>E005030210C0040500</v>
          </cell>
          <cell r="B404" t="str">
            <v>ลูกล้อบานเลื่อนเดี่ยว (เขียว) VVP #RL-405 (รับนน. 20Kg.)</v>
          </cell>
          <cell r="C404">
            <v>0</v>
          </cell>
        </row>
        <row r="405">
          <cell r="A405" t="str">
            <v>E005030211C0040200</v>
          </cell>
          <cell r="B405" t="str">
            <v>ลูกล้อบานเลื่อนเดี่ยว (แดง) VVP #RL-402 (รับนน. 25Kg.)</v>
          </cell>
          <cell r="C405">
            <v>0</v>
          </cell>
        </row>
        <row r="406">
          <cell r="A406" t="str">
            <v>E005030211C0040300</v>
          </cell>
          <cell r="B406" t="str">
            <v>ลูกล้อบานเลื่อนคู่ VVP #RL-403 (รับนน. 35Kg.)</v>
          </cell>
          <cell r="C406">
            <v>0</v>
          </cell>
        </row>
        <row r="407">
          <cell r="A407" t="str">
            <v>E005030800C0010400</v>
          </cell>
          <cell r="B407" t="str">
            <v>ลูกล้อรางแขวน 4 ล้อ (เดี่ยว) VVP #RL-401 (รับนน. 35Kg.)</v>
          </cell>
          <cell r="C407">
            <v>0</v>
          </cell>
        </row>
        <row r="408">
          <cell r="A408" t="str">
            <v>E00504000000000000</v>
          </cell>
          <cell r="B408" t="str">
            <v>มือจับ ยี่ห้อ VVP (กลุ่ม)</v>
          </cell>
          <cell r="C408">
            <v>4</v>
          </cell>
        </row>
        <row r="409">
          <cell r="A409" t="str">
            <v>E005040102D1450320</v>
          </cell>
          <cell r="B409" t="str">
            <v>มือจับกระทุ้งขวาฐานสูง (แปะ) สีชา VVP #LW-45 03</v>
          </cell>
          <cell r="C409">
            <v>52</v>
          </cell>
        </row>
        <row r="410">
          <cell r="A410" t="str">
            <v>E005040103D1450300</v>
          </cell>
          <cell r="B410" t="str">
            <v xml:space="preserve">มือจับกระทุ้งซ้ายฐานสูง (แปะ) สีดำ VVP #LW-45 03 </v>
          </cell>
          <cell r="C410">
            <v>0</v>
          </cell>
        </row>
        <row r="411">
          <cell r="A411" t="str">
            <v>E005040103D1450320</v>
          </cell>
          <cell r="B411" t="str">
            <v>มือจับกระทุ้งขวาฐานสูง (แปะ) สีดำ VVP #LW-45 03</v>
          </cell>
          <cell r="C411">
            <v>0</v>
          </cell>
        </row>
        <row r="412">
          <cell r="A412" t="str">
            <v>E005040104D1450200</v>
          </cell>
          <cell r="B412" t="str">
            <v>มือจับกระทุ้งขวาฐานเตี้ย (แปะ) สีอบขาว VVP #LW-45 02</v>
          </cell>
          <cell r="C412">
            <v>0</v>
          </cell>
        </row>
        <row r="413">
          <cell r="A413" t="str">
            <v>E005040314E1011000</v>
          </cell>
          <cell r="B413" t="str">
            <v>มือจับสแตนเลส VVP รุ่น HD-110 #2012 ขนาด 32x305x450 ผิวเงา</v>
          </cell>
          <cell r="C413">
            <v>0</v>
          </cell>
        </row>
        <row r="414">
          <cell r="A414" t="str">
            <v>E005040314Z1010102</v>
          </cell>
          <cell r="B414" t="str">
            <v>มือจับสแตนเลส VVP รุ่น HD-101 #2104 ขนาด 32x350 ผิวเงา</v>
          </cell>
          <cell r="C414">
            <v>1</v>
          </cell>
        </row>
        <row r="415">
          <cell r="A415" t="str">
            <v>E005040314Z1010301</v>
          </cell>
          <cell r="B415" t="str">
            <v>มือจับสแตนเลส VVP 103 PS ขนาด 25x305</v>
          </cell>
          <cell r="C415">
            <v>2</v>
          </cell>
        </row>
        <row r="416">
          <cell r="A416" t="str">
            <v>E005040314Z1010302</v>
          </cell>
          <cell r="B416" t="str">
            <v>มือจับสแตนเลส VVP 103 PS ขนาด 32x305</v>
          </cell>
          <cell r="C416">
            <v>1</v>
          </cell>
        </row>
        <row r="417">
          <cell r="A417" t="str">
            <v>E005040314Z1010303</v>
          </cell>
          <cell r="B417" t="str">
            <v>มือจับสแตนเลส VVP 103 PS ขนาด 25*350</v>
          </cell>
          <cell r="C417">
            <v>0</v>
          </cell>
        </row>
        <row r="418">
          <cell r="A418" t="str">
            <v>E005040314Z1011001</v>
          </cell>
          <cell r="B418" t="str">
            <v>มือจับสแตนเลส VVP 110 PS ขนาด 25x305x600</v>
          </cell>
          <cell r="C418">
            <v>0</v>
          </cell>
        </row>
        <row r="419">
          <cell r="A419" t="str">
            <v>E005040314Z1011700</v>
          </cell>
          <cell r="B419" t="str">
            <v>มือจับสแตนเลส VVP HD-117 #2711 ขนาด 25x305 ผิวเงา</v>
          </cell>
          <cell r="C419">
            <v>11</v>
          </cell>
        </row>
        <row r="420">
          <cell r="A420" t="str">
            <v>E005040314Z1015200</v>
          </cell>
          <cell r="B420" t="str">
            <v>มือจับสแตนเลส VVP 152 PS ขนาด 25x450 ผิวเงา</v>
          </cell>
          <cell r="C420">
            <v>0</v>
          </cell>
        </row>
        <row r="421">
          <cell r="A421" t="str">
            <v>E005040314Z1018800</v>
          </cell>
          <cell r="B421" t="str">
            <v>มือจับสแตนเลส VVP HD-188 #2884 ขนาด 32x800x1000 ผิวเงา</v>
          </cell>
          <cell r="C421">
            <v>0</v>
          </cell>
        </row>
        <row r="422">
          <cell r="A422" t="str">
            <v>E00505000000000000</v>
          </cell>
          <cell r="B422" t="str">
            <v>กุญแจ-กลอน ยี่ห้อ VVP (กลุ่ม)</v>
          </cell>
          <cell r="C422">
            <v>20</v>
          </cell>
        </row>
        <row r="423">
          <cell r="A423" t="str">
            <v>E005050201E0039100</v>
          </cell>
          <cell r="B423" t="str">
            <v>กุญแจบานเลื่อนไขทางเดียว สีขาวอลู VVP  #V39 SL-1</v>
          </cell>
          <cell r="C423">
            <v>2</v>
          </cell>
        </row>
        <row r="424">
          <cell r="A424" t="str">
            <v>E005050201E0043100</v>
          </cell>
          <cell r="B424" t="str">
            <v>กุญแจบานเลื่อนไขทางเดียว สีขาวอลู VVP #VL43 HL-1</v>
          </cell>
          <cell r="C424">
            <v>6</v>
          </cell>
        </row>
        <row r="425">
          <cell r="A425" t="str">
            <v>E005050202E0043100</v>
          </cell>
          <cell r="B425" t="str">
            <v>กุญแจบานเลื่อนไขทางเดียว สีชา VVP #VL43 HL-1</v>
          </cell>
          <cell r="C425">
            <v>10</v>
          </cell>
        </row>
        <row r="426">
          <cell r="A426" t="str">
            <v>E005050203E0039100</v>
          </cell>
          <cell r="B426" t="str">
            <v>กุญแจบานเลื่อนไขทางเดียว สีดำ VVP  #V39 SL-1</v>
          </cell>
          <cell r="C426">
            <v>1</v>
          </cell>
        </row>
        <row r="427">
          <cell r="A427" t="str">
            <v>E005050203E0043100</v>
          </cell>
          <cell r="B427" t="str">
            <v>กุญแจบานเลื่อนไขทางเดียว สีดำ VVP #VL43 HL-1</v>
          </cell>
          <cell r="C427">
            <v>7</v>
          </cell>
        </row>
        <row r="428">
          <cell r="A428" t="str">
            <v>E005050204E0039100</v>
          </cell>
          <cell r="B428" t="str">
            <v>กุญแจบานเลื่อนไขทางเดียว สีอบขาว VVP  #V39 SL-1</v>
          </cell>
          <cell r="C428">
            <v>8</v>
          </cell>
        </row>
        <row r="429">
          <cell r="A429" t="str">
            <v>E005050204E0043100</v>
          </cell>
          <cell r="B429" t="str">
            <v>กุญแจบานเลื่อนไขทางเดียว สีอบขาว VVP #VL43 HL-1</v>
          </cell>
          <cell r="C429">
            <v>11</v>
          </cell>
        </row>
        <row r="430">
          <cell r="A430" t="str">
            <v>E005050301E0039100</v>
          </cell>
          <cell r="B430" t="str">
            <v>กุญแจบานสวิงไขทางเดียว สีขาวอลู VVP  #V39 SW-1</v>
          </cell>
          <cell r="C430">
            <v>4</v>
          </cell>
        </row>
        <row r="431">
          <cell r="A431" t="str">
            <v>E005050303E0001000</v>
          </cell>
          <cell r="B431" t="str">
            <v>กลอนประตูสวิง VVP  #BS-10 สีดำ</v>
          </cell>
          <cell r="C431">
            <v>10</v>
          </cell>
        </row>
        <row r="432">
          <cell r="A432" t="str">
            <v>E005050303E0039100</v>
          </cell>
          <cell r="B432" t="str">
            <v>กุญแจบานสวิงไขทางเดียว สีดำ VVP  #V39 SW-1</v>
          </cell>
          <cell r="C432">
            <v>1</v>
          </cell>
        </row>
        <row r="433">
          <cell r="A433" t="str">
            <v>E005050304E0039100</v>
          </cell>
          <cell r="B433" t="str">
            <v>กุญแจบานสวิงไขทางเดียว สีอบขาว VVP #V39 SW-1</v>
          </cell>
          <cell r="C433">
            <v>2</v>
          </cell>
        </row>
        <row r="434">
          <cell r="A434" t="str">
            <v>E005080114H0001000</v>
          </cell>
          <cell r="B434" t="str">
            <v>แขนค้ำบานกระทุ้ง VVP  #SA-10</v>
          </cell>
          <cell r="C434">
            <v>0</v>
          </cell>
        </row>
        <row r="435">
          <cell r="A435" t="str">
            <v>E005080114H0001400</v>
          </cell>
          <cell r="B435" t="str">
            <v>แขนค้ำบานกระทุ้ง VVP  #SA-14</v>
          </cell>
          <cell r="C435">
            <v>0</v>
          </cell>
        </row>
        <row r="436">
          <cell r="A436" t="str">
            <v>E005080115H0000801</v>
          </cell>
          <cell r="B436" t="str">
            <v>บานพับกระทุ้งสี่แขน 8 นิ้ว VVP #FH-8 SS (ชุด)</v>
          </cell>
          <cell r="C436">
            <v>53</v>
          </cell>
        </row>
        <row r="437">
          <cell r="A437" t="str">
            <v>E005080115H0001002</v>
          </cell>
          <cell r="B437" t="str">
            <v>บานพับกระทุ้งสี่แขน 10 นิ้ว VVP #FH-10 SS (ชุด)</v>
          </cell>
          <cell r="C437">
            <v>12</v>
          </cell>
        </row>
        <row r="438">
          <cell r="A438" t="str">
            <v>E005080115H0001203</v>
          </cell>
          <cell r="B438" t="str">
            <v>บานพับกระทุ้งสี่แขน 12 นิ้ว VVP #FH-12 SS (ชุด)</v>
          </cell>
          <cell r="C438">
            <v>90</v>
          </cell>
        </row>
        <row r="439">
          <cell r="A439" t="str">
            <v>E005080115H0001404</v>
          </cell>
          <cell r="B439" t="str">
            <v>บานพับกระทุ้งสี่แขน 14 นิ้ว VVP #FH-14 SS (ชุด)</v>
          </cell>
          <cell r="C439">
            <v>36</v>
          </cell>
        </row>
        <row r="440">
          <cell r="A440" t="str">
            <v>E005080115H0001605</v>
          </cell>
          <cell r="B440" t="str">
            <v>บานพับกระทุ้งสี่แขน 16 นิ้ว VVP #FH-16 SS (ชุด)</v>
          </cell>
          <cell r="C440">
            <v>10</v>
          </cell>
        </row>
        <row r="441">
          <cell r="A441" t="str">
            <v>E005080115H0001806</v>
          </cell>
          <cell r="B441" t="str">
            <v>บานพับกระทุ้งสี่แขน 18 นิ้ว VVP #FH-18 SS (ชุด)</v>
          </cell>
          <cell r="C441">
            <v>18</v>
          </cell>
        </row>
        <row r="442">
          <cell r="A442" t="str">
            <v>E005080115H0002007</v>
          </cell>
          <cell r="B442" t="str">
            <v>บานพับกระทุ้งสี่แขน 20นิ้ว VVP #FH-20 SS (ชุด)</v>
          </cell>
          <cell r="C442">
            <v>70</v>
          </cell>
        </row>
        <row r="443">
          <cell r="A443" t="str">
            <v>E005080115H0002408</v>
          </cell>
          <cell r="B443" t="str">
            <v>บานพับกระทุ้งสี่แขน 24นิ้ว VVP #FH-24 SS (ชุด)</v>
          </cell>
          <cell r="C443">
            <v>0</v>
          </cell>
        </row>
        <row r="444">
          <cell r="A444" t="str">
            <v>E00512000000000000</v>
          </cell>
          <cell r="B444" t="str">
            <v>ACC ALU ยี่ห้อ VVP (กลุ่ม)</v>
          </cell>
          <cell r="C444">
            <v>0</v>
          </cell>
        </row>
        <row r="445">
          <cell r="A445" t="str">
            <v>E00513000000000000</v>
          </cell>
          <cell r="B445" t="str">
            <v>อุปกรณ์กระจก ยี่ห้อ VVP (กลุ่ม)</v>
          </cell>
          <cell r="C445">
            <v>30</v>
          </cell>
        </row>
        <row r="446">
          <cell r="A446" t="str">
            <v>E005131100M0060900</v>
          </cell>
          <cell r="B446" t="str">
            <v>ตัวยึดกระจกห้องน้ำกันแกว่ง VVP #SBF-906</v>
          </cell>
          <cell r="C446">
            <v>0</v>
          </cell>
        </row>
        <row r="447">
          <cell r="A447" t="str">
            <v>E005131100M0090000</v>
          </cell>
          <cell r="B447" t="str">
            <v>ตัวยึดกระจกห้องน้ำกันแกว่ง VVP #SB-900</v>
          </cell>
          <cell r="C447">
            <v>0</v>
          </cell>
        </row>
        <row r="448">
          <cell r="A448" t="str">
            <v>E005131100M0090100</v>
          </cell>
          <cell r="B448" t="str">
            <v>ตัวยึดกระจกห้องน้ำกันแกว่ง VVP #SB-901</v>
          </cell>
          <cell r="C448">
            <v>0</v>
          </cell>
        </row>
        <row r="449">
          <cell r="A449" t="str">
            <v>E005131100M0090200</v>
          </cell>
          <cell r="B449" t="str">
            <v>ตัวยึดกระจกห้องน้ำกันแกว่ง VVP #SB-902</v>
          </cell>
          <cell r="C449">
            <v>2</v>
          </cell>
        </row>
        <row r="450">
          <cell r="A450" t="str">
            <v>E005131100M0090300</v>
          </cell>
          <cell r="B450" t="str">
            <v>ตัวยึดกระจกห้องน้ำกันแกว่ง VVP #SBR-903</v>
          </cell>
          <cell r="C450">
            <v>0</v>
          </cell>
        </row>
        <row r="451">
          <cell r="A451" t="str">
            <v>E005131100M0090400</v>
          </cell>
          <cell r="B451" t="str">
            <v>ตัวยึดกระจกห้องน้ำกันแกว่ง VVP #SB-904</v>
          </cell>
          <cell r="C451">
            <v>0</v>
          </cell>
        </row>
        <row r="452">
          <cell r="A452" t="str">
            <v>E005131100M0090500</v>
          </cell>
          <cell r="B452" t="str">
            <v>ตัวยึดกระจกห้องน้ำกันแกว่ง VVP #SER-905</v>
          </cell>
          <cell r="C452">
            <v>0</v>
          </cell>
        </row>
        <row r="453">
          <cell r="A453" t="str">
            <v>E005131100M0090700</v>
          </cell>
          <cell r="B453" t="str">
            <v>ตัวยึดกระจกห้องน้ำกันแกว่ง VVP #SB-907</v>
          </cell>
          <cell r="C453">
            <v>0</v>
          </cell>
        </row>
        <row r="454">
          <cell r="A454" t="str">
            <v>E005131114M0000100</v>
          </cell>
          <cell r="B454" t="str">
            <v>ราวสแตนเลสแบบกลม 6 หุน (19 มม.) VVP</v>
          </cell>
          <cell r="C454">
            <v>0</v>
          </cell>
        </row>
        <row r="455">
          <cell r="A455" t="str">
            <v>E005131114M0011000</v>
          </cell>
          <cell r="B455" t="str">
            <v>เดือยจุดหมุนบนชนิดปรับได้ VVP #AT-110</v>
          </cell>
          <cell r="C455">
            <v>7</v>
          </cell>
        </row>
        <row r="456">
          <cell r="A456" t="str">
            <v>E005131114M0014000</v>
          </cell>
          <cell r="B456" t="str">
            <v>เดือยบนปรับไม่ได้ VVP #AT-140</v>
          </cell>
          <cell r="C456">
            <v>26</v>
          </cell>
        </row>
        <row r="457">
          <cell r="A457" t="str">
            <v>E005131114M0014100</v>
          </cell>
          <cell r="B457" t="str">
            <v>เดือยบนปรับไม่ได้ VVP #AT-141</v>
          </cell>
          <cell r="C457">
            <v>33</v>
          </cell>
        </row>
        <row r="458">
          <cell r="A458" t="str">
            <v>E005131114M0030300</v>
          </cell>
          <cell r="B458" t="str">
            <v>บานพับประตูกระจกห้องน้ำ VVP #SW-303 PS</v>
          </cell>
          <cell r="C458">
            <v>38</v>
          </cell>
        </row>
        <row r="459">
          <cell r="A459" t="str">
            <v>E005131114M0030400</v>
          </cell>
          <cell r="B459" t="str">
            <v>บานพับประตูกระจกห้องน้ำ VVP #SW-304 PS</v>
          </cell>
          <cell r="C459">
            <v>19</v>
          </cell>
        </row>
        <row r="460">
          <cell r="A460" t="str">
            <v>E005131114M0043900</v>
          </cell>
          <cell r="B460" t="str">
            <v>ตัวหนีบกระจกห้องน้ำรุ่นใหญ่ VVP #SF-439</v>
          </cell>
          <cell r="C460">
            <v>0</v>
          </cell>
        </row>
        <row r="461">
          <cell r="A461" t="str">
            <v>E005131114M0050100</v>
          </cell>
          <cell r="B461" t="str">
            <v>ตัวหนีบกระจกห้องน้ำรุ่นเล็ก VVP #GC-501 PS (ไม่เจาะ)</v>
          </cell>
          <cell r="C461">
            <v>2</v>
          </cell>
        </row>
        <row r="462">
          <cell r="A462" t="str">
            <v>E005131114M0050200</v>
          </cell>
          <cell r="B462" t="str">
            <v>ตัวหนีบกระจกห้องน้ำรุ่นเล็ก VVP #GC-502 PS (เจาะ)</v>
          </cell>
          <cell r="C462">
            <v>5</v>
          </cell>
        </row>
        <row r="463">
          <cell r="A463" t="str">
            <v>E005131114M0050600</v>
          </cell>
          <cell r="B463" t="str">
            <v>ตัวหนีบกระจกห้องน้ำรุ่นเล็ก VVP #GC-506 PS (ไม่เจาะ)</v>
          </cell>
          <cell r="C463">
            <v>56</v>
          </cell>
        </row>
        <row r="464">
          <cell r="A464" t="str">
            <v>E005131114M1000000</v>
          </cell>
          <cell r="B464" t="str">
            <v>ตัวหนีบล่าง VVP #FT-10 PS</v>
          </cell>
          <cell r="C464">
            <v>101</v>
          </cell>
        </row>
        <row r="465">
          <cell r="A465" t="str">
            <v>E005131114M2000000</v>
          </cell>
          <cell r="B465" t="str">
            <v>ตัวหนีบบน VVP #FT-20 PS</v>
          </cell>
          <cell r="C465">
            <v>88</v>
          </cell>
        </row>
        <row r="466">
          <cell r="A466" t="str">
            <v>E005131114M2200000</v>
          </cell>
          <cell r="B466" t="str">
            <v>ตัวหนีบโช้คบน VVP #FT-22 PS</v>
          </cell>
          <cell r="C466">
            <v>6</v>
          </cell>
        </row>
        <row r="467">
          <cell r="A467" t="str">
            <v>E005131114M3000000</v>
          </cell>
          <cell r="B467" t="str">
            <v>ตัวหนีบช่องแสงบน VVP #FT-30 PS</v>
          </cell>
          <cell r="C467">
            <v>23</v>
          </cell>
        </row>
        <row r="468">
          <cell r="A468" t="str">
            <v>E005131114M4000000</v>
          </cell>
          <cell r="B468" t="str">
            <v>ตัวหนีบช่องแสงบนและข้าง VVP #FT-40 PS</v>
          </cell>
          <cell r="C468">
            <v>26</v>
          </cell>
        </row>
        <row r="469">
          <cell r="A469" t="str">
            <v>E005131114M4200000</v>
          </cell>
          <cell r="B469" t="str">
            <v>ตัวหนีบช่องแสงบนและข้างเล็ก VVP # FT-42 PS</v>
          </cell>
          <cell r="C469">
            <v>10</v>
          </cell>
        </row>
        <row r="470">
          <cell r="A470" t="str">
            <v>E005131114M5000000</v>
          </cell>
          <cell r="B470" t="str">
            <v>กุญแจล็อคประตูกับพื้นสีสแตนเลส VVP #FL-50 PS</v>
          </cell>
          <cell r="C470">
            <v>108</v>
          </cell>
        </row>
        <row r="471">
          <cell r="A471" t="str">
            <v>E005131115M0017000</v>
          </cell>
          <cell r="B471" t="str">
            <v>แขนโช้คฝังพื้น VVP #AT-170</v>
          </cell>
          <cell r="C471">
            <v>0</v>
          </cell>
        </row>
        <row r="472">
          <cell r="A472" t="str">
            <v>E005131200M1000000</v>
          </cell>
          <cell r="B472" t="str">
            <v>ยางกันน้ำ POLYCARBONATE SEAL 10</v>
          </cell>
          <cell r="C472">
            <v>0</v>
          </cell>
        </row>
        <row r="473">
          <cell r="A473" t="str">
            <v>E005131200M1100000</v>
          </cell>
          <cell r="B473" t="str">
            <v>ยางกันน้ำ POLYCARBONATE SEAL 11</v>
          </cell>
          <cell r="C473">
            <v>9</v>
          </cell>
        </row>
        <row r="474">
          <cell r="A474" t="str">
            <v>E005131200M1200001</v>
          </cell>
          <cell r="B474" t="str">
            <v>ยางกันน้ำ POLYCARBONATE SEAL 12A</v>
          </cell>
          <cell r="C474">
            <v>10</v>
          </cell>
        </row>
        <row r="475">
          <cell r="A475" t="str">
            <v>E005131200M1200002</v>
          </cell>
          <cell r="B475" t="str">
            <v>ยางกันน้ำ POLYCARBONATE SEAL 12B</v>
          </cell>
          <cell r="C475">
            <v>0</v>
          </cell>
        </row>
        <row r="476">
          <cell r="A476" t="str">
            <v>E005131200M1400000</v>
          </cell>
          <cell r="B476" t="str">
            <v>ยางกันน้ำ POLYCARBONATE SEAL 14</v>
          </cell>
          <cell r="C476">
            <v>17</v>
          </cell>
        </row>
        <row r="477">
          <cell r="A477" t="str">
            <v>E006020300B0800100</v>
          </cell>
          <cell r="B477" t="str">
            <v>โช๊คอัพบานสวิง 1V No.800  ZEKER ( Z-300 )</v>
          </cell>
          <cell r="C477">
            <v>0</v>
          </cell>
        </row>
        <row r="478">
          <cell r="A478" t="str">
            <v>E006020300B0800200</v>
          </cell>
          <cell r="B478" t="str">
            <v>โช้คอัพบานสวิง 2V No.800  ZEKER ( Z-100 )</v>
          </cell>
          <cell r="C478">
            <v>8</v>
          </cell>
        </row>
        <row r="479">
          <cell r="A479" t="str">
            <v>E006020300B1000100</v>
          </cell>
          <cell r="B479" t="str">
            <v>โช้คอัพบานสวิง 1V No.1000  ZEKER ( Z-300 )</v>
          </cell>
          <cell r="C479">
            <v>401</v>
          </cell>
        </row>
        <row r="480">
          <cell r="A480" t="str">
            <v>E006020300B1000200</v>
          </cell>
          <cell r="B480" t="str">
            <v>โช้คอัพบานสวิง 2V No.1000  ZEKER ( Z-100 )</v>
          </cell>
          <cell r="C480">
            <v>429</v>
          </cell>
        </row>
        <row r="481">
          <cell r="A481" t="str">
            <v>E006020300B1200100</v>
          </cell>
          <cell r="B481" t="str">
            <v>โช้คอัพบานสวิง 1V No.1200  ZEKER ( Z-300 )</v>
          </cell>
          <cell r="C481">
            <v>5</v>
          </cell>
        </row>
        <row r="482">
          <cell r="A482" t="str">
            <v>E006020300B1200200</v>
          </cell>
          <cell r="B482" t="str">
            <v>โช้คอัพบานสวิง 2V No.1200  ZEKER ( Z-100 )</v>
          </cell>
          <cell r="C482">
            <v>0</v>
          </cell>
        </row>
        <row r="483">
          <cell r="A483" t="str">
            <v>E006030800C0010400</v>
          </cell>
          <cell r="B483" t="str">
            <v>ลูกล้อรางแขวน 4 ล้อ ZEKER #RL-401</v>
          </cell>
          <cell r="C483">
            <v>78</v>
          </cell>
        </row>
        <row r="484">
          <cell r="A484" t="str">
            <v>E007020300B1000100</v>
          </cell>
          <cell r="B484" t="str">
            <v>โช้คอัพบานสวิง 1V No.1000  DORMA #RTS65</v>
          </cell>
          <cell r="C484">
            <v>3</v>
          </cell>
        </row>
        <row r="485">
          <cell r="A485" t="str">
            <v>E008010903A2601701</v>
          </cell>
          <cell r="B485" t="str">
            <v>ยางอัดหน้าต่าง สีดำ PS</v>
          </cell>
          <cell r="C485">
            <v>55</v>
          </cell>
        </row>
        <row r="486">
          <cell r="A486" t="str">
            <v>E008060202F1200000</v>
          </cell>
          <cell r="B486" t="str">
            <v>ยางกันชนกลมยาว 2 นิ้ว สีชา</v>
          </cell>
          <cell r="C486">
            <v>30</v>
          </cell>
        </row>
        <row r="487">
          <cell r="A487" t="str">
            <v>E008060202F2150000</v>
          </cell>
          <cell r="B487" t="str">
            <v>ยางกันชนกลมสั้น 1-1/2 นิ้ว สีชา</v>
          </cell>
          <cell r="C487">
            <v>487</v>
          </cell>
        </row>
        <row r="488">
          <cell r="A488" t="str">
            <v>E008060202F3100000</v>
          </cell>
          <cell r="B488" t="str">
            <v>ยางกันชนเหลี่ยม 1 นิ้ว สีชา</v>
          </cell>
          <cell r="C488">
            <v>462</v>
          </cell>
        </row>
        <row r="489">
          <cell r="A489" t="str">
            <v>E008060202F5000000</v>
          </cell>
          <cell r="B489" t="str">
            <v>ยางล็อคเสาเกี่ยว สีชา</v>
          </cell>
          <cell r="C489">
            <v>23</v>
          </cell>
        </row>
        <row r="490">
          <cell r="A490" t="str">
            <v>E008060202F6000000</v>
          </cell>
          <cell r="B490" t="str">
            <v>ยางอุดรูบานเลื่อน สีชา</v>
          </cell>
          <cell r="C490">
            <v>5600</v>
          </cell>
        </row>
        <row r="491">
          <cell r="A491" t="str">
            <v>E008060203F1200000</v>
          </cell>
          <cell r="B491" t="str">
            <v>ยางกันชนกลมยาว 2 นิ้ว สีดำ</v>
          </cell>
          <cell r="C491">
            <v>2474</v>
          </cell>
        </row>
        <row r="492">
          <cell r="A492" t="str">
            <v>E008060203F2150000</v>
          </cell>
          <cell r="B492" t="str">
            <v>ยางกันชนกลมสั้น 1-1/2 นิ้ว สีดำ</v>
          </cell>
          <cell r="C492">
            <v>9220</v>
          </cell>
        </row>
        <row r="493">
          <cell r="A493" t="str">
            <v>E008060203F3100000</v>
          </cell>
          <cell r="B493" t="str">
            <v>ยางกันชนเหลี่ยม 1 นิ้ว สีดำ</v>
          </cell>
          <cell r="C493">
            <v>14971</v>
          </cell>
        </row>
        <row r="494">
          <cell r="A494" t="str">
            <v>E008060203F5000000</v>
          </cell>
          <cell r="B494" t="str">
            <v>ยางล็อคเสาเกี่ยว สีดำ</v>
          </cell>
          <cell r="C494">
            <v>3245</v>
          </cell>
        </row>
        <row r="495">
          <cell r="A495" t="str">
            <v>E008060203F6000000</v>
          </cell>
          <cell r="B495" t="str">
            <v>ยางอุดรูบานเลื่อน สีดำ</v>
          </cell>
          <cell r="C495">
            <v>57320</v>
          </cell>
        </row>
        <row r="496">
          <cell r="A496" t="str">
            <v>E008060204F1200000</v>
          </cell>
          <cell r="B496" t="str">
            <v>ยางกันชนกลมยาว 2 นิ้ว สีอบขาว</v>
          </cell>
          <cell r="C496">
            <v>804</v>
          </cell>
        </row>
        <row r="497">
          <cell r="A497" t="str">
            <v>E008060204F2150000</v>
          </cell>
          <cell r="B497" t="str">
            <v>ยางกันชนกลมสั้น 1-1/2 นิ้ว สีอบขาว</v>
          </cell>
          <cell r="C497">
            <v>4346</v>
          </cell>
        </row>
        <row r="498">
          <cell r="A498" t="str">
            <v>E008060204F3100000</v>
          </cell>
          <cell r="B498" t="str">
            <v>ยางกันชนเหลี่ยม 1 นิ้ว สีอบขาว</v>
          </cell>
          <cell r="C498">
            <v>4424</v>
          </cell>
        </row>
        <row r="499">
          <cell r="A499" t="str">
            <v>E008060204F5000000</v>
          </cell>
          <cell r="B499" t="str">
            <v>ยางล็อคเสาเกี่ยว สีอบขาว</v>
          </cell>
          <cell r="C499">
            <v>1711</v>
          </cell>
        </row>
        <row r="500">
          <cell r="A500" t="str">
            <v>E008060204F6000000</v>
          </cell>
          <cell r="B500" t="str">
            <v>ยางอุดรูบานเลื่อน สีอบขาว</v>
          </cell>
          <cell r="C500">
            <v>53300</v>
          </cell>
        </row>
        <row r="501">
          <cell r="A501" t="str">
            <v>E008060205F1200000</v>
          </cell>
          <cell r="B501" t="str">
            <v>ยางกันชนกลมยาว 2 นิ้ว สีเทา</v>
          </cell>
          <cell r="C501">
            <v>185</v>
          </cell>
        </row>
        <row r="502">
          <cell r="A502" t="str">
            <v>E008060205F2150000</v>
          </cell>
          <cell r="B502" t="str">
            <v>ยางกันชนกลมสั้น 1-1/2 นิ้ว สีเทา</v>
          </cell>
          <cell r="C502">
            <v>549</v>
          </cell>
        </row>
        <row r="503">
          <cell r="A503" t="str">
            <v>E008060205F3100000</v>
          </cell>
          <cell r="B503" t="str">
            <v>ยางกันชนเหลี่ยม 1 นิ้ว สีเทา</v>
          </cell>
          <cell r="C503">
            <v>696</v>
          </cell>
        </row>
        <row r="504">
          <cell r="A504" t="str">
            <v>E008060205F5000000</v>
          </cell>
          <cell r="B504" t="str">
            <v>ยางล็อคเสาเกี่ยว สีเทา</v>
          </cell>
          <cell r="C504">
            <v>90</v>
          </cell>
        </row>
        <row r="505">
          <cell r="A505" t="str">
            <v>E008060205F6000000</v>
          </cell>
          <cell r="B505" t="str">
            <v>ยางอุดรูบานเลื่อน สีเทา</v>
          </cell>
          <cell r="C505">
            <v>5380</v>
          </cell>
        </row>
        <row r="506">
          <cell r="A506" t="str">
            <v>E00901000000000000</v>
          </cell>
          <cell r="B506" t="str">
            <v>ยางยี่ห้อ SMP (กลุ่ม)</v>
          </cell>
          <cell r="C506">
            <v>10</v>
          </cell>
        </row>
        <row r="507">
          <cell r="A507" t="str">
            <v>E009010003A0302201</v>
          </cell>
          <cell r="B507" t="str">
            <v>ยางลูกศรอัดตู้ 03 สีดำ SMP</v>
          </cell>
          <cell r="C507">
            <v>0</v>
          </cell>
        </row>
        <row r="508">
          <cell r="A508" t="str">
            <v>E009010003A0402501</v>
          </cell>
          <cell r="B508" t="str">
            <v>ยางเดิน 04 สีดำ SMP</v>
          </cell>
          <cell r="C508">
            <v>3460</v>
          </cell>
        </row>
        <row r="509">
          <cell r="A509" t="str">
            <v>E009010003A0502501</v>
          </cell>
          <cell r="B509" t="str">
            <v>ยางอัดใหญ่ 05 สีดำ SMP</v>
          </cell>
          <cell r="C509">
            <v>2832</v>
          </cell>
        </row>
        <row r="510">
          <cell r="A510" t="str">
            <v>E009010003A0602501</v>
          </cell>
          <cell r="B510" t="str">
            <v>ยางอัดเล็ก 06 สีดำ SMP</v>
          </cell>
          <cell r="C510">
            <v>2544</v>
          </cell>
        </row>
        <row r="511">
          <cell r="A511" t="str">
            <v>E009010003A1302201</v>
          </cell>
          <cell r="B511" t="str">
            <v>ยางอัดจิ๋ว 13 สีดำ SMP</v>
          </cell>
          <cell r="C511">
            <v>498</v>
          </cell>
        </row>
        <row r="512">
          <cell r="A512" t="str">
            <v>E009010003A1502501</v>
          </cell>
          <cell r="B512" t="str">
            <v>ยางอัดใหญ่ 1.25 หุน สีดำ SMP</v>
          </cell>
          <cell r="C512">
            <v>546</v>
          </cell>
        </row>
        <row r="513">
          <cell r="A513" t="str">
            <v>E009010004A0402501</v>
          </cell>
          <cell r="B513" t="str">
            <v>ยางเดิน 04 สีอบขาว SMP</v>
          </cell>
          <cell r="C513">
            <v>0</v>
          </cell>
        </row>
        <row r="514">
          <cell r="A514" t="str">
            <v>E009010005A0602501</v>
          </cell>
          <cell r="B514" t="str">
            <v>ยางอัดเล็ก 06 สีเทา SMP</v>
          </cell>
          <cell r="C514">
            <v>4</v>
          </cell>
        </row>
        <row r="515">
          <cell r="A515" t="str">
            <v>E009010203A0102501</v>
          </cell>
          <cell r="B515" t="str">
            <v>ยางบานเลื่อน 2 หุน 01 สีดำ SMP</v>
          </cell>
          <cell r="C515">
            <v>2304</v>
          </cell>
        </row>
        <row r="516">
          <cell r="A516" t="str">
            <v>E009010203A0105001</v>
          </cell>
          <cell r="B516" t="str">
            <v>ยางบานเลื่อน 2 หุน 01 สีดำ SMP (50 ม.)</v>
          </cell>
          <cell r="C516">
            <v>0</v>
          </cell>
        </row>
        <row r="517">
          <cell r="A517" t="str">
            <v>E009010203A0202501</v>
          </cell>
          <cell r="B517" t="str">
            <v>ยางบานเลื่อน 1 1/2 หุน 02 สีดำ SMP</v>
          </cell>
          <cell r="C517">
            <v>3071</v>
          </cell>
        </row>
        <row r="518">
          <cell r="A518" t="str">
            <v>E009010203A0205001</v>
          </cell>
          <cell r="B518" t="str">
            <v>ยางบานเลื่อน 1 1/2 หุน 02 สีดำ SMP (50 ม.)</v>
          </cell>
          <cell r="C518">
            <v>0</v>
          </cell>
        </row>
        <row r="519">
          <cell r="A519" t="str">
            <v>E009010203A0210001</v>
          </cell>
          <cell r="B519" t="str">
            <v>ยางบานเลื่อน 1 1/2 หุน 02 สีดำ SMP (100 ม.)</v>
          </cell>
          <cell r="C519">
            <v>0</v>
          </cell>
        </row>
        <row r="520">
          <cell r="A520" t="str">
            <v>E009010204A0102501</v>
          </cell>
          <cell r="B520" t="str">
            <v>ยางบานเลื่อน 2 หุน 01 สีอบขาว SMP</v>
          </cell>
          <cell r="C520">
            <v>0</v>
          </cell>
        </row>
        <row r="521">
          <cell r="A521" t="str">
            <v>E009010205A0205001</v>
          </cell>
          <cell r="B521" t="str">
            <v>ยางบานเลื่อน 1 1/2 หุน 02 สีเทา SMP (50 ม.)</v>
          </cell>
          <cell r="C521">
            <v>0</v>
          </cell>
        </row>
        <row r="522">
          <cell r="A522" t="str">
            <v>E009010603A1202501</v>
          </cell>
          <cell r="B522" t="str">
            <v>ยางอัดลูกโป่ง 12 สีดำ SMP</v>
          </cell>
          <cell r="C522">
            <v>1751</v>
          </cell>
        </row>
        <row r="523">
          <cell r="A523" t="str">
            <v>E009010903A0702501</v>
          </cell>
          <cell r="B523" t="str">
            <v>ยางอัดมุ้งไฟเบอร์ 07 สีดำ SMP</v>
          </cell>
          <cell r="C523">
            <v>940</v>
          </cell>
        </row>
        <row r="524">
          <cell r="A524" t="str">
            <v>E009010903A1001301</v>
          </cell>
          <cell r="B524" t="str">
            <v>ยางกันยุง 10 สีดำ SMP</v>
          </cell>
          <cell r="C524">
            <v>962</v>
          </cell>
        </row>
        <row r="525">
          <cell r="A525" t="str">
            <v>E009010904A0702501</v>
          </cell>
          <cell r="B525" t="str">
            <v>ยางอัดมุ้งไฟเบอร์ 07 สีอบขาว SMP</v>
          </cell>
          <cell r="C525">
            <v>0</v>
          </cell>
        </row>
        <row r="526">
          <cell r="A526" t="str">
            <v>E009010904A1001301</v>
          </cell>
          <cell r="B526" t="str">
            <v>ยางกันยุง 10 สีอบขาว SMP</v>
          </cell>
          <cell r="C526">
            <v>0</v>
          </cell>
        </row>
        <row r="527">
          <cell r="A527" t="str">
            <v>E009010905A0702501</v>
          </cell>
          <cell r="B527" t="str">
            <v>ยางอัดมุ้งไฟเบอร์ 07 สีเทา SMP</v>
          </cell>
          <cell r="C527">
            <v>0</v>
          </cell>
        </row>
        <row r="528">
          <cell r="A528" t="str">
            <v>E009010905A1001301</v>
          </cell>
          <cell r="B528" t="str">
            <v>ยางกันยุง 10 สีเทา SMP</v>
          </cell>
          <cell r="C528">
            <v>0</v>
          </cell>
        </row>
        <row r="529">
          <cell r="A529" t="str">
            <v>E009010907A2601801</v>
          </cell>
          <cell r="B529" t="str">
            <v>ยางอัดหน้าต่าง เทา/ดำ SMP-4026</v>
          </cell>
          <cell r="C529">
            <v>797</v>
          </cell>
        </row>
        <row r="530">
          <cell r="A530" t="str">
            <v>E009010909A2601801</v>
          </cell>
          <cell r="B530" t="str">
            <v>ยางอัดหน้าต่าง ชา/ดำ SMP-4026</v>
          </cell>
          <cell r="C530">
            <v>197</v>
          </cell>
        </row>
        <row r="531">
          <cell r="A531" t="str">
            <v>E010010003A0402501</v>
          </cell>
          <cell r="B531" t="str">
            <v>ยางเดิน 04 สีดำ SPP</v>
          </cell>
          <cell r="C531">
            <v>641</v>
          </cell>
        </row>
        <row r="532">
          <cell r="A532" t="str">
            <v>E010010003A0502501</v>
          </cell>
          <cell r="B532" t="str">
            <v>ยางอัดใหญ่ 05 สีดำ SPP</v>
          </cell>
          <cell r="C532">
            <v>536</v>
          </cell>
        </row>
        <row r="533">
          <cell r="A533" t="str">
            <v>E010010003A0602301</v>
          </cell>
          <cell r="B533" t="str">
            <v>ยางอัดเล็ก 06 สีดำ SPP</v>
          </cell>
          <cell r="C533">
            <v>703</v>
          </cell>
        </row>
        <row r="534">
          <cell r="A534" t="str">
            <v>E010010003A1302101</v>
          </cell>
          <cell r="B534" t="str">
            <v>ยางอัดจิ๋ว 13  สีดำ  SPP</v>
          </cell>
          <cell r="C534">
            <v>80</v>
          </cell>
        </row>
        <row r="535">
          <cell r="A535" t="str">
            <v>E010010003A1502301</v>
          </cell>
          <cell r="B535" t="str">
            <v>ยางอัดยักษ์ 1.25 หุน 15 สีดำ SPP</v>
          </cell>
          <cell r="C535">
            <v>75</v>
          </cell>
        </row>
        <row r="536">
          <cell r="A536" t="str">
            <v>E010010203A0102501</v>
          </cell>
          <cell r="B536" t="str">
            <v>ยางบานเลื่อน 2 หุน 01 สีดำ SPP</v>
          </cell>
          <cell r="C536">
            <v>406</v>
          </cell>
        </row>
        <row r="537">
          <cell r="A537" t="str">
            <v>E010010203A0202501</v>
          </cell>
          <cell r="B537" t="str">
            <v>ยางบานเลื่อน 1 1/2 หุน 02 สีดำ SPP</v>
          </cell>
          <cell r="C537">
            <v>439</v>
          </cell>
        </row>
        <row r="538">
          <cell r="A538" t="str">
            <v>E010010603A1202601</v>
          </cell>
          <cell r="B538" t="str">
            <v>ยางลูกโป่งฐานนิ่ม 12  สีดำ SPP</v>
          </cell>
          <cell r="C538">
            <v>8</v>
          </cell>
        </row>
        <row r="539">
          <cell r="A539" t="str">
            <v>E010010603Z1202501</v>
          </cell>
          <cell r="B539" t="str">
            <v>ยางอัดลูกโป่งฐานแข็ง #12 (ปีกขาว) สีดำ SPP</v>
          </cell>
          <cell r="C539">
            <v>32</v>
          </cell>
        </row>
        <row r="540">
          <cell r="A540" t="str">
            <v>E010010903A0702601</v>
          </cell>
          <cell r="B540" t="str">
            <v>ยางอัดมุ้ง-เล็ก 07 สีดำ SPP</v>
          </cell>
          <cell r="C540">
            <v>130</v>
          </cell>
        </row>
        <row r="541">
          <cell r="A541" t="str">
            <v>E010010903A1001301</v>
          </cell>
          <cell r="B541" t="str">
            <v>ยางกันยุง 10 สีดำ SPP</v>
          </cell>
          <cell r="C541">
            <v>236</v>
          </cell>
        </row>
        <row r="542">
          <cell r="A542" t="str">
            <v>E010010903A2601801</v>
          </cell>
          <cell r="B542" t="str">
            <v>ยางอัดหน้าต่าง เทา/ดำ SPP</v>
          </cell>
          <cell r="C542">
            <v>0</v>
          </cell>
        </row>
        <row r="543">
          <cell r="A543" t="str">
            <v>E010050201E0100000</v>
          </cell>
          <cell r="B543" t="str">
            <v>กุญแจเกี่ยวลูกบิด สีขาวอลู SPP</v>
          </cell>
          <cell r="C543">
            <v>71</v>
          </cell>
        </row>
        <row r="544">
          <cell r="A544" t="str">
            <v>E010050202E0100000</v>
          </cell>
          <cell r="B544" t="str">
            <v>กุญแจเกี่ยวลูกบิด สีชา SPP</v>
          </cell>
          <cell r="C544">
            <v>107</v>
          </cell>
        </row>
        <row r="545">
          <cell r="A545" t="str">
            <v>E010050203E0100000</v>
          </cell>
          <cell r="B545" t="str">
            <v>กุญแจเกี่ยวลูกบิด สีดำ SPP</v>
          </cell>
          <cell r="C545">
            <v>208</v>
          </cell>
        </row>
        <row r="546">
          <cell r="A546" t="str">
            <v>E010050204E0100000</v>
          </cell>
          <cell r="B546" t="str">
            <v>กุญแจเกี่ยวลูกบิด สีอบขาว SPP</v>
          </cell>
          <cell r="C546">
            <v>84</v>
          </cell>
        </row>
        <row r="547">
          <cell r="A547" t="str">
            <v>E010050301E0000200</v>
          </cell>
          <cell r="B547" t="str">
            <v>กลอนประตูสวิง สีขาวอลู SPP</v>
          </cell>
          <cell r="C547">
            <v>254</v>
          </cell>
        </row>
        <row r="548">
          <cell r="A548" t="str">
            <v>E010050301E0200000</v>
          </cell>
          <cell r="B548" t="str">
            <v>กุญแจสวิงลูกบิด สีขาวอลู SPP</v>
          </cell>
          <cell r="C548">
            <v>44</v>
          </cell>
        </row>
        <row r="549">
          <cell r="A549" t="str">
            <v>E010050302E0000200</v>
          </cell>
          <cell r="B549" t="str">
            <v>กลอนประตูสวิง สีชา SPP</v>
          </cell>
          <cell r="C549">
            <v>123</v>
          </cell>
        </row>
        <row r="550">
          <cell r="A550" t="str">
            <v>E010050302E0200000</v>
          </cell>
          <cell r="B550" t="str">
            <v>กุญแจสวิงลูกบิด สีชา SPP</v>
          </cell>
          <cell r="C550">
            <v>66</v>
          </cell>
        </row>
        <row r="551">
          <cell r="A551" t="str">
            <v>E010050303E0000200</v>
          </cell>
          <cell r="B551" t="str">
            <v>กลอนประตูสวิง สีดำ SPP</v>
          </cell>
          <cell r="C551">
            <v>620</v>
          </cell>
        </row>
        <row r="552">
          <cell r="A552" t="str">
            <v>E010050303E0200000</v>
          </cell>
          <cell r="B552" t="str">
            <v>กุญแจสวิงลูกบิด สีดำ SPP</v>
          </cell>
          <cell r="C552">
            <v>300</v>
          </cell>
        </row>
        <row r="553">
          <cell r="A553" t="str">
            <v>E010050304E0000200</v>
          </cell>
          <cell r="B553" t="str">
            <v>กลอนประตูสวิง สีอบขาว SPP</v>
          </cell>
          <cell r="C553">
            <v>231</v>
          </cell>
        </row>
        <row r="554">
          <cell r="A554" t="str">
            <v>E010050304E0200000</v>
          </cell>
          <cell r="B554" t="str">
            <v>กุญแจสวิงลูกบิด สีอบขาว SPP</v>
          </cell>
          <cell r="C554">
            <v>166</v>
          </cell>
        </row>
        <row r="555">
          <cell r="A555" t="str">
            <v>E010090900I9000000</v>
          </cell>
          <cell r="B555" t="str">
            <v>ฉากข้อต่อมุ้ง SPP</v>
          </cell>
          <cell r="C555">
            <v>2190</v>
          </cell>
        </row>
        <row r="556">
          <cell r="A556" t="str">
            <v>E011010907A2601801</v>
          </cell>
          <cell r="B556" t="str">
            <v>ยางอัดหน้าต่าง เทา/ดำ (ตราช้าง)</v>
          </cell>
          <cell r="C556">
            <v>847</v>
          </cell>
        </row>
        <row r="557">
          <cell r="A557" t="str">
            <v>E011010909A2601801</v>
          </cell>
          <cell r="B557" t="str">
            <v>ยางอัดหน้าต่าง ชา/ดำ (ตราช้าง)</v>
          </cell>
          <cell r="C557">
            <v>438</v>
          </cell>
        </row>
        <row r="558">
          <cell r="A558" t="str">
            <v>E012010907A2601801</v>
          </cell>
          <cell r="B558" t="str">
            <v>ยางอัดหน้าต่าง เทา/ดำ (ตราหมี)</v>
          </cell>
          <cell r="C558">
            <v>179</v>
          </cell>
        </row>
        <row r="559">
          <cell r="A559" t="str">
            <v>E012010909A2601801</v>
          </cell>
          <cell r="B559" t="str">
            <v>ยางอัดหน้าต่าง ชา/ดำ (ตราหมี)</v>
          </cell>
          <cell r="C559">
            <v>64</v>
          </cell>
        </row>
        <row r="560">
          <cell r="A560" t="str">
            <v>E01301000000000000</v>
          </cell>
          <cell r="B560" t="str">
            <v>ยางยี่ห้อ SPC (กลุ่ม)</v>
          </cell>
          <cell r="C560">
            <v>0</v>
          </cell>
        </row>
        <row r="561">
          <cell r="A561" t="str">
            <v>E013010103A0005000</v>
          </cell>
          <cell r="B561" t="str">
            <v>ยางปีศาจ สีดำ MWS ยาว 50 เมตร/ม้วน</v>
          </cell>
          <cell r="C561">
            <v>0</v>
          </cell>
        </row>
        <row r="562">
          <cell r="A562" t="str">
            <v>E013010103A1805000</v>
          </cell>
          <cell r="B562" t="str">
            <v>ยางกด 18 อรหันต์ (ยูโร และยูเนี่ยน) สีดำ 50เมตร/ม้วน</v>
          </cell>
          <cell r="C562">
            <v>5</v>
          </cell>
        </row>
        <row r="563">
          <cell r="A563" t="str">
            <v>E014030000C0000100</v>
          </cell>
          <cell r="B563" t="str">
            <v>ลูกล้อลูกปืนรางหนีบ GETON (บานเลื่อนล้อตู้)</v>
          </cell>
          <cell r="C563">
            <v>10</v>
          </cell>
        </row>
        <row r="564">
          <cell r="A564" t="str">
            <v>E014030210C0010100</v>
          </cell>
          <cell r="B564" t="str">
            <v>ลูกล้อบานเลื่อนเดี่ยว (เขียว) GETON (รับนน. 30Kg.)</v>
          </cell>
          <cell r="C564">
            <v>14085</v>
          </cell>
        </row>
        <row r="565">
          <cell r="A565" t="str">
            <v>E014030211C0010100</v>
          </cell>
          <cell r="B565" t="str">
            <v>ลูกล้อบานเลื่อนเดี่ยว (แดง) GETON (รับนน. 50Kg.)</v>
          </cell>
          <cell r="C565">
            <v>11349</v>
          </cell>
        </row>
        <row r="566">
          <cell r="A566" t="str">
            <v>E014030211C0010200</v>
          </cell>
          <cell r="B566" t="str">
            <v>ลูกล้อบานเลื่อนคู่ GETON (รับนน. 70Kg.)</v>
          </cell>
          <cell r="C566">
            <v>5812</v>
          </cell>
        </row>
        <row r="567">
          <cell r="A567" t="str">
            <v>E014030212C0010100</v>
          </cell>
          <cell r="B567" t="str">
            <v>ลูกล้อบานเลื่อนเดี่ยว (น้ำเงิน) GETON (รับนน. 25Kg.)</v>
          </cell>
          <cell r="C567">
            <v>165</v>
          </cell>
        </row>
        <row r="568">
          <cell r="A568" t="str">
            <v>E014030800C0010100</v>
          </cell>
          <cell r="B568" t="str">
            <v>ลูกล้อไกด์ GETON (กันแกว่งรางแขวน)</v>
          </cell>
          <cell r="C568">
            <v>207</v>
          </cell>
        </row>
        <row r="569">
          <cell r="A569" t="str">
            <v>E014030800C0010400</v>
          </cell>
          <cell r="B569" t="str">
            <v>ลูกล้อรางแขวน 4 ล้อ (เดี่ยว) GETON (รับนน. 80Kg.)</v>
          </cell>
          <cell r="C569">
            <v>3081</v>
          </cell>
        </row>
        <row r="570">
          <cell r="A570" t="str">
            <v>E014030900C0000100</v>
          </cell>
          <cell r="B570" t="str">
            <v>ลูกล้อมุ้งพลาสติก GETON</v>
          </cell>
          <cell r="C570">
            <v>4541</v>
          </cell>
        </row>
        <row r="571">
          <cell r="A571" t="str">
            <v>E014030900C0010100</v>
          </cell>
          <cell r="B571" t="str">
            <v>ลูกล้อมุ้งเหล็ก GETON</v>
          </cell>
          <cell r="C571">
            <v>0</v>
          </cell>
        </row>
        <row r="572">
          <cell r="A572" t="str">
            <v>E014090900I5000000</v>
          </cell>
          <cell r="B572" t="str">
            <v>ลูกกลิ้งอัดมุ้ง GETON</v>
          </cell>
          <cell r="C572">
            <v>264</v>
          </cell>
        </row>
        <row r="573">
          <cell r="A573" t="str">
            <v>E01502000000000000</v>
          </cell>
          <cell r="B573" t="str">
            <v>โช้ค ยี่ห้อ HOYA (กลุ่ม)</v>
          </cell>
          <cell r="C573">
            <v>1</v>
          </cell>
        </row>
        <row r="574">
          <cell r="A574" t="str">
            <v>E015020201B0100000</v>
          </cell>
          <cell r="B574" t="str">
            <v>โช้คอัพบานเลื่อนรางแขวน สีขาวอลู ขนาด 100 ซม. HOYA</v>
          </cell>
          <cell r="C574">
            <v>2</v>
          </cell>
        </row>
        <row r="575">
          <cell r="A575" t="str">
            <v>E015020201B0120000</v>
          </cell>
          <cell r="B575" t="str">
            <v>โช้คอัพบานเลื่อนรางแขวน สีขาวอลู ขนาด 120 ซม. HOYA</v>
          </cell>
          <cell r="C575">
            <v>8</v>
          </cell>
        </row>
        <row r="576">
          <cell r="A576" t="str">
            <v>E015020201B0150000</v>
          </cell>
          <cell r="B576" t="str">
            <v>โช้คอัพบานเลื่อนรางแขวน สีขาวอลู ขนาด 150 ซม. HOYA</v>
          </cell>
          <cell r="C576">
            <v>0</v>
          </cell>
        </row>
        <row r="577">
          <cell r="A577" t="str">
            <v>E015020202B0100000</v>
          </cell>
          <cell r="B577" t="str">
            <v>โช้คอัพบานเลื่อนรางแขวน สีชา ขนาด 100 ซม. HOYA</v>
          </cell>
          <cell r="C577">
            <v>4</v>
          </cell>
        </row>
        <row r="578">
          <cell r="A578" t="str">
            <v>E015020202B0120000</v>
          </cell>
          <cell r="B578" t="str">
            <v>โช้คอัพบานเลื่อนรางแขวน สีชา ขนาด 120ซม. HOYA</v>
          </cell>
          <cell r="C578">
            <v>0</v>
          </cell>
        </row>
        <row r="579">
          <cell r="A579" t="str">
            <v>E015030900C0030100</v>
          </cell>
          <cell r="B579" t="str">
            <v xml:space="preserve">ลูกล้อมุ้งพลาสติก (มีลูกปืน) HOYA </v>
          </cell>
          <cell r="C579">
            <v>915</v>
          </cell>
        </row>
        <row r="580">
          <cell r="A580" t="str">
            <v>E015040303D3010200</v>
          </cell>
          <cell r="B580" t="str">
            <v>มือจับสแตนเลส HOYA รุ่น 102 สีพ่นดำ ขนาด 305*25*75</v>
          </cell>
          <cell r="C580">
            <v>12</v>
          </cell>
        </row>
        <row r="581">
          <cell r="A581" t="str">
            <v>E015040314D3010100</v>
          </cell>
          <cell r="B581" t="str">
            <v>มือจับสแตนเลส HOYA รุ่น 101 PS ขนาด 305x25x75</v>
          </cell>
          <cell r="C581">
            <v>17</v>
          </cell>
        </row>
        <row r="582">
          <cell r="A582" t="str">
            <v>E015040801D8000000</v>
          </cell>
          <cell r="B582" t="str">
            <v>มือจับรางแขวน สีขาวอลู (คู่) HOYA</v>
          </cell>
          <cell r="C582">
            <v>114</v>
          </cell>
        </row>
        <row r="583">
          <cell r="A583" t="str">
            <v>E015040802D8000000</v>
          </cell>
          <cell r="B583" t="str">
            <v>มือจับรางแขวน สีชา (คู่) HOYA</v>
          </cell>
          <cell r="C583">
            <v>31</v>
          </cell>
        </row>
        <row r="584">
          <cell r="A584" t="str">
            <v>E015040803D8000000</v>
          </cell>
          <cell r="B584" t="str">
            <v>มือจับรางแขวน สีดำ (คู่) HOYA</v>
          </cell>
          <cell r="C584">
            <v>281</v>
          </cell>
        </row>
        <row r="585">
          <cell r="A585" t="str">
            <v>E015040804D8000000</v>
          </cell>
          <cell r="B585" t="str">
            <v>มือจับรางแขวน สีอบขาว (คู่) HOYA</v>
          </cell>
          <cell r="C585">
            <v>314</v>
          </cell>
        </row>
        <row r="586">
          <cell r="A586" t="str">
            <v>E015050201E0100000</v>
          </cell>
          <cell r="B586" t="str">
            <v>กุญแจเกี่ยวลูกบิด สีขาวอลู HOYA</v>
          </cell>
          <cell r="C586">
            <v>9</v>
          </cell>
        </row>
        <row r="587">
          <cell r="A587" t="str">
            <v>E015050202E0100000</v>
          </cell>
          <cell r="B587" t="str">
            <v>กุญแจเกี่ยวลูกบิด สีชา HOYA</v>
          </cell>
          <cell r="C587">
            <v>20</v>
          </cell>
        </row>
        <row r="588">
          <cell r="A588" t="str">
            <v>E015050203E0100000</v>
          </cell>
          <cell r="B588" t="str">
            <v>กุญแจเกี่ยวลูกบิด สีดำ HOYA</v>
          </cell>
          <cell r="C588">
            <v>200</v>
          </cell>
        </row>
        <row r="589">
          <cell r="A589" t="str">
            <v>E015050204E0100000</v>
          </cell>
          <cell r="B589" t="str">
            <v>กุญแจเกี่ยวลูกบิด สีอบขาว HOYA</v>
          </cell>
          <cell r="C589">
            <v>94</v>
          </cell>
        </row>
        <row r="590">
          <cell r="A590" t="str">
            <v>E015050301E0200000</v>
          </cell>
          <cell r="B590" t="str">
            <v>กุญแจสวิงลูกบิด สีขาวอลู HOYA</v>
          </cell>
          <cell r="C590">
            <v>20</v>
          </cell>
        </row>
        <row r="591">
          <cell r="A591" t="str">
            <v>E015050302E0200000</v>
          </cell>
          <cell r="B591" t="str">
            <v>กุญแจสวิงลูกบิด สีชา HOYA</v>
          </cell>
          <cell r="C591">
            <v>0</v>
          </cell>
        </row>
        <row r="592">
          <cell r="A592" t="str">
            <v>E015050303E0200000</v>
          </cell>
          <cell r="B592" t="str">
            <v>กุญแจสวิงลูกบิด สีดำ HOYA</v>
          </cell>
          <cell r="C592">
            <v>169</v>
          </cell>
        </row>
        <row r="593">
          <cell r="A593" t="str">
            <v>E015050304E0200000</v>
          </cell>
          <cell r="B593" t="str">
            <v>กุญแจสวิงลูกบิด สีอบขาว HOYA</v>
          </cell>
          <cell r="C593">
            <v>189</v>
          </cell>
        </row>
        <row r="594">
          <cell r="A594" t="str">
            <v>E015060203F4000000</v>
          </cell>
          <cell r="B594" t="str">
            <v>ยางไกด์รางแขวน สีดำ</v>
          </cell>
          <cell r="C594">
            <v>1927</v>
          </cell>
        </row>
        <row r="595">
          <cell r="A595" t="str">
            <v>E01509000000000000</v>
          </cell>
          <cell r="B595" t="str">
            <v>มุ้ง ยี่ห้อHOYA (กลุ่ม)</v>
          </cell>
          <cell r="C595">
            <v>74</v>
          </cell>
        </row>
        <row r="596">
          <cell r="A596" t="str">
            <v>E015090901I1110000</v>
          </cell>
          <cell r="B596" t="str">
            <v>บานพับประตูมุ้ง อย่างดี สีขาวอลู HOYA</v>
          </cell>
          <cell r="C596">
            <v>81</v>
          </cell>
        </row>
        <row r="597">
          <cell r="A597" t="str">
            <v>E015090901I1210000</v>
          </cell>
          <cell r="B597" t="str">
            <v xml:space="preserve">บานพับหน้าต่างมุ้ง อย่างดี สีขาวอลู HOYA </v>
          </cell>
          <cell r="C597">
            <v>0</v>
          </cell>
        </row>
        <row r="598">
          <cell r="A598" t="str">
            <v>E015090901I8100000</v>
          </cell>
          <cell r="B598" t="str">
            <v>มือจับประตูมุ้ง สีขาวอลู HOYA</v>
          </cell>
          <cell r="C598">
            <v>1373</v>
          </cell>
        </row>
        <row r="599">
          <cell r="A599" t="str">
            <v>E015090902I1110000</v>
          </cell>
          <cell r="B599" t="str">
            <v>บานพับประตูมุ้ง อย่างดี สีชา HOYA</v>
          </cell>
          <cell r="C599">
            <v>0</v>
          </cell>
        </row>
        <row r="600">
          <cell r="A600" t="str">
            <v>E015090902I1210000</v>
          </cell>
          <cell r="B600" t="str">
            <v>บานพับหน้าต่างมุ้ง อย่างดี สีชา HOYA</v>
          </cell>
          <cell r="C600">
            <v>0</v>
          </cell>
        </row>
        <row r="601">
          <cell r="A601" t="str">
            <v>E015090902I8100000</v>
          </cell>
          <cell r="B601" t="str">
            <v xml:space="preserve">มือจับประตูมุ้ง สีชา HOYA </v>
          </cell>
          <cell r="C601">
            <v>710</v>
          </cell>
        </row>
        <row r="602">
          <cell r="A602" t="str">
            <v>E015090903I6100000</v>
          </cell>
          <cell r="B602" t="str">
            <v>มือจับมุ้งแม่เหล็ก สีดำ บานเดี่ยว</v>
          </cell>
          <cell r="C602">
            <v>1046</v>
          </cell>
        </row>
        <row r="603">
          <cell r="A603" t="str">
            <v>E015090903I6200000</v>
          </cell>
          <cell r="B603" t="str">
            <v>มือจับมุ้งแม่เหล็ก สีดำ บานคู่</v>
          </cell>
          <cell r="C603">
            <v>787</v>
          </cell>
        </row>
        <row r="604">
          <cell r="A604" t="str">
            <v>E015090903I7100000</v>
          </cell>
          <cell r="B604" t="str">
            <v>แผ่นมือจับมุ้ง สีดำ HOYA รุ่นเหลี่ยม</v>
          </cell>
          <cell r="C604">
            <v>2256</v>
          </cell>
        </row>
        <row r="605">
          <cell r="A605" t="str">
            <v>E015090903I8100000</v>
          </cell>
          <cell r="B605" t="str">
            <v>มือจับประตูมุ้ง สีดำ HOYA</v>
          </cell>
          <cell r="C605">
            <v>503</v>
          </cell>
        </row>
        <row r="606">
          <cell r="A606" t="str">
            <v>E015090904I1110000</v>
          </cell>
          <cell r="B606" t="str">
            <v>บานพับประตูมุ้ง อย่างดี สีอบขาว HOYA</v>
          </cell>
          <cell r="C606">
            <v>0</v>
          </cell>
        </row>
        <row r="607">
          <cell r="A607" t="str">
            <v>E015090904I1210000</v>
          </cell>
          <cell r="B607" t="str">
            <v xml:space="preserve">บานพับหน้าต่างมุ้ง อย่างดี สีอบขาว HOYA </v>
          </cell>
          <cell r="C607">
            <v>13</v>
          </cell>
        </row>
        <row r="608">
          <cell r="A608" t="str">
            <v>E015090904I6100000</v>
          </cell>
          <cell r="B608" t="str">
            <v>มือจับมุ้งแม่เหล็ก สีอบขาว บานเดี่ยว</v>
          </cell>
          <cell r="C608">
            <v>1171</v>
          </cell>
        </row>
        <row r="609">
          <cell r="A609" t="str">
            <v>E015090904I6200000</v>
          </cell>
          <cell r="B609" t="str">
            <v>มือจับมุ้งแม่เหล็ก สีอบขาว บานคู่</v>
          </cell>
          <cell r="C609">
            <v>1169</v>
          </cell>
        </row>
        <row r="610">
          <cell r="A610" t="str">
            <v>E015090904I7100000</v>
          </cell>
          <cell r="B610" t="str">
            <v>แผ่นมือจับมุ้ง สีอบขาว HOYA รุ่นเหลี่ยม</v>
          </cell>
          <cell r="C610">
            <v>1091</v>
          </cell>
        </row>
        <row r="611">
          <cell r="A611" t="str">
            <v>E015090904I8100000</v>
          </cell>
          <cell r="B611" t="str">
            <v>มือจับประตูมุ้ง สีอบขาว HOYA</v>
          </cell>
          <cell r="C611">
            <v>476</v>
          </cell>
        </row>
        <row r="612">
          <cell r="A612" t="str">
            <v>E015141300N0500000</v>
          </cell>
          <cell r="B612" t="str">
            <v>ตลับเมตร 5 ม.x 6 หุน HOYA #Power Tape</v>
          </cell>
          <cell r="C612">
            <v>8</v>
          </cell>
        </row>
        <row r="613">
          <cell r="A613" t="str">
            <v>E01701000000000000</v>
          </cell>
          <cell r="B613" t="str">
            <v>ยางยี่ห้อ PBM (กลุ่ม)</v>
          </cell>
          <cell r="C613">
            <v>2</v>
          </cell>
        </row>
        <row r="614">
          <cell r="A614" t="str">
            <v>E017010603A1205000</v>
          </cell>
          <cell r="B614" t="str">
            <v>BI-FOLD ยางลูกโป่งฐานแข็งใส 5มม. (50ม.) PBM #015-12PB50</v>
          </cell>
          <cell r="C614">
            <v>33</v>
          </cell>
        </row>
        <row r="615">
          <cell r="A615" t="str">
            <v>E017020300B1000100</v>
          </cell>
          <cell r="B615" t="str">
            <v>โช้คอัพบานสวิง 1V No.1000  PBM</v>
          </cell>
          <cell r="C615">
            <v>20</v>
          </cell>
        </row>
        <row r="616">
          <cell r="A616" t="str">
            <v>E017020300B1000200</v>
          </cell>
          <cell r="B616" t="str">
            <v>โช้คอัพบานสวิง 2V No.1000  PBM</v>
          </cell>
          <cell r="C616">
            <v>1</v>
          </cell>
        </row>
        <row r="617">
          <cell r="A617" t="str">
            <v>E01703000000000000</v>
          </cell>
          <cell r="B617" t="str">
            <v>ลูกล้อ ยี่ห้อ PBM (กลุ่ม)</v>
          </cell>
          <cell r="C617">
            <v>111</v>
          </cell>
        </row>
        <row r="618">
          <cell r="A618" t="str">
            <v>E017030200C1518100</v>
          </cell>
          <cell r="B618" t="str">
            <v>ล้อตลับสแตนเลสเดี่ยว PBM #050-05-1518 (รับนน. 25-30 kg.)</v>
          </cell>
          <cell r="C618">
            <v>259</v>
          </cell>
        </row>
        <row r="619">
          <cell r="A619" t="str">
            <v>E017030200C1518200</v>
          </cell>
          <cell r="B619" t="str">
            <v>ล้อตลับสแตนเลสคู่ PBM #050-1518-2  (รับนน.35-40 kg.)</v>
          </cell>
          <cell r="C619">
            <v>184</v>
          </cell>
        </row>
        <row r="620">
          <cell r="A620" t="str">
            <v>E017030210C0500200</v>
          </cell>
          <cell r="B620" t="str">
            <v>ลูกล้อบานเลื่อนเดี่ยว (เขียว) PBM  #050-02 (รับนน. 30Kg.)</v>
          </cell>
          <cell r="C620">
            <v>28905</v>
          </cell>
        </row>
        <row r="621">
          <cell r="A621" t="str">
            <v>E017030211C0500300</v>
          </cell>
          <cell r="B621" t="str">
            <v>ลูกล้อบานเลื่อนเดี่ยว (แดง) PBM #050-03 (รับนน. 40Kg.)</v>
          </cell>
          <cell r="C621">
            <v>2102</v>
          </cell>
        </row>
        <row r="622">
          <cell r="A622" t="str">
            <v>E017030211C0500400</v>
          </cell>
          <cell r="B622" t="str">
            <v>ลูกล้อบานเลื่อนคู่ PBM #050-04 (รับนน. 60Kg.)</v>
          </cell>
          <cell r="C622">
            <v>1042</v>
          </cell>
        </row>
        <row r="623">
          <cell r="A623" t="str">
            <v>E017030800C0500900</v>
          </cell>
          <cell r="B623" t="str">
            <v>ล้อรางแขวน 4 ล้อ (คู่)  PBM #050-09 (รับนน. 40Kg.)  (ซื้อ)</v>
          </cell>
          <cell r="C623">
            <v>2</v>
          </cell>
        </row>
        <row r="624">
          <cell r="A624" t="str">
            <v>E017030800C0500901</v>
          </cell>
          <cell r="B624" t="str">
            <v>ล้อรางแขวน 4 ล้อ (คู่)  #050-09  PBM พร้อมไกด์กันแกว่ง</v>
          </cell>
          <cell r="C624">
            <v>1030</v>
          </cell>
        </row>
        <row r="625">
          <cell r="A625" t="str">
            <v>E017030800C0500902</v>
          </cell>
          <cell r="B625" t="str">
            <v>ไกด์กันแกว่ง สีดำ PBM #050-09-2 (ของแถม)</v>
          </cell>
          <cell r="C625">
            <v>0</v>
          </cell>
        </row>
        <row r="626">
          <cell r="A626" t="str">
            <v>E017030900C0501900</v>
          </cell>
          <cell r="B626" t="str">
            <v>ลูกล้อมุ้งพลาสติก (ลูกปืน) PBM #050-19</v>
          </cell>
          <cell r="C626">
            <v>138</v>
          </cell>
        </row>
        <row r="627">
          <cell r="A627" t="str">
            <v>E01704000000000000</v>
          </cell>
          <cell r="B627" t="str">
            <v>มือจับ ยี่ห้อ PBM (กลุ่ม)</v>
          </cell>
          <cell r="C627">
            <v>100</v>
          </cell>
        </row>
        <row r="628">
          <cell r="A628" t="str">
            <v>E017040101D1001210</v>
          </cell>
          <cell r="B628" t="str">
            <v>มือจับกระทุ้งซ้าย (แปะ) สีขาวอลู/หลังดำ PBM #012</v>
          </cell>
          <cell r="C628">
            <v>66</v>
          </cell>
        </row>
        <row r="629">
          <cell r="A629" t="str">
            <v>E017040101D1001220</v>
          </cell>
          <cell r="B629" t="str">
            <v>มือจับกระทุ้งขวา (แปะ) สีขาวอลู/หลังดำ PBM #012</v>
          </cell>
          <cell r="C629">
            <v>89</v>
          </cell>
        </row>
        <row r="630">
          <cell r="A630" t="str">
            <v>E017040101D1001910</v>
          </cell>
          <cell r="B630" t="str">
            <v>มือจับกระทุ้งซ้าย (แปะ/ลูกกลิ้ง) สีขาวอลู PBM #019</v>
          </cell>
          <cell r="C630">
            <v>43</v>
          </cell>
        </row>
        <row r="631">
          <cell r="A631" t="str">
            <v>E017040101D1001920</v>
          </cell>
          <cell r="B631" t="str">
            <v>มือจับกระทุ้งขวา (แปะ/ลูกกลิ้ง) สีขาวอลู PBM #019</v>
          </cell>
          <cell r="C631">
            <v>59</v>
          </cell>
        </row>
        <row r="632">
          <cell r="A632" t="str">
            <v>E017040101D1503000</v>
          </cell>
          <cell r="B632" t="str">
            <v>มือจับบานเปิด สีขาวอลู PBM #030-S-02</v>
          </cell>
          <cell r="C632">
            <v>0</v>
          </cell>
        </row>
        <row r="633">
          <cell r="A633" t="str">
            <v>E017040101D1503003</v>
          </cell>
          <cell r="B633" t="str">
            <v>มือจับบานเปิดดัมมี่ สีขาวอลู PBM #030-S0-02</v>
          </cell>
          <cell r="C633">
            <v>0</v>
          </cell>
        </row>
        <row r="634">
          <cell r="A634" t="str">
            <v>E017040103D1001211</v>
          </cell>
          <cell r="B634" t="str">
            <v>มือจับกระทุ้งซ้าย (แปะ) สีดำ/หลังดำ PBM #012</v>
          </cell>
          <cell r="C634">
            <v>107</v>
          </cell>
        </row>
        <row r="635">
          <cell r="A635" t="str">
            <v>E017040103D1001212</v>
          </cell>
          <cell r="B635" t="str">
            <v>มือจับกระทุ้งซ้าย (แปะ) สีดำ/หลังขาว PBM #012</v>
          </cell>
          <cell r="C635">
            <v>296</v>
          </cell>
        </row>
        <row r="636">
          <cell r="A636" t="str">
            <v>E017040103D1001221</v>
          </cell>
          <cell r="B636" t="str">
            <v>มือจับกระทุ้งขวา (แปะ) สีดำ/หลังดำ PBM #012</v>
          </cell>
          <cell r="C636">
            <v>237</v>
          </cell>
        </row>
        <row r="637">
          <cell r="A637" t="str">
            <v>E017040103D1001222</v>
          </cell>
          <cell r="B637" t="str">
            <v>มือจับกระทุ้งขวา (แปะ) สีดำ/หลังขาว PBM #012</v>
          </cell>
          <cell r="C637">
            <v>442</v>
          </cell>
        </row>
        <row r="638">
          <cell r="A638" t="str">
            <v>E017040103D1001401</v>
          </cell>
          <cell r="B638" t="str">
            <v>มือจับกระทุ้งซ้าย (แปะ/หางกลม) สีดำ #014 PBM</v>
          </cell>
          <cell r="C638">
            <v>4</v>
          </cell>
        </row>
        <row r="639">
          <cell r="A639" t="str">
            <v>E017040103D1001402</v>
          </cell>
          <cell r="B639" t="str">
            <v>มือจับกระทุ้งขวา (แปะ/หางกลม) สีดำ #014 PBM</v>
          </cell>
          <cell r="C639">
            <v>39</v>
          </cell>
        </row>
        <row r="640">
          <cell r="A640" t="str">
            <v>E017040103D1001910</v>
          </cell>
          <cell r="B640" t="str">
            <v>มือจับกระทุ้งซ้าย (แปะ/ลูกกลิ้ง) สีดำ PBM #019</v>
          </cell>
          <cell r="C640">
            <v>378</v>
          </cell>
        </row>
        <row r="641">
          <cell r="A641" t="str">
            <v>E017040103D1001920</v>
          </cell>
          <cell r="B641" t="str">
            <v>มือจับกระทุ้งขวา (แปะ/ลูกกลิ้ง) สีดำ PBM #019</v>
          </cell>
          <cell r="C641">
            <v>802</v>
          </cell>
        </row>
        <row r="642">
          <cell r="A642" t="str">
            <v>E017040103D1503000</v>
          </cell>
          <cell r="B642" t="str">
            <v>มือจับบานเปิด สีดำ PBM #030-B-02</v>
          </cell>
          <cell r="C642">
            <v>45</v>
          </cell>
        </row>
        <row r="643">
          <cell r="A643" t="str">
            <v>E017040103D1503003</v>
          </cell>
          <cell r="B643" t="str">
            <v>มือจับบานเปิดดัมมี่ สีดำ PBM #030-B0-02</v>
          </cell>
          <cell r="C643">
            <v>56</v>
          </cell>
        </row>
        <row r="644">
          <cell r="A644" t="str">
            <v>E017040104D1001211</v>
          </cell>
          <cell r="B644" t="str">
            <v>มือจับกระทุ้งซ้าย (แปะ) สีอบขาว/หลังดำ PBM #012</v>
          </cell>
          <cell r="C644">
            <v>213</v>
          </cell>
        </row>
        <row r="645">
          <cell r="A645" t="str">
            <v>E017040104D1001212</v>
          </cell>
          <cell r="B645" t="str">
            <v>มือจับกระทุ้งซ้าย (แปะ) สีอบขาว/หลังขาว PBM #012</v>
          </cell>
          <cell r="C645">
            <v>0</v>
          </cell>
        </row>
        <row r="646">
          <cell r="A646" t="str">
            <v>E017040104D1001221</v>
          </cell>
          <cell r="B646" t="str">
            <v>มือจับกระทุ้งขวา (แปะ) สีอบขาว/หลังดำ PBM #012</v>
          </cell>
          <cell r="C646">
            <v>443</v>
          </cell>
        </row>
        <row r="647">
          <cell r="A647" t="str">
            <v>E017040104D1001222</v>
          </cell>
          <cell r="B647" t="str">
            <v>มือจับกระทุ้งขวา (แปะ) สีอบขาว/หลังขาว PBM #012</v>
          </cell>
          <cell r="C647">
            <v>0</v>
          </cell>
        </row>
        <row r="648">
          <cell r="A648" t="str">
            <v>E017040104D1001910</v>
          </cell>
          <cell r="B648" t="str">
            <v xml:space="preserve">มือจับกระทุ้งซ้าย (แปะ/ลูกกลิ้ง) สีอบขาว PBM #019 </v>
          </cell>
          <cell r="C648">
            <v>410</v>
          </cell>
        </row>
        <row r="649">
          <cell r="A649" t="str">
            <v>E017040104D1001920</v>
          </cell>
          <cell r="B649" t="str">
            <v>มือจับกระทุ้งขวา (แปะ/ลูกกลิ้ง) สีอบขาว PBM #019</v>
          </cell>
          <cell r="C649">
            <v>499</v>
          </cell>
        </row>
        <row r="650">
          <cell r="A650" t="str">
            <v>E017040104D1503000</v>
          </cell>
          <cell r="B650" t="str">
            <v>มือจับบานเปิด สีอบขาว PBM #030-W-02</v>
          </cell>
          <cell r="C650">
            <v>33</v>
          </cell>
        </row>
        <row r="651">
          <cell r="A651" t="str">
            <v>E017040104D1503003</v>
          </cell>
          <cell r="B651" t="str">
            <v>มือจับบานเปิดดัมมี่ สีอบขาว PBM #030-W0-02</v>
          </cell>
          <cell r="C651">
            <v>63</v>
          </cell>
        </row>
        <row r="652">
          <cell r="A652" t="str">
            <v>E017040202D2120100</v>
          </cell>
          <cell r="B652" t="str">
            <v>มือจับล็อค รุ่นเล็ก สีชา PBM #201</v>
          </cell>
          <cell r="C652">
            <v>40</v>
          </cell>
        </row>
        <row r="653">
          <cell r="A653" t="str">
            <v>E017040204D2120100</v>
          </cell>
          <cell r="B653" t="str">
            <v>มือจับล็อค รุ่นเล็ก สีอบขาว PBM #201</v>
          </cell>
          <cell r="C653">
            <v>0</v>
          </cell>
        </row>
        <row r="654">
          <cell r="A654" t="str">
            <v>E017040204D2320100</v>
          </cell>
          <cell r="B654" t="str">
            <v>มือจับเรียบมีรู รุ่นเล็ก สีอบขาว PBM #201-03</v>
          </cell>
          <cell r="C654">
            <v>1</v>
          </cell>
        </row>
        <row r="655">
          <cell r="A655" t="str">
            <v>E017040204D2420100</v>
          </cell>
          <cell r="B655" t="str">
            <v>มือจับเรียบไม่มีรู รุ่นเล็ก สีอบขาว PBM #201-04</v>
          </cell>
          <cell r="C655">
            <v>0</v>
          </cell>
        </row>
        <row r="656">
          <cell r="A656" t="str">
            <v>E01705000000000000</v>
          </cell>
          <cell r="B656" t="str">
            <v>กุญแจ-กลอน ยี่ห้อ PBM (กลุ่ม)</v>
          </cell>
          <cell r="C656">
            <v>1</v>
          </cell>
        </row>
        <row r="657">
          <cell r="A657" t="str">
            <v>E017050100E0306500</v>
          </cell>
          <cell r="B657" t="str">
            <v>ไส้กุญแจบานเปิด PBM #030-65</v>
          </cell>
          <cell r="C657">
            <v>68</v>
          </cell>
        </row>
        <row r="658">
          <cell r="A658" t="str">
            <v>E017050100E0358500</v>
          </cell>
          <cell r="B658" t="str">
            <v>เสื้อกุญแจบานเปิด PBM #030-3585</v>
          </cell>
          <cell r="C658">
            <v>34</v>
          </cell>
        </row>
        <row r="659">
          <cell r="A659" t="str">
            <v>E017050203E0516800</v>
          </cell>
          <cell r="B659" t="str">
            <v>กุญแจเกี่ยวลูกบิด PBM สีดำ #5168-01</v>
          </cell>
          <cell r="C659">
            <v>97</v>
          </cell>
        </row>
        <row r="660">
          <cell r="A660" t="str">
            <v>E017050204E0516800</v>
          </cell>
          <cell r="B660" t="str">
            <v>กุญแจเกี่ยวลูกบิด PBM สีอบขาว #5168-01</v>
          </cell>
          <cell r="C660">
            <v>62</v>
          </cell>
        </row>
        <row r="661">
          <cell r="A661" t="str">
            <v>E017050301E0516800</v>
          </cell>
          <cell r="B661" t="str">
            <v>กุญแจสวิงลูกบิด สีขาวอลู PBM #5168-02</v>
          </cell>
          <cell r="C661">
            <v>0</v>
          </cell>
        </row>
        <row r="662">
          <cell r="A662" t="str">
            <v>E017050302E0516800</v>
          </cell>
          <cell r="B662" t="str">
            <v>กุญแจสวิงลูกบิด PBM สีชา #5168-02</v>
          </cell>
          <cell r="C662">
            <v>0</v>
          </cell>
        </row>
        <row r="663">
          <cell r="A663" t="str">
            <v>E017050303E0516800</v>
          </cell>
          <cell r="B663" t="str">
            <v>กุญแจสวิงลูกบิด PBM สีดำ #5168-02</v>
          </cell>
          <cell r="C663">
            <v>47</v>
          </cell>
        </row>
        <row r="664">
          <cell r="A664" t="str">
            <v>E017050304E0516800</v>
          </cell>
          <cell r="B664" t="str">
            <v>กุญแจสวิงลูกบิด PBM สีอบขาว #5168-02</v>
          </cell>
          <cell r="C664">
            <v>89</v>
          </cell>
        </row>
        <row r="665">
          <cell r="A665" t="str">
            <v>E01708000000000000</v>
          </cell>
          <cell r="B665" t="str">
            <v>บานพับ ยี่ห้อ PBM (กลุ่ม)</v>
          </cell>
          <cell r="C665">
            <v>101</v>
          </cell>
        </row>
        <row r="666">
          <cell r="A666" t="str">
            <v>E017080100H0000800</v>
          </cell>
          <cell r="B666" t="str">
            <v>บานพับกระทุ้งสี่แขน 8 นิ้ว PBM #201-8</v>
          </cell>
          <cell r="C666">
            <v>37</v>
          </cell>
        </row>
        <row r="667">
          <cell r="A667" t="str">
            <v>E017080100H0001000</v>
          </cell>
          <cell r="B667" t="str">
            <v>บานพับกระทุ้งสี่แขน 10 นิ้ว PBM #201-10</v>
          </cell>
          <cell r="C667">
            <v>45</v>
          </cell>
        </row>
        <row r="668">
          <cell r="A668" t="str">
            <v>E017080100H0001200</v>
          </cell>
          <cell r="B668" t="str">
            <v>บานพับกระทุ้งสี่แขน 12 นิ้ว PBM #201-12</v>
          </cell>
          <cell r="C668">
            <v>39</v>
          </cell>
        </row>
        <row r="669">
          <cell r="A669" t="str">
            <v>E017080100H0001400</v>
          </cell>
          <cell r="B669" t="str">
            <v>บานพับกระทุ้งสี่แขน 14 นิ้ว PBM #201-14</v>
          </cell>
          <cell r="C669">
            <v>23</v>
          </cell>
        </row>
        <row r="670">
          <cell r="A670" t="str">
            <v>E017080100H0001600</v>
          </cell>
          <cell r="B670" t="str">
            <v>บานพับกระทุ้งสี่แขน 16 นิ้ว PBM #201-16</v>
          </cell>
          <cell r="C670">
            <v>32</v>
          </cell>
        </row>
        <row r="671">
          <cell r="A671" t="str">
            <v>E017080100H1351200</v>
          </cell>
          <cell r="B671" t="str">
            <v>EURO บานพับ 4 Bar 12 นิ้ว PBM #304-13512</v>
          </cell>
          <cell r="C671">
            <v>6</v>
          </cell>
        </row>
        <row r="672">
          <cell r="A672" t="str">
            <v>E017080101H0004001</v>
          </cell>
          <cell r="B672" t="str">
            <v>บานพับข้อเสือ ข้างขวา-R สีขาวอลู PBM #040</v>
          </cell>
          <cell r="C672">
            <v>0</v>
          </cell>
        </row>
        <row r="673">
          <cell r="A673" t="str">
            <v>E017080101H0004002</v>
          </cell>
          <cell r="B673" t="str">
            <v>บานพับข้อเสือ ข้าวซ้าย-L สีขาวอลู PBM #040</v>
          </cell>
          <cell r="C673">
            <v>0</v>
          </cell>
        </row>
        <row r="674">
          <cell r="A674" t="str">
            <v>E017080103H0000500</v>
          </cell>
          <cell r="B674" t="str">
            <v>บานพับบานเปิด ORM สีดำ PBM #Hinge-05</v>
          </cell>
          <cell r="C674">
            <v>0</v>
          </cell>
        </row>
        <row r="675">
          <cell r="A675" t="str">
            <v>E017080103H0000701</v>
          </cell>
          <cell r="B675" t="str">
            <v>บานพับบานเปิด เรียบ สีดำ PBM #Hinge-07</v>
          </cell>
          <cell r="C675">
            <v>269</v>
          </cell>
        </row>
        <row r="676">
          <cell r="A676" t="str">
            <v>E017080103H0004003</v>
          </cell>
          <cell r="B676" t="str">
            <v>บานพับข้อเสือ ข้างขวา-R สีดำ PBM #040</v>
          </cell>
          <cell r="C676">
            <v>15</v>
          </cell>
        </row>
        <row r="677">
          <cell r="A677" t="str">
            <v>E017080103H0004004</v>
          </cell>
          <cell r="B677" t="str">
            <v>บานพับข้อเสือ ข้างซ้าย-L สีดำ PBM #040</v>
          </cell>
          <cell r="C677">
            <v>16</v>
          </cell>
        </row>
        <row r="678">
          <cell r="A678" t="str">
            <v>E017080103H0007101</v>
          </cell>
          <cell r="B678" t="str">
            <v>บานพับบานเปิด แบบหลบติ่ง สีดำ PBM #Hinge-07.1</v>
          </cell>
          <cell r="C678">
            <v>305</v>
          </cell>
        </row>
        <row r="679">
          <cell r="A679" t="str">
            <v>E017080104H0000400</v>
          </cell>
          <cell r="B679" t="str">
            <v>บานพับบานเปิดยูเนี่ยน สีอบขาว PBM #Hinge-04</v>
          </cell>
          <cell r="C679">
            <v>0</v>
          </cell>
        </row>
        <row r="680">
          <cell r="A680" t="str">
            <v>E017080104H0000702</v>
          </cell>
          <cell r="B680" t="str">
            <v>บานพับบานเปิด เรียบ สีอบขาว PBM #Hinge-07</v>
          </cell>
          <cell r="C680">
            <v>199</v>
          </cell>
        </row>
        <row r="681">
          <cell r="A681" t="str">
            <v>E017080104H0004005</v>
          </cell>
          <cell r="B681" t="str">
            <v>บานพับข้อเสือ ข้างขวา-R สีอบขาว PBM #040</v>
          </cell>
          <cell r="C681">
            <v>35</v>
          </cell>
        </row>
        <row r="682">
          <cell r="A682" t="str">
            <v>E017080104H0004006</v>
          </cell>
          <cell r="B682" t="str">
            <v>บานพับข้อเสือ ข้างซ้าย-L สีอบขาว PBM #040</v>
          </cell>
          <cell r="C682">
            <v>23</v>
          </cell>
        </row>
        <row r="683">
          <cell r="A683" t="str">
            <v>E017080104H0007102</v>
          </cell>
          <cell r="B683" t="str">
            <v>บานพับบานเปิด แบบหลบติ่ง สีอบขาว PBM #Hinge-07.1</v>
          </cell>
          <cell r="C683">
            <v>421</v>
          </cell>
        </row>
        <row r="684">
          <cell r="A684" t="str">
            <v>E01709000000000000</v>
          </cell>
          <cell r="B684" t="str">
            <v>มุ้ง ยี่ห้อ PBM (กลุ่ม)</v>
          </cell>
          <cell r="C684">
            <v>0</v>
          </cell>
        </row>
        <row r="685">
          <cell r="A685" t="str">
            <v>E017090903I3363000</v>
          </cell>
          <cell r="B685" t="str">
            <v>มุ้งไฟเบอร์ สีดำ 36 นิ้ว PBM</v>
          </cell>
          <cell r="C685">
            <v>2</v>
          </cell>
        </row>
        <row r="686">
          <cell r="A686" t="str">
            <v>E017090903I3483000</v>
          </cell>
          <cell r="B686" t="str">
            <v>มุ้งไฟเบอร์ สีดำ 48 นิ้ว PBM</v>
          </cell>
          <cell r="C686">
            <v>2</v>
          </cell>
        </row>
        <row r="687">
          <cell r="A687" t="str">
            <v>E017090905I3303000</v>
          </cell>
          <cell r="B687" t="str">
            <v>มุ้งไฟเบอร์ สีเทา 30 นิ้ว PBM</v>
          </cell>
          <cell r="C687">
            <v>0</v>
          </cell>
        </row>
        <row r="688">
          <cell r="A688" t="str">
            <v>E017090905I3363000</v>
          </cell>
          <cell r="B688" t="str">
            <v>มุ้งไฟเบอร์ สีเทา 36 นิ้ว PBM</v>
          </cell>
          <cell r="C688">
            <v>0</v>
          </cell>
        </row>
        <row r="689">
          <cell r="A689" t="str">
            <v>E017090905I3423000</v>
          </cell>
          <cell r="B689" t="str">
            <v>มุ้งไฟเบอร์ สีเทา 42 นิ้ว PBM</v>
          </cell>
          <cell r="C689">
            <v>2</v>
          </cell>
        </row>
        <row r="690">
          <cell r="A690" t="str">
            <v>E017090905I3483000</v>
          </cell>
          <cell r="B690" t="str">
            <v>มุ้งไฟเบอร์ สีเทา 48 นิ้ว PBM</v>
          </cell>
          <cell r="C690">
            <v>2</v>
          </cell>
        </row>
        <row r="691">
          <cell r="A691" t="str">
            <v>E017090905I3603000</v>
          </cell>
          <cell r="B691" t="str">
            <v>มุ้งไฟเบอร์ สีเทา 60 นิ้ว PBM</v>
          </cell>
          <cell r="C691">
            <v>0</v>
          </cell>
        </row>
        <row r="692">
          <cell r="A692" t="str">
            <v>E01712000000000000</v>
          </cell>
          <cell r="B692" t="str">
            <v>ACC ALU ยี่ห้อ PBM (กลุ่ม)</v>
          </cell>
          <cell r="C692">
            <v>74</v>
          </cell>
        </row>
        <row r="693">
          <cell r="A693" t="str">
            <v>E017120100L2020900</v>
          </cell>
          <cell r="B693" t="str">
            <v>แป้นรับล็อค 09มิล PBM #0202-09</v>
          </cell>
          <cell r="C693">
            <v>124</v>
          </cell>
        </row>
        <row r="694">
          <cell r="A694" t="str">
            <v>E017120205L5040500</v>
          </cell>
          <cell r="B694" t="str">
            <v>สักหลาดบานเลื่อนสีเทา 5*4 PBM #100-54450 (450 ม.)</v>
          </cell>
          <cell r="C694">
            <v>6</v>
          </cell>
        </row>
        <row r="695">
          <cell r="A695" t="str">
            <v>E017120205L5061000</v>
          </cell>
          <cell r="B695" t="str">
            <v>สักหลาดบานเลื่อนสีเทา 5x6 PBM #100-56100 (100 ม.)</v>
          </cell>
          <cell r="C695">
            <v>23</v>
          </cell>
        </row>
        <row r="696">
          <cell r="A696" t="str">
            <v>E017120305L7080500</v>
          </cell>
          <cell r="B696" t="str">
            <v>สักหลาดบานสวิงสีเทา 7x8 PBM #100-78050 (50 ม.)</v>
          </cell>
          <cell r="C696">
            <v>4</v>
          </cell>
        </row>
        <row r="697">
          <cell r="A697" t="str">
            <v>E017120701L0230000</v>
          </cell>
          <cell r="B697" t="str">
            <v>EURO เส้นอลูมิเนียม C 19.5 mm. สีขาวอลู PBM #0202-300C (ยาว 3เมตร)</v>
          </cell>
          <cell r="C697">
            <v>31</v>
          </cell>
        </row>
        <row r="698">
          <cell r="A698" t="str">
            <v>E017120703L0230000</v>
          </cell>
          <cell r="B698" t="str">
            <v>EURO เส้นอลูมิเนียม C 19.5 mm. สีดำ PBM #0202-300B (ยาว 3เมตร)</v>
          </cell>
          <cell r="C698">
            <v>63</v>
          </cell>
        </row>
        <row r="699">
          <cell r="A699" t="str">
            <v>E017141303N0000000</v>
          </cell>
          <cell r="B699" t="str">
            <v>พลาสติกปิดหัวน็อต สีดำ PBM #EPM</v>
          </cell>
          <cell r="C699">
            <v>54300</v>
          </cell>
        </row>
        <row r="700">
          <cell r="A700" t="str">
            <v>E017141304N0000000</v>
          </cell>
          <cell r="B700" t="str">
            <v>พลาสติกปิดหัวน็อต สีอบขาว PBM #EPM</v>
          </cell>
          <cell r="C700">
            <v>71100</v>
          </cell>
        </row>
        <row r="701">
          <cell r="A701" t="str">
            <v>E017141305N0000000</v>
          </cell>
          <cell r="B701" t="str">
            <v>พลาสติกปิดหัวน็อต สีเทา PBM #EPM</v>
          </cell>
          <cell r="C701">
            <v>6000</v>
          </cell>
        </row>
        <row r="702">
          <cell r="A702" t="str">
            <v>E018030210C0010100</v>
          </cell>
          <cell r="B702" t="str">
            <v>ลูกล้อบานเลื่อนเดี่ยว (เขียว)  MASUTA (รับนน. 50Kg.)</v>
          </cell>
          <cell r="C702">
            <v>0</v>
          </cell>
        </row>
        <row r="703">
          <cell r="A703" t="str">
            <v>E018030211C0010200</v>
          </cell>
          <cell r="B703" t="str">
            <v>ลูกล้อบานเลื่อนเดี่ยว (แดง)  MASUTA (รับนน. 70Kg.)</v>
          </cell>
          <cell r="C703">
            <v>580</v>
          </cell>
        </row>
        <row r="704">
          <cell r="A704" t="str">
            <v>E018030211C0010600</v>
          </cell>
          <cell r="B704" t="str">
            <v>ลูกล้อบานเลื่อนคู่  MASUTA (รับนน. 100Kg.)</v>
          </cell>
          <cell r="C704">
            <v>0</v>
          </cell>
        </row>
        <row r="705">
          <cell r="A705" t="str">
            <v>E018030800C0010700</v>
          </cell>
          <cell r="B705" t="str">
            <v>ลูกล้อรางแขวน 4 ล้อ (คู่) MASUTA (รับนน. 120Kg.)</v>
          </cell>
          <cell r="C705">
            <v>0</v>
          </cell>
        </row>
        <row r="706">
          <cell r="A706" t="str">
            <v>E018030900C0011200</v>
          </cell>
          <cell r="B706" t="str">
            <v>ลูกล้อมุ้งพลาสติก (ลูกปืน)  MASUTA (รับนน. 4-5Kg.)</v>
          </cell>
          <cell r="C706">
            <v>2</v>
          </cell>
        </row>
        <row r="707">
          <cell r="A707" t="str">
            <v>E019040314D3011700</v>
          </cell>
          <cell r="B707" t="str">
            <v>มือจับสแตนเลส SUN รุ่น 117 PS ขนาด 305x25x75</v>
          </cell>
          <cell r="C707">
            <v>217</v>
          </cell>
        </row>
        <row r="708">
          <cell r="A708" t="str">
            <v>E02004000000000000</v>
          </cell>
          <cell r="B708" t="str">
            <v>มือจับ ยี่ห้อ DEE-P (กลุ่ม)</v>
          </cell>
          <cell r="C708">
            <v>0</v>
          </cell>
        </row>
        <row r="709">
          <cell r="A709" t="str">
            <v>E020040314D3011700</v>
          </cell>
          <cell r="B709" t="str">
            <v>มือจับสแตนเลส DEE-P รุ่น 117 PS ขนาด 305x25x75</v>
          </cell>
          <cell r="C709">
            <v>591</v>
          </cell>
        </row>
        <row r="710">
          <cell r="A710" t="str">
            <v>E020080100H0000800</v>
          </cell>
          <cell r="B710" t="str">
            <v>บานพับกระทุ้งสี่แขน 8 นิ้ว DEE-P</v>
          </cell>
          <cell r="C710">
            <v>307</v>
          </cell>
        </row>
        <row r="711">
          <cell r="A711" t="str">
            <v>E020080100H0001000</v>
          </cell>
          <cell r="B711" t="str">
            <v>บานพับกระทุ้งสี่แขน 10 นิ้ว DEE-P</v>
          </cell>
          <cell r="C711">
            <v>471</v>
          </cell>
        </row>
        <row r="712">
          <cell r="A712" t="str">
            <v>E020080100H0001200</v>
          </cell>
          <cell r="B712" t="str">
            <v>บานพับกระทุ้งสี่แขน 12 นิ้ว DEE-P</v>
          </cell>
          <cell r="C712">
            <v>337</v>
          </cell>
        </row>
        <row r="713">
          <cell r="A713" t="str">
            <v>E020080100H0001400</v>
          </cell>
          <cell r="B713" t="str">
            <v>บานพับกระทุ้งสี่แขน 14 นิ้ว DEE-P</v>
          </cell>
          <cell r="C713">
            <v>158</v>
          </cell>
        </row>
        <row r="714">
          <cell r="A714" t="str">
            <v>E020080100H0001600</v>
          </cell>
          <cell r="B714" t="str">
            <v>บานพับกระทุ้งสี่แขน 16 นิ้ว DEE-P</v>
          </cell>
          <cell r="C714">
            <v>215</v>
          </cell>
        </row>
        <row r="715">
          <cell r="A715" t="str">
            <v>E02102000000000000</v>
          </cell>
          <cell r="B715" t="str">
            <v>โช้ค ยี่ห้อRP (กลุ่ม)</v>
          </cell>
          <cell r="C715">
            <v>0</v>
          </cell>
        </row>
        <row r="716">
          <cell r="A716" t="str">
            <v>E02104000000000000</v>
          </cell>
          <cell r="B716" t="str">
            <v>มือจับ ยี่ห้อ RP (กลุ่ม)</v>
          </cell>
          <cell r="C716">
            <v>1</v>
          </cell>
        </row>
        <row r="717">
          <cell r="A717" t="str">
            <v>E021040303D3071100</v>
          </cell>
          <cell r="B717" t="str">
            <v>มือจับสแตนเลส RP รุ่น 711 ขนาด 305x25x25 สีอบดำซาติน</v>
          </cell>
          <cell r="C717">
            <v>15</v>
          </cell>
        </row>
        <row r="718">
          <cell r="A718" t="str">
            <v>E021040306D3071200</v>
          </cell>
          <cell r="B718" t="str">
            <v>มือจับสแตนเลส RP รุ่น 712 ขนาด 305x25x25 สีเทาซาฮาร่า</v>
          </cell>
          <cell r="C718">
            <v>7</v>
          </cell>
        </row>
        <row r="719">
          <cell r="A719" t="str">
            <v>E021040315D0071300</v>
          </cell>
          <cell r="B719" t="str">
            <v>มือจับสแตนเลส RP รุ่น 713 SS ขนาด 305x25x25 (แฮร์ไลน์)</v>
          </cell>
          <cell r="C719">
            <v>9</v>
          </cell>
        </row>
        <row r="720">
          <cell r="A720" t="str">
            <v>E02113000000000000</v>
          </cell>
          <cell r="B720" t="str">
            <v>อุปกรณ์กระจก ยี่ห้อ RP (กลุ่ม)</v>
          </cell>
          <cell r="C720">
            <v>5</v>
          </cell>
        </row>
        <row r="721">
          <cell r="A721" t="str">
            <v>E021131114M0026200</v>
          </cell>
          <cell r="B721" t="str">
            <v>ตัวหนีบกระจกห้องน้ำรุ่นเล็ก RP #BL-262</v>
          </cell>
          <cell r="C721">
            <v>68</v>
          </cell>
        </row>
        <row r="722">
          <cell r="A722" t="str">
            <v>E022040201D2109800</v>
          </cell>
          <cell r="B722" t="str">
            <v>มือจับล็อค รุ่นใหญ่ สีขาวอลู HUSZA #SE340</v>
          </cell>
          <cell r="C722">
            <v>607</v>
          </cell>
        </row>
        <row r="723">
          <cell r="A723" t="str">
            <v>E022040201D2110200</v>
          </cell>
          <cell r="B723" t="str">
            <v>มือจับล็อค สีขาวอลู HUSZA #MHZ-102</v>
          </cell>
          <cell r="C723">
            <v>43</v>
          </cell>
        </row>
        <row r="724">
          <cell r="A724" t="str">
            <v>E022040201D2110300</v>
          </cell>
          <cell r="B724" t="str">
            <v>มือจับกุญแจ สีขาวอลู HUSZA #MHZ-103</v>
          </cell>
          <cell r="C724">
            <v>66</v>
          </cell>
        </row>
        <row r="725">
          <cell r="A725" t="str">
            <v>E022040201D2209800</v>
          </cell>
          <cell r="B725" t="str">
            <v>มือจับกุญแจ รุ่นใหญ่ สีขาวอลู HUSZA #SE380</v>
          </cell>
          <cell r="C725">
            <v>599</v>
          </cell>
        </row>
        <row r="726">
          <cell r="A726" t="str">
            <v>E022040201D2309800</v>
          </cell>
          <cell r="B726" t="str">
            <v>มือจับเรียบมีรู รุ่นใหญ่ สีขาวอลู HUSZA #SE330-1</v>
          </cell>
          <cell r="C726">
            <v>501</v>
          </cell>
        </row>
        <row r="727">
          <cell r="A727" t="str">
            <v>E022040201D2310000</v>
          </cell>
          <cell r="B727" t="str">
            <v>มือจับเรียบมีรู สีขาวอลู HUSZA #MHZ-100</v>
          </cell>
          <cell r="C727">
            <v>64</v>
          </cell>
        </row>
        <row r="728">
          <cell r="A728" t="str">
            <v>E022040201D2409800</v>
          </cell>
          <cell r="B728" t="str">
            <v>มือจับเรียบไม่มีรู รุ่นใหญ่ สีขาวอลู HUSZA #SE330-2</v>
          </cell>
          <cell r="C728">
            <v>339</v>
          </cell>
        </row>
        <row r="729">
          <cell r="A729" t="str">
            <v>E022040201D2410100</v>
          </cell>
          <cell r="B729" t="str">
            <v>มือจับเรียบไม่มีรู สีขาวอลู HUSZA #MHZ-101</v>
          </cell>
          <cell r="C729">
            <v>50</v>
          </cell>
        </row>
        <row r="730">
          <cell r="A730" t="str">
            <v>E022040202D2109800</v>
          </cell>
          <cell r="B730" t="str">
            <v>มือจับล็อค รุ่นใหญ่ สีชา HUSZA #SE340</v>
          </cell>
          <cell r="C730">
            <v>886</v>
          </cell>
        </row>
        <row r="731">
          <cell r="A731" t="str">
            <v>E022040202D2110200</v>
          </cell>
          <cell r="B731" t="str">
            <v>มือจับล็อค สีชา HUSZA MHZ-102</v>
          </cell>
          <cell r="C731">
            <v>111</v>
          </cell>
        </row>
        <row r="732">
          <cell r="A732" t="str">
            <v>E022040202D2209800</v>
          </cell>
          <cell r="B732" t="str">
            <v>มือจับกุญแจ รุ่นใหญ่ สีชา HUSZA #SE380</v>
          </cell>
          <cell r="C732">
            <v>753</v>
          </cell>
        </row>
        <row r="733">
          <cell r="A733" t="str">
            <v>E022040202D2210300</v>
          </cell>
          <cell r="B733" t="str">
            <v>มือจับกุญแจ สีชา HUSZA MHZ-103</v>
          </cell>
          <cell r="C733">
            <v>78</v>
          </cell>
        </row>
        <row r="734">
          <cell r="A734" t="str">
            <v>E022040202D2309800</v>
          </cell>
          <cell r="B734" t="str">
            <v>มือจับเรียบมีรู รุ่นใหญ่ สีชา HUSZA #SE330-1</v>
          </cell>
          <cell r="C734">
            <v>762</v>
          </cell>
        </row>
        <row r="735">
          <cell r="A735" t="str">
            <v>E022040202D2310000</v>
          </cell>
          <cell r="B735" t="str">
            <v>มือจับเรียบมีรู สีชา HUSZA  MHZ-100</v>
          </cell>
          <cell r="C735">
            <v>55</v>
          </cell>
        </row>
        <row r="736">
          <cell r="A736" t="str">
            <v>E022040202D2409800</v>
          </cell>
          <cell r="B736" t="str">
            <v>มือจับเรียบไม่มีรู รุ่นใหญ่ สีชา HUSZA #SE330-2</v>
          </cell>
          <cell r="C736">
            <v>1258</v>
          </cell>
        </row>
        <row r="737">
          <cell r="A737" t="str">
            <v>E022040202D2410100</v>
          </cell>
          <cell r="B737" t="str">
            <v>มือจับเรียบไม่มีรู สีชา HUSZA MHZ-101</v>
          </cell>
          <cell r="C737">
            <v>97</v>
          </cell>
        </row>
        <row r="738">
          <cell r="A738" t="str">
            <v>E022040203D2109800</v>
          </cell>
          <cell r="B738" t="str">
            <v>มือจับล็อค รุ่นใหญ่ สีดำ HUSZA #SE340</v>
          </cell>
          <cell r="C738">
            <v>4077</v>
          </cell>
        </row>
        <row r="739">
          <cell r="A739" t="str">
            <v>E022040203D2110200</v>
          </cell>
          <cell r="B739" t="str">
            <v>มือจับล็อค สีดำ HUSZA  MHZ-102</v>
          </cell>
          <cell r="C739">
            <v>183</v>
          </cell>
        </row>
        <row r="740">
          <cell r="A740" t="str">
            <v>E022040203D2209800</v>
          </cell>
          <cell r="B740" t="str">
            <v>มือจับกุญแจ รุ่นใหญ่ สีดำ HUSZA #SE380</v>
          </cell>
          <cell r="C740">
            <v>1387</v>
          </cell>
        </row>
        <row r="741">
          <cell r="A741" t="str">
            <v>E022040203D2210300</v>
          </cell>
          <cell r="B741" t="str">
            <v>มือจับกุญแจ สีดำ HUSZA MHZ-103</v>
          </cell>
          <cell r="C741">
            <v>197</v>
          </cell>
        </row>
        <row r="742">
          <cell r="A742" t="str">
            <v>E022040203D2309800</v>
          </cell>
          <cell r="B742" t="str">
            <v>มือจับเรียบมีรู รุ่นใหญ่ สีดำ HUSZA #SE330-1</v>
          </cell>
          <cell r="C742">
            <v>1514</v>
          </cell>
        </row>
        <row r="743">
          <cell r="A743" t="str">
            <v>E022040203D2310000</v>
          </cell>
          <cell r="B743" t="str">
            <v>มือจับเรียบมีรู สีดำ HUSZA MHZ-100</v>
          </cell>
          <cell r="C743">
            <v>297</v>
          </cell>
        </row>
        <row r="744">
          <cell r="A744" t="str">
            <v>E022040203D2409800</v>
          </cell>
          <cell r="B744" t="str">
            <v>มือจับเรียบไม่มีรู รุ่นใหญ่ สีดำ HUSZA #SE330-2</v>
          </cell>
          <cell r="C744">
            <v>1540</v>
          </cell>
        </row>
        <row r="745">
          <cell r="A745" t="str">
            <v>E022040203D2410100</v>
          </cell>
          <cell r="B745" t="str">
            <v>มือจับเรียบไม่มีรู สีดำ HUSZA  MHZ-101</v>
          </cell>
          <cell r="C745">
            <v>273</v>
          </cell>
        </row>
        <row r="746">
          <cell r="A746" t="str">
            <v>E022040204D2109800</v>
          </cell>
          <cell r="B746" t="str">
            <v>มือจับล็อค รุ่นใหญ่ สีอบขาว HUSZA #SE340</v>
          </cell>
          <cell r="C746">
            <v>4397</v>
          </cell>
        </row>
        <row r="747">
          <cell r="A747" t="str">
            <v>E022040204D2110200</v>
          </cell>
          <cell r="B747" t="str">
            <v>มือจับล็อค สีอบขาว HUSZA  MHZ-102</v>
          </cell>
          <cell r="C747">
            <v>256</v>
          </cell>
        </row>
        <row r="748">
          <cell r="A748" t="str">
            <v>E022040204D2209800</v>
          </cell>
          <cell r="B748" t="str">
            <v>มือจับกุญแจ รุ่นใหญ่ สีอบขาว HUSZA #SE380</v>
          </cell>
          <cell r="C748">
            <v>1302</v>
          </cell>
        </row>
        <row r="749">
          <cell r="A749" t="str">
            <v>E022040204D2210300</v>
          </cell>
          <cell r="B749" t="str">
            <v>มือจับกุญแจ สีอบขาว HUSZA MHZ-103</v>
          </cell>
          <cell r="C749">
            <v>157</v>
          </cell>
        </row>
        <row r="750">
          <cell r="A750" t="str">
            <v>E022040204D2309800</v>
          </cell>
          <cell r="B750" t="str">
            <v>มือจับเรียบมีรู รุ่นใหญ่ สีอบขาว HUSZA #SE330-1</v>
          </cell>
          <cell r="C750">
            <v>1646</v>
          </cell>
        </row>
        <row r="751">
          <cell r="A751" t="str">
            <v>E022040204D2310000</v>
          </cell>
          <cell r="B751" t="str">
            <v>มือจับเรียบมีรู สีอบขาว HUSZA MHZ-100</v>
          </cell>
          <cell r="C751">
            <v>127</v>
          </cell>
        </row>
        <row r="752">
          <cell r="A752" t="str">
            <v>E022040204D2409800</v>
          </cell>
          <cell r="B752" t="str">
            <v>มือจับเรียบไม่มีรู รุ่นใหญ่ สีอบขาว HUSZA #SE330-2</v>
          </cell>
          <cell r="C752">
            <v>1742</v>
          </cell>
        </row>
        <row r="753">
          <cell r="A753" t="str">
            <v>E022040204D2410100</v>
          </cell>
          <cell r="B753" t="str">
            <v>มือจับเรียบไม่มีรู สีอบขาว HUSZA MHZ-101</v>
          </cell>
          <cell r="C753">
            <v>125</v>
          </cell>
        </row>
        <row r="754">
          <cell r="A754" t="str">
            <v>E022040206D2109800</v>
          </cell>
          <cell r="B754" t="str">
            <v>มือจับล็อค รุ่นใหญ่ สีเทาซาฮาร่า HUSZA #SE340</v>
          </cell>
          <cell r="C754">
            <v>117</v>
          </cell>
        </row>
        <row r="755">
          <cell r="A755" t="str">
            <v>E022050201E0100000</v>
          </cell>
          <cell r="B755" t="str">
            <v>กุญแจลูกบิดบานเลื่อนคอม้า (ดอกแบน) สีขาวอลู HUSZA</v>
          </cell>
          <cell r="C755">
            <v>0</v>
          </cell>
        </row>
        <row r="756">
          <cell r="A756" t="str">
            <v>E022050202E0100000</v>
          </cell>
          <cell r="B756" t="str">
            <v>กุญแจลูกบิดบานเลื่อนคอม้า (ดอกแบน) สีชา HUSZA</v>
          </cell>
          <cell r="C756">
            <v>0</v>
          </cell>
        </row>
        <row r="757">
          <cell r="A757" t="str">
            <v>E022050203E0100000</v>
          </cell>
          <cell r="B757" t="str">
            <v>กุญแจลูกบิดบานเลื่อนคอม้า (ดอกแบน) สีดำ HUSZA</v>
          </cell>
          <cell r="C757">
            <v>29</v>
          </cell>
        </row>
        <row r="758">
          <cell r="A758" t="str">
            <v>E022050204E0100000</v>
          </cell>
          <cell r="B758" t="str">
            <v>กุญแจลูกบิดบานเลื่อนคอม้า (ดอกแบน) สีอบขาว HUSZA</v>
          </cell>
          <cell r="C758">
            <v>13</v>
          </cell>
        </row>
        <row r="759">
          <cell r="A759" t="str">
            <v>E022080100H0000800</v>
          </cell>
          <cell r="B759" t="str">
            <v>บานพับกระทุ้งสี่แขน 8 นิ้ว HUSZA</v>
          </cell>
          <cell r="C759">
            <v>679</v>
          </cell>
        </row>
        <row r="760">
          <cell r="A760" t="str">
            <v>E022080100H0001000</v>
          </cell>
          <cell r="B760" t="str">
            <v>บานพับกระทุ้งสี่แขน 10 นิ้ว HUSZA</v>
          </cell>
          <cell r="C760">
            <v>864</v>
          </cell>
        </row>
        <row r="761">
          <cell r="A761" t="str">
            <v>E022080100H0001200</v>
          </cell>
          <cell r="B761" t="str">
            <v>บานพับกระทุ้งสี่แขน 12 นิ้ว HUSZA</v>
          </cell>
          <cell r="C761">
            <v>770</v>
          </cell>
        </row>
        <row r="762">
          <cell r="A762" t="str">
            <v>E022080100H0001400</v>
          </cell>
          <cell r="B762" t="str">
            <v>บานพับกระทุ้งสี่แขน 14 นิ้ว HUSZA</v>
          </cell>
          <cell r="C762">
            <v>451</v>
          </cell>
        </row>
        <row r="763">
          <cell r="A763" t="str">
            <v>E022080100H0001600</v>
          </cell>
          <cell r="B763" t="str">
            <v>บานพับกระทุ้งสี่แขน 16 นิ้ว HUSZA</v>
          </cell>
          <cell r="C763">
            <v>628</v>
          </cell>
        </row>
        <row r="764">
          <cell r="A764" t="str">
            <v>E022080100H0001800</v>
          </cell>
          <cell r="B764" t="str">
            <v>บานพับกระทุ้งสี่แขน 18 นิ้ว HUSZA</v>
          </cell>
          <cell r="C764">
            <v>228</v>
          </cell>
        </row>
        <row r="765">
          <cell r="A765" t="str">
            <v>E022080100H0002000</v>
          </cell>
          <cell r="B765" t="str">
            <v>บานพับกระทุ้งสี่แขน 20 นิ้ว HUSZA</v>
          </cell>
          <cell r="C765">
            <v>249</v>
          </cell>
        </row>
        <row r="766">
          <cell r="A766" t="str">
            <v>E022080100H0002400</v>
          </cell>
          <cell r="B766" t="str">
            <v>บานพับกระทุ้งสี่แขน 24 นิ้ว HUSZA</v>
          </cell>
          <cell r="C766">
            <v>0</v>
          </cell>
        </row>
        <row r="767">
          <cell r="A767" t="str">
            <v>E024040203D2109800</v>
          </cell>
          <cell r="B767" t="str">
            <v>มือจับล็อค รุ่นใหญ่ สีดำ CCC</v>
          </cell>
          <cell r="C767">
            <v>219</v>
          </cell>
        </row>
        <row r="768">
          <cell r="A768" t="str">
            <v>E024040203D2209800</v>
          </cell>
          <cell r="B768" t="str">
            <v>มือจับล็อคกุญแจ รุ่นใหญ่ สีดำ CCC</v>
          </cell>
          <cell r="C768">
            <v>16</v>
          </cell>
        </row>
        <row r="769">
          <cell r="A769" t="str">
            <v>E024040203D2309800</v>
          </cell>
          <cell r="B769" t="str">
            <v>มือจับเรียบมีรู รุ่นใหญ่ สีดำ CCC</v>
          </cell>
          <cell r="C769">
            <v>53</v>
          </cell>
        </row>
        <row r="770">
          <cell r="A770" t="str">
            <v>E024040203D2409800</v>
          </cell>
          <cell r="B770" t="str">
            <v>มือจับเรียบไม่มีรู รุ่นใหญ่ สีดำ CCC</v>
          </cell>
          <cell r="C770">
            <v>60</v>
          </cell>
        </row>
        <row r="771">
          <cell r="A771" t="str">
            <v>E024040204D2109800</v>
          </cell>
          <cell r="B771" t="str">
            <v>มือจับล็อค รุ่นใหญ่ สีอบขาว CCC</v>
          </cell>
          <cell r="C771">
            <v>548</v>
          </cell>
        </row>
        <row r="772">
          <cell r="A772" t="str">
            <v>E024040204D2209800</v>
          </cell>
          <cell r="B772" t="str">
            <v>มือจับล็อคกุญแจ รุ่นใหญ่ สีอบขาว CCC</v>
          </cell>
          <cell r="C772">
            <v>37</v>
          </cell>
        </row>
        <row r="773">
          <cell r="A773" t="str">
            <v>E024040204D2309800</v>
          </cell>
          <cell r="B773" t="str">
            <v>มือจับเรียบมีรู รุ่นใหญ่ สีอบขาว CCC</v>
          </cell>
          <cell r="C773">
            <v>23</v>
          </cell>
        </row>
        <row r="774">
          <cell r="A774" t="str">
            <v>E024040204D2409800</v>
          </cell>
          <cell r="B774" t="str">
            <v>มือจับเรียบไม่มีรู รุ่นใหญ่ สีอบขาว CCC</v>
          </cell>
          <cell r="C774">
            <v>125</v>
          </cell>
        </row>
        <row r="775">
          <cell r="A775" t="str">
            <v>E025050201E0100000</v>
          </cell>
          <cell r="B775" t="str">
            <v>กุญแจเกี่ยวลูกบิด สีขาวอลู HERO</v>
          </cell>
          <cell r="C775">
            <v>388</v>
          </cell>
        </row>
        <row r="776">
          <cell r="A776" t="str">
            <v>E025050202E0100000</v>
          </cell>
          <cell r="B776" t="str">
            <v>กุญแจเกี่ยวลูกบิด สีชา HERO</v>
          </cell>
          <cell r="C776">
            <v>480</v>
          </cell>
        </row>
        <row r="777">
          <cell r="A777" t="str">
            <v>E025050203E0100000</v>
          </cell>
          <cell r="B777" t="str">
            <v>กุญแจเกี่ยวลูกบิด สีดำ HERO</v>
          </cell>
          <cell r="C777">
            <v>480</v>
          </cell>
        </row>
        <row r="778">
          <cell r="A778" t="str">
            <v>E025050204E0100000</v>
          </cell>
          <cell r="B778" t="str">
            <v>กุญแจเกี่ยวลูกบิด สีอบขาว HERO</v>
          </cell>
          <cell r="C778">
            <v>321</v>
          </cell>
        </row>
        <row r="779">
          <cell r="A779" t="str">
            <v>E025050301E0200000</v>
          </cell>
          <cell r="B779" t="str">
            <v>กุญแจสวิงลูกบิด สีขาวอลู HERO</v>
          </cell>
          <cell r="C779">
            <v>287</v>
          </cell>
        </row>
        <row r="780">
          <cell r="A780" t="str">
            <v>E025050302E0200000</v>
          </cell>
          <cell r="B780" t="str">
            <v>กุญแจสวิงลูกบิด สีชา HERO</v>
          </cell>
          <cell r="C780">
            <v>448</v>
          </cell>
        </row>
        <row r="781">
          <cell r="A781" t="str">
            <v>E025050303E0200000</v>
          </cell>
          <cell r="B781" t="str">
            <v>กุญแจสวิงลูกบิด สีดำ HERO</v>
          </cell>
          <cell r="C781">
            <v>425</v>
          </cell>
        </row>
        <row r="782">
          <cell r="A782" t="str">
            <v>E025050304E0200000</v>
          </cell>
          <cell r="B782" t="str">
            <v>กุญแจสวิงลูกบิด สีอบขาว HERO</v>
          </cell>
          <cell r="C782">
            <v>758</v>
          </cell>
        </row>
        <row r="783">
          <cell r="A783" t="str">
            <v>E027070501G1401100</v>
          </cell>
          <cell r="B783" t="str">
            <v>ขาเกล็ด 4x11 สีขาวอลู (888)</v>
          </cell>
          <cell r="C783">
            <v>47</v>
          </cell>
        </row>
        <row r="784">
          <cell r="A784" t="str">
            <v>E027070501G1401200</v>
          </cell>
          <cell r="B784" t="str">
            <v>ขาเกล็ด 4x12 สีขาวอลู (888)</v>
          </cell>
          <cell r="C784">
            <v>337</v>
          </cell>
        </row>
        <row r="785">
          <cell r="A785" t="str">
            <v>E027070502Z1401100</v>
          </cell>
          <cell r="B785" t="str">
            <v>ขาเกล็ด 4x11 สีชา (888)</v>
          </cell>
          <cell r="C785">
            <v>157</v>
          </cell>
        </row>
        <row r="786">
          <cell r="A786" t="str">
            <v>E027070502Z1401200</v>
          </cell>
          <cell r="B786" t="str">
            <v>ขาเกล็ด 4x12 สีชา (888)</v>
          </cell>
          <cell r="C786">
            <v>72</v>
          </cell>
        </row>
        <row r="787">
          <cell r="A787" t="str">
            <v>E028070501G1401100</v>
          </cell>
          <cell r="B787" t="str">
            <v>ขาเกล็ดบาร์โก้ สีขาวอลู 4x11 (ป้ายเหลือง)</v>
          </cell>
          <cell r="C787">
            <v>45</v>
          </cell>
        </row>
        <row r="788">
          <cell r="A788" t="str">
            <v>E028070501G1401200</v>
          </cell>
          <cell r="B788" t="str">
            <v>ขาเกล็ดบาร์โก้ สีขาวอลู 4x12 (ป้ายเหลือง)</v>
          </cell>
          <cell r="C788">
            <v>100</v>
          </cell>
        </row>
        <row r="789">
          <cell r="A789" t="str">
            <v>E028070501G2300001</v>
          </cell>
          <cell r="B789" t="str">
            <v>ฉากบน-ล่าง สีขาวอลู 30 นิ้ว รุ่นบาง</v>
          </cell>
          <cell r="C789">
            <v>0</v>
          </cell>
        </row>
        <row r="790">
          <cell r="A790" t="str">
            <v>E028070501G2300002</v>
          </cell>
          <cell r="B790" t="str">
            <v>ฉากบน-ล่าง สีขาวอลู 30 นิ้ว รุ่นหนา</v>
          </cell>
          <cell r="C790">
            <v>361</v>
          </cell>
        </row>
        <row r="791">
          <cell r="A791" t="str">
            <v>E028070501G2360001</v>
          </cell>
          <cell r="B791" t="str">
            <v>ฉากบน-ล่าง สีขาวอลู 36 นิ้ว รุ่นบาง</v>
          </cell>
          <cell r="C791">
            <v>26</v>
          </cell>
        </row>
        <row r="792">
          <cell r="A792" t="str">
            <v>E028070501G2360002</v>
          </cell>
          <cell r="B792" t="str">
            <v>ฉากบน-ล่าง สีขาวอลู 36 นิ้ว รุ่นหนา</v>
          </cell>
          <cell r="C792">
            <v>528</v>
          </cell>
        </row>
        <row r="793">
          <cell r="A793" t="str">
            <v>E028070501G4000000</v>
          </cell>
          <cell r="B793" t="str">
            <v>มือหมุน สีขาวอลู บาร์โก้</v>
          </cell>
          <cell r="C793">
            <v>727</v>
          </cell>
        </row>
        <row r="794">
          <cell r="A794" t="str">
            <v>E028070502G1401100</v>
          </cell>
          <cell r="B794" t="str">
            <v>ขาเกล็ดบาร์โก้ สีชา 4x11 (ป้ายเหลือง)</v>
          </cell>
          <cell r="C794">
            <v>6</v>
          </cell>
        </row>
        <row r="795">
          <cell r="A795" t="str">
            <v>E028070502G1401200</v>
          </cell>
          <cell r="B795" t="str">
            <v>ขาเกล็ดบาร์โก้ สีชา 4x12 (ป้ายเหลือง)</v>
          </cell>
          <cell r="C795">
            <v>15</v>
          </cell>
        </row>
        <row r="796">
          <cell r="A796" t="str">
            <v>E028070502G2300002</v>
          </cell>
          <cell r="B796" t="str">
            <v>ฉากบน-ล่าง สีชา 30 นิ้ว รุ่นหนา</v>
          </cell>
          <cell r="C796">
            <v>177</v>
          </cell>
        </row>
        <row r="797">
          <cell r="A797" t="str">
            <v>E028070502G4000000</v>
          </cell>
          <cell r="B797" t="str">
            <v>มือหมุน สีชา บาร์โก้</v>
          </cell>
          <cell r="C797">
            <v>140</v>
          </cell>
        </row>
        <row r="798">
          <cell r="A798" t="str">
            <v>E028070502Z2360002</v>
          </cell>
          <cell r="B798" t="str">
            <v>ฉากบน-ล่าง สีชา 36 นิ้ว รุ่นหนา</v>
          </cell>
          <cell r="C798">
            <v>823</v>
          </cell>
        </row>
        <row r="799">
          <cell r="A799" t="str">
            <v>E028070503G1401200</v>
          </cell>
          <cell r="B799" t="str">
            <v>ขาเกล็ดบาร์โก้ 4x12 สีดำ (ป้ายเขียว)</v>
          </cell>
          <cell r="C799">
            <v>12</v>
          </cell>
        </row>
        <row r="800">
          <cell r="A800" t="str">
            <v>E028070503G2360002</v>
          </cell>
          <cell r="B800" t="str">
            <v>ฉากบน-ล่าง 36 นิ้ว สีดำ หนา</v>
          </cell>
          <cell r="C800">
            <v>100</v>
          </cell>
        </row>
        <row r="801">
          <cell r="A801" t="str">
            <v>E028070503G4000000</v>
          </cell>
          <cell r="B801" t="str">
            <v>มือหมุน สีดำ บาร์โก้</v>
          </cell>
          <cell r="C801">
            <v>97</v>
          </cell>
        </row>
        <row r="802">
          <cell r="A802" t="str">
            <v>E028070504G1401100</v>
          </cell>
          <cell r="B802" t="str">
            <v>ขาเกล็ดบาร์โก้ สีอบขาว 4x11 (ป้ายเขียว)</v>
          </cell>
          <cell r="C802">
            <v>12</v>
          </cell>
        </row>
        <row r="803">
          <cell r="A803" t="str">
            <v>E028070504G1401200</v>
          </cell>
          <cell r="B803" t="str">
            <v>ขาเกล็ดบาร์โก้ สีอบขาว 4x12 (ป้ายเขียว)</v>
          </cell>
          <cell r="C803">
            <v>28</v>
          </cell>
        </row>
        <row r="804">
          <cell r="A804" t="str">
            <v>E028070504G2300002</v>
          </cell>
          <cell r="B804" t="str">
            <v>ฉากบน-ล่าง สีอบขาว 30 นิ้ว รุ่นหนา</v>
          </cell>
          <cell r="C804">
            <v>0</v>
          </cell>
        </row>
        <row r="805">
          <cell r="A805" t="str">
            <v>E028070504G2360002</v>
          </cell>
          <cell r="B805" t="str">
            <v>ฉากบน-ล่าง สีอบขาว 36 นิ้ว รุ่นหนา</v>
          </cell>
          <cell r="C805">
            <v>117</v>
          </cell>
        </row>
        <row r="806">
          <cell r="A806" t="str">
            <v>E028070504G4000000</v>
          </cell>
          <cell r="B806" t="str">
            <v xml:space="preserve">มือหมุน สีอบขาว บาร์โก้ </v>
          </cell>
          <cell r="C806">
            <v>98</v>
          </cell>
        </row>
        <row r="807">
          <cell r="A807" t="str">
            <v>E028090901I2200000</v>
          </cell>
          <cell r="B807" t="str">
            <v>ก้ามปูสี่เหลี่ยม สีขาวอลู BARCO</v>
          </cell>
          <cell r="C807">
            <v>370</v>
          </cell>
        </row>
        <row r="808">
          <cell r="A808" t="str">
            <v>E028151300P3000000</v>
          </cell>
          <cell r="B808" t="str">
            <v>บันได BARCO รุ่นหนา 3 ขั้น</v>
          </cell>
          <cell r="C808">
            <v>11</v>
          </cell>
        </row>
        <row r="809">
          <cell r="A809" t="str">
            <v>E028151300P5000000</v>
          </cell>
          <cell r="B809" t="str">
            <v>บันได BARCO รุ่นหนา 5 ขั้น</v>
          </cell>
          <cell r="C809">
            <v>59</v>
          </cell>
        </row>
        <row r="810">
          <cell r="A810" t="str">
            <v>E028151300P7000000</v>
          </cell>
          <cell r="B810" t="str">
            <v>บันได BARCO รุ่นหนา 7 ขั้น</v>
          </cell>
          <cell r="C810">
            <v>55</v>
          </cell>
        </row>
        <row r="811">
          <cell r="A811" t="str">
            <v>E028151300P9000000</v>
          </cell>
          <cell r="B811" t="str">
            <v>บันได BARCO รุ่นหนา 9 ขั้น</v>
          </cell>
          <cell r="C811">
            <v>9</v>
          </cell>
        </row>
        <row r="812">
          <cell r="A812" t="str">
            <v>E029131100M0103500</v>
          </cell>
          <cell r="B812" t="str">
            <v>หัวยางดูดกระจก 118 มม. หัวเดียว 35 กก. PUMPKIN #27310</v>
          </cell>
          <cell r="C812">
            <v>14</v>
          </cell>
        </row>
        <row r="813">
          <cell r="A813" t="str">
            <v>E029131100M0206000</v>
          </cell>
          <cell r="B813" t="str">
            <v xml:space="preserve">หัวยางดูดกระจก 118 มม. ก้านยาว สองหัว 60 กก. PUMPKIN #27311 </v>
          </cell>
          <cell r="C813">
            <v>23</v>
          </cell>
        </row>
        <row r="814">
          <cell r="A814" t="str">
            <v>E02914000000000000</v>
          </cell>
          <cell r="B814" t="str">
            <v>Tools ยี่ห้อ พัมคิน (กลุ่ม)</v>
          </cell>
          <cell r="C814">
            <v>0</v>
          </cell>
        </row>
        <row r="815">
          <cell r="A815" t="str">
            <v>E029141300N0500000</v>
          </cell>
          <cell r="B815" t="str">
            <v>ตลับเมตร 5 ม.x19มม. PUMPKIN #ND-5019</v>
          </cell>
          <cell r="C815">
            <v>0</v>
          </cell>
        </row>
        <row r="816">
          <cell r="A816" t="str">
            <v>E029141300N1012000</v>
          </cell>
          <cell r="B816" t="str">
            <v>ใบตัดอลูมิเนียม (JAPAN) ขนาด10x120T PUMPKIN #38158</v>
          </cell>
          <cell r="C816">
            <v>35</v>
          </cell>
        </row>
        <row r="817">
          <cell r="A817" t="str">
            <v>E029141300N1212000</v>
          </cell>
          <cell r="B817" t="str">
            <v>ใบตัดอลูมิเนียม (JAPAN) ขนาด 12x120T PUMPKIN #38160</v>
          </cell>
          <cell r="C817">
            <v>19</v>
          </cell>
        </row>
        <row r="818">
          <cell r="A818" t="str">
            <v>E029141300N1800001</v>
          </cell>
          <cell r="B818" t="str">
            <v>ใบมีดคัตเตอร์ใหญ่ 18 มม. (6 ใบ:หลอด) PUMPKIN #13101</v>
          </cell>
          <cell r="C818">
            <v>1309</v>
          </cell>
        </row>
        <row r="819">
          <cell r="A819" t="str">
            <v>E029141300N1800003</v>
          </cell>
          <cell r="B819" t="str">
            <v>มีดคัตเตอร์ใหญ่สปริง 18 มม. 2in1 PUMPKIN #13211</v>
          </cell>
          <cell r="C819">
            <v>9</v>
          </cell>
        </row>
        <row r="820">
          <cell r="A820" t="str">
            <v>E029141300Z1800002</v>
          </cell>
          <cell r="B820" t="str">
            <v>มีดคัตเตอร์ ขนาด 18 มม. PUMPKIN #12201</v>
          </cell>
          <cell r="C820">
            <v>1025</v>
          </cell>
        </row>
        <row r="821">
          <cell r="A821" t="str">
            <v>E029151300P0030000</v>
          </cell>
          <cell r="B821" t="str">
            <v>ค้อนช่างทองด้ามไม้ 300G PUMPKIN TX-MH300W</v>
          </cell>
          <cell r="C821">
            <v>24</v>
          </cell>
        </row>
        <row r="822">
          <cell r="A822" t="str">
            <v>E029151300P1021600</v>
          </cell>
          <cell r="B822" t="str">
            <v>ตลับเมตร 3.5 ม.x 16 มม. PUMPKIN #10216</v>
          </cell>
          <cell r="C822">
            <v>103</v>
          </cell>
        </row>
        <row r="823">
          <cell r="A823" t="str">
            <v>E029151300P1021700</v>
          </cell>
          <cell r="B823" t="str">
            <v>ตลับเมตร 5 ม.x 25 มม. PUMPKIN #10217</v>
          </cell>
          <cell r="C823">
            <v>60</v>
          </cell>
        </row>
        <row r="824">
          <cell r="A824" t="str">
            <v>E029151300P1211000</v>
          </cell>
          <cell r="B824" t="str">
            <v>มีดคัตเตอร์เล็ก (รองรับใบ 9 มม.) PUMPKIN #12110</v>
          </cell>
          <cell r="C824">
            <v>192</v>
          </cell>
        </row>
        <row r="825">
          <cell r="A825" t="str">
            <v>E029151300P1211700</v>
          </cell>
          <cell r="B825" t="str">
            <v>มีดคัตเตอร์ ตัวล็อคแบบหมุน (รองรับใบ 19 มม.) PUMPKIN #12117</v>
          </cell>
          <cell r="C825">
            <v>21</v>
          </cell>
        </row>
        <row r="826">
          <cell r="A826" t="str">
            <v>E029151300P1240500</v>
          </cell>
          <cell r="B826" t="str">
            <v>มีดคัตเตอร์สแตนเลสเล็ก (รองรับใบ 9 มม.) PUMPKIN #12405</v>
          </cell>
          <cell r="C826">
            <v>181</v>
          </cell>
        </row>
        <row r="827">
          <cell r="A827" t="str">
            <v>E029151300P1310600</v>
          </cell>
          <cell r="B827" t="str">
            <v>ใบมีดคัตเตอร์เล็ก 9 มม. (6 ใบ:หลอด) PUMPKIN #13106</v>
          </cell>
          <cell r="C827">
            <v>225</v>
          </cell>
        </row>
        <row r="828">
          <cell r="A828" t="str">
            <v>E029151300P1314900</v>
          </cell>
          <cell r="B828" t="str">
            <v>ดอกไขควงลมโอซาก้า S2 PH2-65 แพ็คคู่ 2 ดอก PUMPKIN #13149</v>
          </cell>
          <cell r="C828">
            <v>45</v>
          </cell>
        </row>
        <row r="829">
          <cell r="A829" t="str">
            <v>E029151300P1315300</v>
          </cell>
          <cell r="B829" t="str">
            <v>ตลับเมตร 5 ม.x 25 มม.  PUMPKIN รุ่น ANTZ-MAN #13153</v>
          </cell>
          <cell r="C829">
            <v>28</v>
          </cell>
        </row>
        <row r="830">
          <cell r="A830" t="str">
            <v>E029151300P1445200</v>
          </cell>
          <cell r="B830" t="str">
            <v>คีมปากจิ้งจก 7 นิ้ว PUMPKIN #14452</v>
          </cell>
          <cell r="C830">
            <v>19</v>
          </cell>
        </row>
        <row r="831">
          <cell r="A831" t="str">
            <v>E029151300P1445400</v>
          </cell>
          <cell r="B831" t="str">
            <v>คีมปากแหลม 6 นิ้ว PUMPKIN #14454</v>
          </cell>
          <cell r="C831">
            <v>37</v>
          </cell>
        </row>
        <row r="832">
          <cell r="A832" t="str">
            <v>E029151300P1445600</v>
          </cell>
          <cell r="B832" t="str">
            <v>คีมปากเฉียง 6 นิ้ว PUMPKIN #14456</v>
          </cell>
          <cell r="C832">
            <v>41</v>
          </cell>
        </row>
        <row r="833">
          <cell r="A833" t="str">
            <v>E029151300P1510500</v>
          </cell>
          <cell r="B833" t="str">
            <v>ดอกสว่านเจาะสแตนเลส 1/8 PUMPKIN #15105</v>
          </cell>
          <cell r="C833">
            <v>110</v>
          </cell>
        </row>
        <row r="834">
          <cell r="A834" t="str">
            <v>E029151300P1510600</v>
          </cell>
          <cell r="B834" t="str">
            <v>ดอกสว่านเจาะสแตนเลส 9/64 PUMPKIN #15106</v>
          </cell>
          <cell r="C834">
            <v>70</v>
          </cell>
        </row>
        <row r="835">
          <cell r="A835" t="str">
            <v>E029151300P1510900</v>
          </cell>
          <cell r="B835" t="str">
            <v>ดอกสว่านเจาะสแตนเลส 3/16 PUMPKIN #15109</v>
          </cell>
          <cell r="C835">
            <v>110</v>
          </cell>
        </row>
        <row r="836">
          <cell r="A836" t="str">
            <v>E029151300P1511300</v>
          </cell>
          <cell r="B836" t="str">
            <v>ดอกสว่านเจาะสแตนเลส 1/4 PUMPKIN #15113</v>
          </cell>
          <cell r="C836">
            <v>73</v>
          </cell>
        </row>
        <row r="837">
          <cell r="A837" t="str">
            <v>E029151300P1511700</v>
          </cell>
          <cell r="B837" t="str">
            <v>ดอกสว่านเจาะสแตนเลส 5/16 PUMPKIN #15117</v>
          </cell>
          <cell r="C837">
            <v>100</v>
          </cell>
        </row>
        <row r="838">
          <cell r="A838" t="str">
            <v>E029151300P1512100</v>
          </cell>
          <cell r="B838" t="str">
            <v>ดอกสว่านเจาะสแตนเลส 3/8 PUMPKIN #15121</v>
          </cell>
          <cell r="C838">
            <v>108</v>
          </cell>
        </row>
        <row r="839">
          <cell r="A839" t="str">
            <v>E029151300P1530400</v>
          </cell>
          <cell r="B839" t="str">
            <v>ดอกสว่านโคบอลต์ 3/32" PUMPKIN-PRO #15304</v>
          </cell>
          <cell r="C839">
            <v>177</v>
          </cell>
        </row>
        <row r="840">
          <cell r="A840" t="str">
            <v>E029151300P1530600</v>
          </cell>
          <cell r="B840" t="str">
            <v>ดอกสว่านโคบอลต์ 1/8" PUMPKIN-PRO #15306</v>
          </cell>
          <cell r="C840">
            <v>128</v>
          </cell>
        </row>
        <row r="841">
          <cell r="A841" t="str">
            <v>E029151300P1530700</v>
          </cell>
          <cell r="B841" t="str">
            <v>ดอกสว่านโคบอลต์ 9/64" PUMPKIN-PRO #15307</v>
          </cell>
          <cell r="C841">
            <v>108</v>
          </cell>
        </row>
        <row r="842">
          <cell r="A842" t="str">
            <v>E029151300P1530800</v>
          </cell>
          <cell r="B842" t="str">
            <v>ดอกสว่านโคบอลต์ 5/32" PUMPKIN-PRO #15308</v>
          </cell>
          <cell r="C842">
            <v>148</v>
          </cell>
        </row>
        <row r="843">
          <cell r="A843" t="str">
            <v>E029151300P1531000</v>
          </cell>
          <cell r="B843" t="str">
            <v>ดอกสว่านโคบอลต์ 3/16" PUMPKIN-PRO #15310</v>
          </cell>
          <cell r="C843">
            <v>146</v>
          </cell>
        </row>
        <row r="844">
          <cell r="A844" t="str">
            <v>E029151300P1531400</v>
          </cell>
          <cell r="B844" t="str">
            <v>ดอกสว่านโคบอลต์ 1/4" PUMPKIN-PRO #15314</v>
          </cell>
          <cell r="C844">
            <v>118</v>
          </cell>
        </row>
        <row r="845">
          <cell r="A845" t="str">
            <v>E029151300P1531800</v>
          </cell>
          <cell r="B845" t="str">
            <v>ดอกสว่านโคบอลต์ 5/16 PUMPKIN-PRO #15318</v>
          </cell>
          <cell r="C845">
            <v>176</v>
          </cell>
        </row>
        <row r="846">
          <cell r="A846" t="str">
            <v>E029151300P1532200</v>
          </cell>
          <cell r="B846" t="str">
            <v>ดอกสว่านโคบอลต์ 3/8" PUMPKIN-PRO #15322</v>
          </cell>
          <cell r="C846">
            <v>171</v>
          </cell>
        </row>
        <row r="847">
          <cell r="A847" t="str">
            <v>E029151300P1550700</v>
          </cell>
          <cell r="B847" t="str">
            <v>ดอกสว่านโรตารี่ 6.5x110 mm PUMPKIN #15507</v>
          </cell>
          <cell r="C847">
            <v>55</v>
          </cell>
        </row>
        <row r="848">
          <cell r="A848" t="str">
            <v>E029151300P1550800</v>
          </cell>
          <cell r="B848" t="str">
            <v>ดอกสว่านโรตารี่ 6.5x160 mm PUMPKIN #15508</v>
          </cell>
          <cell r="C848">
            <v>40</v>
          </cell>
        </row>
        <row r="849">
          <cell r="A849" t="str">
            <v>E029151300P1555100</v>
          </cell>
          <cell r="B849" t="str">
            <v>ดอกสว่านโรตารี่ หัวแฉก 5.5 x 160 มม.PUMPKIN #15551</v>
          </cell>
          <cell r="C849">
            <v>117</v>
          </cell>
        </row>
        <row r="850">
          <cell r="A850" t="str">
            <v>E029151300P1555300</v>
          </cell>
          <cell r="B850" t="str">
            <v>ดอกสว่านโรตารี่ หัวแฉก 6.5 x 110 มม.PUMPKIN #15553</v>
          </cell>
          <cell r="C850">
            <v>93</v>
          </cell>
        </row>
        <row r="851">
          <cell r="A851" t="str">
            <v>E029151300P1555400</v>
          </cell>
          <cell r="B851" t="str">
            <v>ดอกสว่านโรตารี่ หัวแฉก 6.5 x 160 มม.PUMPKIN #15554</v>
          </cell>
          <cell r="C851">
            <v>55</v>
          </cell>
        </row>
        <row r="852">
          <cell r="A852" t="str">
            <v>E029151300P1555500</v>
          </cell>
          <cell r="B852" t="str">
            <v>ดอกสว่านโรตารี่ หัวแฉก 7 x 110 มม.PUMPKIN #15555</v>
          </cell>
          <cell r="C852">
            <v>57</v>
          </cell>
        </row>
        <row r="853">
          <cell r="A853" t="str">
            <v>E029151300P1555700</v>
          </cell>
          <cell r="B853" t="str">
            <v>ดอกสว่านโรตารี่ หัวแฉก 8 x 160 มม.PUMPKIN #15557</v>
          </cell>
          <cell r="C853">
            <v>137</v>
          </cell>
        </row>
        <row r="854">
          <cell r="A854" t="str">
            <v>E029151300P1556500</v>
          </cell>
          <cell r="B854" t="str">
            <v>ดอกสว่านโรตารี่ หัวแฉก 5.5 x 110 มม.PUMPKIN #15565</v>
          </cell>
          <cell r="C854">
            <v>135</v>
          </cell>
        </row>
        <row r="855">
          <cell r="A855" t="str">
            <v>E029151300P1570100</v>
          </cell>
          <cell r="B855" t="str">
            <v>ดอกสว่านเจาะกระจก 1/4"x65 มม. PUMPKIN #15701</v>
          </cell>
          <cell r="C855">
            <v>27</v>
          </cell>
        </row>
        <row r="856">
          <cell r="A856" t="str">
            <v>E029151300P1570200</v>
          </cell>
          <cell r="B856" t="str">
            <v>ดอกสว่านเจาะกระจก 5/16"x70 มม. PUMPKIN #15702</v>
          </cell>
          <cell r="C856">
            <v>27</v>
          </cell>
        </row>
        <row r="857">
          <cell r="A857" t="str">
            <v>E029151300P1613300</v>
          </cell>
          <cell r="B857" t="str">
            <v>ชุดดอกสว่านเจาะเหล็ก 21pcs/set PTT-DS21IN PUMPKIN #16133</v>
          </cell>
          <cell r="C857">
            <v>3</v>
          </cell>
        </row>
        <row r="858">
          <cell r="A858" t="str">
            <v>E029151300P1613500</v>
          </cell>
          <cell r="B858" t="str">
            <v>ชุดดอกสว่านPilot Tip (mm.) PTT-M2/13M Xtrerme (13ชิ้น/ชุด) #16135</v>
          </cell>
          <cell r="C858">
            <v>1</v>
          </cell>
        </row>
        <row r="859">
          <cell r="A859" t="str">
            <v>E029151300P1720100</v>
          </cell>
          <cell r="B859" t="str">
            <v>ไขควงสลับ S2 PH2x6.35x40 PUMPKIN รุ่น FRANKEN-PLUS #17201</v>
          </cell>
          <cell r="C859">
            <v>96</v>
          </cell>
        </row>
        <row r="860">
          <cell r="A860" t="str">
            <v>E029151300P1720200</v>
          </cell>
          <cell r="B860" t="str">
            <v>ไขควงสลับ S2 PH2x6.35x100 PUMPKIN รุ่น FRANKEN-PLUS  #17202</v>
          </cell>
          <cell r="C860">
            <v>54</v>
          </cell>
        </row>
        <row r="861">
          <cell r="A861" t="str">
            <v>E029151300P1788000</v>
          </cell>
          <cell r="B861" t="str">
            <v>ไขควงลองไฟ AC100-500V PUMPKIN #17880</v>
          </cell>
          <cell r="C861">
            <v>29</v>
          </cell>
        </row>
        <row r="862">
          <cell r="A862" t="str">
            <v>E029151300P2001700</v>
          </cell>
          <cell r="B862" t="str">
            <v>น้ำมันอเนกประสงค์ หัวสเปรย์ 200 ML PUMPKIN #20017</v>
          </cell>
          <cell r="C862">
            <v>12</v>
          </cell>
        </row>
        <row r="863">
          <cell r="A863" t="str">
            <v>E029151300P2001800</v>
          </cell>
          <cell r="B863" t="str">
            <v>น้ำมันอเนกประสงค์ หัวสเปรย์ 400 ML PUMPKIN #20018</v>
          </cell>
          <cell r="C863">
            <v>7</v>
          </cell>
        </row>
        <row r="864">
          <cell r="A864" t="str">
            <v>E029151300P2230400</v>
          </cell>
          <cell r="B864" t="str">
            <v>ใบตัดเพชร บางพิเศษ 4 นิ้ว PUMPKIN #22304</v>
          </cell>
          <cell r="C864">
            <v>64</v>
          </cell>
        </row>
        <row r="865">
          <cell r="A865" t="str">
            <v>E029151300P2230500</v>
          </cell>
          <cell r="B865" t="str">
            <v>ใบตัดเพชร  4 นิ้ว SEGMENT TYPE GENERAL PURPOSE PUMPKIN #22305</v>
          </cell>
          <cell r="C865">
            <v>89</v>
          </cell>
        </row>
        <row r="866">
          <cell r="A866" t="str">
            <v>E029151300P2230600</v>
          </cell>
          <cell r="B866" t="str">
            <v>ใบตัดเพชร/คอนกรีต 4 นิ้ว PUMPKIN #22306</v>
          </cell>
          <cell r="C866">
            <v>106</v>
          </cell>
        </row>
        <row r="867">
          <cell r="A867" t="str">
            <v>E029151300P2510700</v>
          </cell>
          <cell r="B867" t="str">
            <v>คีมล็อกปากตรง+หัวขันน็อต 10 นิ้ว PUMPKIN #25107</v>
          </cell>
          <cell r="C867">
            <v>17</v>
          </cell>
        </row>
        <row r="868">
          <cell r="A868" t="str">
            <v>E029151300P2643600</v>
          </cell>
          <cell r="B868" t="str">
            <v>อุปกรณ์เพิ่ม/ลดแรงดึงดูดแม่เหล็ก PTT-MN PUMPKIN #26436</v>
          </cell>
          <cell r="C868">
            <v>12</v>
          </cell>
        </row>
        <row r="869">
          <cell r="A869" t="str">
            <v>E029151300P2820500</v>
          </cell>
          <cell r="B869" t="str">
            <v>ระดับน้ำ รุ่นแม่เหล็ก 24 นิ้ว PUMPKIN #28205</v>
          </cell>
          <cell r="C869">
            <v>39</v>
          </cell>
        </row>
        <row r="870">
          <cell r="A870" t="str">
            <v>E029151300P2821100</v>
          </cell>
          <cell r="B870" t="str">
            <v>ระดับน้ำ รุ่นแม่เหล็ก 12 นิ้ว PUMPKIN #28211</v>
          </cell>
          <cell r="C870">
            <v>40</v>
          </cell>
        </row>
        <row r="871">
          <cell r="A871" t="str">
            <v>E029151300P2824400</v>
          </cell>
          <cell r="B871" t="str">
            <v>ระดับน้ำ 9 นิ้ว อย่างหนา PUMPKIN #28244</v>
          </cell>
          <cell r="C871">
            <v>79</v>
          </cell>
        </row>
        <row r="872">
          <cell r="A872" t="str">
            <v>E029151300P2825400</v>
          </cell>
          <cell r="B872" t="str">
            <v>ขาตั้ง 3 ขาสีส้ม 1.5 M PTT-TP150 PUMPKIN #28254</v>
          </cell>
          <cell r="C872">
            <v>0</v>
          </cell>
        </row>
        <row r="873">
          <cell r="A873" t="str">
            <v>E029151300P2825900</v>
          </cell>
          <cell r="B873" t="str">
            <v>เครื่องวัดระดับเลเซอร์ แบตในตัวแสงเขียวx พร้อมขาตั้งx PUMPKIN #28259</v>
          </cell>
          <cell r="C873">
            <v>2</v>
          </cell>
        </row>
        <row r="874">
          <cell r="A874" t="str">
            <v>E029151300P2826900</v>
          </cell>
          <cell r="B874" t="str">
            <v>เครื่องวัดระดับเลเซอร์ 5 เส้น PTT-H-LSR5L พร้อมขาตั้ง PUMPKIN #28269</v>
          </cell>
          <cell r="C874">
            <v>11</v>
          </cell>
        </row>
        <row r="875">
          <cell r="A875" t="str">
            <v>E029151300P2836300</v>
          </cell>
          <cell r="B875" t="str">
            <v>เครื่องวัดระยะเลเซอร์ 40 เมตร PUMPKIN #28363</v>
          </cell>
          <cell r="C875">
            <v>16</v>
          </cell>
        </row>
        <row r="876">
          <cell r="A876" t="str">
            <v>E029151300P2840100</v>
          </cell>
          <cell r="B876" t="str">
            <v>บักเต้าใหญ่ตีเส้น-F PUMPKIN #28401-F</v>
          </cell>
          <cell r="C876">
            <v>28</v>
          </cell>
        </row>
        <row r="877">
          <cell r="A877" t="str">
            <v>E029151300P2913300</v>
          </cell>
          <cell r="B877" t="str">
            <v>ค้อนหงอน 27 mm. ด้ามไฟเบอร์ PUMPKIN #29133</v>
          </cell>
          <cell r="C877">
            <v>10</v>
          </cell>
        </row>
        <row r="878">
          <cell r="A878" t="str">
            <v>E029151300P2951600</v>
          </cell>
          <cell r="B878" t="str">
            <v>กรรไกรตัดเหล็กอเนกประสงค์ สแตนเลส PTT-08USS PUMPKIN #29516</v>
          </cell>
          <cell r="C878">
            <v>106</v>
          </cell>
        </row>
        <row r="879">
          <cell r="A879" t="str">
            <v>E029151300P2952400</v>
          </cell>
          <cell r="B879" t="str">
            <v>กรรไกรตัดเหล็กแผ่นปากตรง 10 นิ้ว PUMPKIN #29524</v>
          </cell>
          <cell r="C879">
            <v>4</v>
          </cell>
        </row>
        <row r="880">
          <cell r="A880" t="str">
            <v>E029151300P2952900</v>
          </cell>
          <cell r="B880" t="str">
            <v>กรรไกรตัดเหล็ก/สังกะสี ทรงอังกฤษ 10 นิ้ว PUMPKIN #29529</v>
          </cell>
          <cell r="C880">
            <v>21</v>
          </cell>
        </row>
        <row r="881">
          <cell r="A881" t="str">
            <v>E029151300P2953000</v>
          </cell>
          <cell r="B881" t="str">
            <v>กรรไกรตัดเหล็ก/สังกะสี ทรงอังกฤษ 12 นิ้ว  PUMPKIN#29530</v>
          </cell>
          <cell r="C881">
            <v>38</v>
          </cell>
        </row>
        <row r="882">
          <cell r="A882" t="str">
            <v>E029151300P2953100</v>
          </cell>
          <cell r="B882" t="str">
            <v>กรรไกรตัดเหล็ก/สังกะสี ทรงอังกฤษ 14 นิ้ว PUMPKIN #29531</v>
          </cell>
          <cell r="C882">
            <v>47</v>
          </cell>
        </row>
        <row r="883">
          <cell r="A883" t="str">
            <v>E029151300P2976000</v>
          </cell>
          <cell r="B883" t="str">
            <v>ค้อนไม้ 60 มม.PUMPKIN #29760</v>
          </cell>
          <cell r="C883">
            <v>49</v>
          </cell>
        </row>
        <row r="884">
          <cell r="A884" t="str">
            <v>E029151300P3120600</v>
          </cell>
          <cell r="B884" t="str">
            <v>คีมย้ำลดแรง 8 นิ้ว PUMPKIN #31206</v>
          </cell>
          <cell r="C884">
            <v>11</v>
          </cell>
        </row>
        <row r="885">
          <cell r="A885" t="str">
            <v>E029151300P3210300</v>
          </cell>
          <cell r="B885" t="str">
            <v>โครงเลื่อยตัดเหล็ก 12 นิ้ว PUMPKIN #32103</v>
          </cell>
          <cell r="C885">
            <v>91</v>
          </cell>
        </row>
        <row r="886">
          <cell r="A886" t="str">
            <v>E029151300P3364000</v>
          </cell>
          <cell r="B886" t="str">
            <v>กรรไกรตัดอเนกประสงค์ 10 นิ้ว ปากเฉียง PRO-21MS PUMPKIN #33640</v>
          </cell>
          <cell r="C886">
            <v>11</v>
          </cell>
        </row>
        <row r="887">
          <cell r="A887" t="str">
            <v>E029151300P3521500</v>
          </cell>
          <cell r="B887" t="str">
            <v>เวอร์เนียร์พลาสติก 6 นิ้ว 150-PTTVCP PUMPKIN #35215</v>
          </cell>
          <cell r="C887">
            <v>26</v>
          </cell>
        </row>
        <row r="888">
          <cell r="A888" t="str">
            <v>E029151300P4424100</v>
          </cell>
          <cell r="B888" t="str">
            <v>โฮลซอเจาะเหล็ก 16 มม. PUMPKIN #44241</v>
          </cell>
          <cell r="C888">
            <v>17</v>
          </cell>
        </row>
        <row r="889">
          <cell r="A889" t="str">
            <v>E029151300P4424200</v>
          </cell>
          <cell r="B889" t="str">
            <v>โฮลซอเจาะเหล็ก 19 มม. PUMPKIN #44242</v>
          </cell>
          <cell r="C889">
            <v>18</v>
          </cell>
        </row>
        <row r="890">
          <cell r="A890" t="str">
            <v>E029151300P4424300</v>
          </cell>
          <cell r="B890" t="str">
            <v>โฮลซอเจาะเหล็ก 20 มม. PUMPKIN #44243</v>
          </cell>
          <cell r="C890">
            <v>20</v>
          </cell>
        </row>
        <row r="891">
          <cell r="A891" t="str">
            <v>E029151300P4424400</v>
          </cell>
          <cell r="B891" t="str">
            <v>โฮลซอเจาะเหล็ก 21 มม. PUMPKIN #44244</v>
          </cell>
          <cell r="C891">
            <v>18</v>
          </cell>
        </row>
        <row r="892">
          <cell r="A892" t="str">
            <v>E029151300P4424600</v>
          </cell>
          <cell r="B892" t="str">
            <v>โฮลซอเจาะเหล็ก 25 มม. PUMPKIN #44246</v>
          </cell>
          <cell r="C892">
            <v>14</v>
          </cell>
        </row>
        <row r="893">
          <cell r="A893" t="str">
            <v>E029151300P4434100</v>
          </cell>
          <cell r="B893" t="str">
            <v>เครื่องเจียรมือ 4 นิ้ว H-G954 PUMPKIN #44341</v>
          </cell>
          <cell r="C893">
            <v>7</v>
          </cell>
        </row>
        <row r="894">
          <cell r="A894" t="str">
            <v>E029151300P4465300</v>
          </cell>
          <cell r="B894" t="str">
            <v>ประแจแหวนข้างปากตายยาวพิเศษ 8 มม. PUMPKIN #44653</v>
          </cell>
          <cell r="C894">
            <v>53</v>
          </cell>
        </row>
        <row r="895">
          <cell r="A895" t="str">
            <v>E029151300P4465500</v>
          </cell>
          <cell r="B895" t="str">
            <v>ประแจแหวนข้างปากตายยาวพิเศษ 10 มม. PUMPKIN #44655</v>
          </cell>
          <cell r="C895">
            <v>19</v>
          </cell>
        </row>
        <row r="896">
          <cell r="A896" t="str">
            <v>E029151300P4465700</v>
          </cell>
          <cell r="B896" t="str">
            <v>ประแจแหวนข้างปากตายยาวพิเศษ 12 มม. PUMPKIN #44657</v>
          </cell>
          <cell r="C896">
            <v>46</v>
          </cell>
        </row>
        <row r="897">
          <cell r="A897" t="str">
            <v>E029151300P4465800</v>
          </cell>
          <cell r="B897" t="str">
            <v>ประแจแหวนข้างปากตายยาวพิเศษ 13 มม. PUMPKIN #44658</v>
          </cell>
          <cell r="C897">
            <v>49</v>
          </cell>
        </row>
        <row r="898">
          <cell r="A898" t="str">
            <v>E029151300P4465900</v>
          </cell>
          <cell r="B898" t="str">
            <v>ประแจแหวนข้างปากตายยาวพิเศษ 14 มม. PUMPKIN #44659</v>
          </cell>
          <cell r="C898">
            <v>49</v>
          </cell>
        </row>
        <row r="899">
          <cell r="A899" t="str">
            <v>E029151300P4504000</v>
          </cell>
          <cell r="B899" t="str">
            <v>สว่านโรตารี่ 26 มม. PUMPKIN รุ่น HOME #45040</v>
          </cell>
          <cell r="C899">
            <v>20</v>
          </cell>
        </row>
        <row r="900">
          <cell r="A900" t="str">
            <v>E029151300P5011500</v>
          </cell>
          <cell r="B900" t="str">
            <v>เครื่องเลื่อยองศา 10 นิ้ว PUMPKIN รุ่น J-Series #50115</v>
          </cell>
          <cell r="C900">
            <v>0</v>
          </cell>
        </row>
        <row r="901">
          <cell r="A901" t="str">
            <v>E029151300P5016500</v>
          </cell>
          <cell r="B901" t="str">
            <v>แท่นไฟเบอร์ตัดเหล็ก 14 นิ้ว PUMPKIN รุ่น J-Series #50165</v>
          </cell>
          <cell r="C901">
            <v>1</v>
          </cell>
        </row>
        <row r="902">
          <cell r="A902" t="str">
            <v>E029151300P5020800</v>
          </cell>
          <cell r="B902" t="str">
            <v>สว่านกระแทกไร้สาย 12V PUMPKIN รุ่น J-Series #50208</v>
          </cell>
          <cell r="C902">
            <v>3</v>
          </cell>
        </row>
        <row r="903">
          <cell r="A903" t="str">
            <v>E029151300P5021000</v>
          </cell>
          <cell r="B903" t="str">
            <v>สว่านกระแทกไร้สาย ไร้แปรงถ่าน 12V PUMPKIN รุ่น J-Series #50210</v>
          </cell>
          <cell r="C903">
            <v>2</v>
          </cell>
        </row>
        <row r="904">
          <cell r="A904" t="str">
            <v>E029151300P5021100</v>
          </cell>
          <cell r="B904" t="str">
            <v>สว่านไฟฟ้า 2 หุน 65 มม.450W J-D6538 PUMPKIN #50211</v>
          </cell>
          <cell r="C904">
            <v>8</v>
          </cell>
        </row>
        <row r="905">
          <cell r="A905" t="str">
            <v>E029151300P5021415</v>
          </cell>
          <cell r="B905" t="str">
            <v>สว่านไร้สาย 12V  PUMPKIN รุ่น J-Series #50214-15B2</v>
          </cell>
          <cell r="C905">
            <v>8</v>
          </cell>
        </row>
        <row r="906">
          <cell r="A906" t="str">
            <v>E029151300P5023600</v>
          </cell>
          <cell r="B906" t="str">
            <v xml:space="preserve">สว่านไฟฟ้ากระแทกพร้อมชุดเครื่องมือ 16 มม.710W (97ชิ้น) PUMPKIN #50236 </v>
          </cell>
          <cell r="C906">
            <v>10</v>
          </cell>
        </row>
        <row r="907">
          <cell r="A907" t="str">
            <v>E029151300P5025800</v>
          </cell>
          <cell r="B907" t="str">
            <v>สว่านโรตารี่ไร้สาย ไร้แปรงถ่าน 26 มม. 20V Li-ion INFINITY POWER PUMPKIN #50258</v>
          </cell>
          <cell r="C907">
            <v>10</v>
          </cell>
        </row>
        <row r="908">
          <cell r="A908" t="str">
            <v>E029151300P5026100</v>
          </cell>
          <cell r="B908" t="str">
            <v>สว่านไขควงกระแทกไร้สาย (ไร้แปรงถ่าน) 1/4 นิ้ว 20V PUMPKIN #50261</v>
          </cell>
          <cell r="C908">
            <v>5</v>
          </cell>
        </row>
        <row r="909">
          <cell r="A909" t="str">
            <v>E029151300P5026300</v>
          </cell>
          <cell r="B909" t="str">
            <v>แบตเตอรี่ลิเธียมไอออน 20V 2.0Ah (ใช้กับเครื่องมือไร้สาย) PUMPKIN #50263</v>
          </cell>
          <cell r="C909">
            <v>8</v>
          </cell>
        </row>
        <row r="910">
          <cell r="A910" t="str">
            <v>E029151300P5026500</v>
          </cell>
          <cell r="B910" t="str">
            <v>เครื่องชาร์จแบต XPLUS P20V (ใช้กับเครื่องมือไร้สาย) PUMPKIN #50265</v>
          </cell>
          <cell r="C910">
            <v>6</v>
          </cell>
        </row>
        <row r="911">
          <cell r="A911" t="str">
            <v>E029151300P5027700</v>
          </cell>
          <cell r="B911" t="str">
            <v>เจียรมือ 4 นิ้ว J-G4750W PUMPKIN รุ่น J-Series #50277</v>
          </cell>
          <cell r="C911">
            <v>40</v>
          </cell>
        </row>
        <row r="912">
          <cell r="A912" t="str">
            <v>E029151300P5027900</v>
          </cell>
          <cell r="B912" t="str">
            <v>เจียรมือ 4 นิ้ว 800W J-G9531 PUMPKIN #50279</v>
          </cell>
          <cell r="C912">
            <v>9</v>
          </cell>
        </row>
        <row r="913">
          <cell r="A913" t="str">
            <v>E029151300P5029700</v>
          </cell>
          <cell r="B913" t="str">
            <v>แบตเตอรี่ลิเธียมไอออน 5 Ah (แอมป์อาวว์) P20V-B5A PUMPKIN #50297</v>
          </cell>
          <cell r="C913">
            <v>5</v>
          </cell>
        </row>
        <row r="914">
          <cell r="A914" t="str">
            <v>E029151300P5030000</v>
          </cell>
          <cell r="B914" t="str">
            <v>เครื่องเป่าลม 600 วัตต์ PUMPKIN #50300</v>
          </cell>
          <cell r="C914">
            <v>5</v>
          </cell>
        </row>
        <row r="915">
          <cell r="A915" t="str">
            <v>E029151300P5033500</v>
          </cell>
          <cell r="B915" t="str">
            <v>เครื่องยิงรีเวทไร้สาย 20V จับดอก 3.2-5 มม. PUMPKIN #50335</v>
          </cell>
          <cell r="C915">
            <v>13</v>
          </cell>
        </row>
        <row r="916">
          <cell r="A916" t="str">
            <v>E029151300P5110500</v>
          </cell>
          <cell r="B916" t="str">
            <v>ตะไบพร้อมด้าม แบน ละเอียด 6 นิ้ว  PUMPKIN #51105</v>
          </cell>
          <cell r="C916">
            <v>7</v>
          </cell>
        </row>
        <row r="917">
          <cell r="A917" t="str">
            <v>E029151300P5111300</v>
          </cell>
          <cell r="B917" t="str">
            <v>ตะไบพร้อมด้ามท้องปลิงละเอียด 6 นิ้ว PUMPKIN #51113</v>
          </cell>
          <cell r="C917">
            <v>13</v>
          </cell>
        </row>
        <row r="918">
          <cell r="A918" t="str">
            <v>E029151300P5112100</v>
          </cell>
          <cell r="B918" t="str">
            <v>ตะไบพร้อมด้าม กลม ละเอียด 6 นิ้ว  PUMPKIN #51121</v>
          </cell>
          <cell r="C918">
            <v>28</v>
          </cell>
        </row>
        <row r="919">
          <cell r="A919" t="str">
            <v>E029151300P6101700</v>
          </cell>
          <cell r="B919" t="str">
            <v>บ็อกซ์ตัว T Cr-V 8 มม PUMPKIN #61017</v>
          </cell>
          <cell r="C919">
            <v>36</v>
          </cell>
        </row>
        <row r="920">
          <cell r="A920" t="str">
            <v>E029151300P6101900</v>
          </cell>
          <cell r="B920" t="str">
            <v>บ็อกซ์ตัว T Cr-V 10 มม PUMPKIN #61019</v>
          </cell>
          <cell r="C920">
            <v>36</v>
          </cell>
        </row>
        <row r="921">
          <cell r="A921" t="str">
            <v>E029151300P6102200</v>
          </cell>
          <cell r="B921" t="str">
            <v>บ็อกซ์ตัว T Cr-V 13 มม PUMPKIN #61022</v>
          </cell>
          <cell r="C921">
            <v>12</v>
          </cell>
        </row>
        <row r="922">
          <cell r="A922" t="str">
            <v>E029151300P6102800</v>
          </cell>
          <cell r="B922" t="str">
            <v>ดอกไขควงลม (คอยาว 13 มม) PH2-65 PUMPKIN #61028</v>
          </cell>
          <cell r="C922">
            <v>20</v>
          </cell>
        </row>
        <row r="923">
          <cell r="A923" t="str">
            <v>E029151300P6103800</v>
          </cell>
          <cell r="B923" t="str">
            <v>ดอกไขควงลมโอซาก้า S2 ลดแรงกระแทก PH265 PTT-IM2-65 (2ดอก/แผง) #61038</v>
          </cell>
          <cell r="C923">
            <v>0</v>
          </cell>
        </row>
        <row r="924">
          <cell r="A924" t="str">
            <v>E029151300P6104000</v>
          </cell>
          <cell r="B924" t="str">
            <v>ดอกไขควงลมโอซาก้า S2 (10 ดอก) PUMPKIN #61040</v>
          </cell>
          <cell r="C924">
            <v>25</v>
          </cell>
        </row>
        <row r="925">
          <cell r="A925" t="str">
            <v>E029151300P6109000</v>
          </cell>
          <cell r="B925" t="str">
            <v>บ็อกซ์ตัว T ก้านสั้น 8 มม. PUMPKIN #61090</v>
          </cell>
          <cell r="C925">
            <v>5</v>
          </cell>
        </row>
        <row r="926">
          <cell r="A926" t="str">
            <v>E029151300P6109200</v>
          </cell>
          <cell r="B926" t="str">
            <v>บ็อกซ์ตัว T ก้านสั้น 10 มม. PUMPKIN #61092</v>
          </cell>
          <cell r="C926">
            <v>12</v>
          </cell>
        </row>
        <row r="927">
          <cell r="A927" t="str">
            <v>E029151300P6109400</v>
          </cell>
          <cell r="B927" t="str">
            <v>บ็อกซ์ตัว T ก้านสั้น 12 มม. PUMPKIN #61094</v>
          </cell>
          <cell r="C927">
            <v>33</v>
          </cell>
        </row>
        <row r="928">
          <cell r="A928" t="str">
            <v>E029151300P6109500</v>
          </cell>
          <cell r="B928" t="str">
            <v>บ็อกซ์ตัว T ก้านสั้น 13 มม. PUMPKIN #61095</v>
          </cell>
          <cell r="C928">
            <v>33</v>
          </cell>
        </row>
        <row r="929">
          <cell r="A929" t="str">
            <v>E029151300P6109600</v>
          </cell>
          <cell r="B929" t="str">
            <v>บ็อกซ์ตัว T ก้านสั้น 14 มม. PUMPKIN #61096</v>
          </cell>
          <cell r="C929">
            <v>27</v>
          </cell>
        </row>
        <row r="930">
          <cell r="A930" t="str">
            <v>E029151300P7311800</v>
          </cell>
          <cell r="B930" t="str">
            <v>กาวร้อน คุณภาพสูง PUMPKIN รุ่น PTT-GIANTBOND #73118</v>
          </cell>
          <cell r="C930">
            <v>21</v>
          </cell>
        </row>
        <row r="931">
          <cell r="A931" t="str">
            <v>E029151316P2311600</v>
          </cell>
          <cell r="B931" t="str">
            <v>ใบตัดเพชร 4 นิ้ว เทอร์โบบาง สีส้ม PUMPKIN #23116</v>
          </cell>
          <cell r="C931">
            <v>100</v>
          </cell>
        </row>
        <row r="932">
          <cell r="A932" t="str">
            <v>E030070501G1401100</v>
          </cell>
          <cell r="B932" t="str">
            <v xml:space="preserve">ขาเกล็ดไทยกล้า สีขาวอลู 4x11 </v>
          </cell>
          <cell r="C932">
            <v>53</v>
          </cell>
        </row>
        <row r="933">
          <cell r="A933" t="str">
            <v>E030070501G1401200</v>
          </cell>
          <cell r="B933" t="str">
            <v>ขาเกล็ดไทยกล้า สีขาวอลู 4x12</v>
          </cell>
          <cell r="C933">
            <v>8</v>
          </cell>
        </row>
        <row r="934">
          <cell r="A934" t="str">
            <v>E030070501G4000000</v>
          </cell>
          <cell r="B934" t="str">
            <v>มือหมุน สีขาวอลู ไทยกล้า</v>
          </cell>
          <cell r="C934">
            <v>23</v>
          </cell>
        </row>
        <row r="935">
          <cell r="A935" t="str">
            <v>E030070501Z1451000</v>
          </cell>
          <cell r="B935" t="str">
            <v>ขาเกล็ด ไทยกล้า สีขาวอลู 4 1/2x10</v>
          </cell>
          <cell r="C935">
            <v>12</v>
          </cell>
        </row>
        <row r="936">
          <cell r="A936" t="str">
            <v>E030070502Z1401100</v>
          </cell>
          <cell r="B936" t="str">
            <v>ขาเกล็ดไทยกล้า สีชา 4x11</v>
          </cell>
          <cell r="C936">
            <v>10</v>
          </cell>
        </row>
        <row r="937">
          <cell r="A937" t="str">
            <v>E030070502Z1401200</v>
          </cell>
          <cell r="B937" t="str">
            <v>ขาเกล็ดไทยกล้า สีชา 4x12</v>
          </cell>
          <cell r="C937">
            <v>69</v>
          </cell>
        </row>
        <row r="938">
          <cell r="A938" t="str">
            <v>E031070501G4000000</v>
          </cell>
          <cell r="B938" t="str">
            <v>มือหมุน สีขาวอลู ก.ไก่</v>
          </cell>
          <cell r="C938">
            <v>0</v>
          </cell>
        </row>
        <row r="939">
          <cell r="A939" t="str">
            <v>E03207000000000000</v>
          </cell>
          <cell r="B939" t="str">
            <v>ขาเกล็ด ยี่ห้อ สามศร (กลุ่ม)</v>
          </cell>
          <cell r="C939">
            <v>0</v>
          </cell>
        </row>
        <row r="940">
          <cell r="A940" t="str">
            <v>E032070501G3401100</v>
          </cell>
          <cell r="B940" t="str">
            <v>ชุดขาเกล็ดสามศร สีขาวอลู 4x11</v>
          </cell>
          <cell r="C940">
            <v>45</v>
          </cell>
        </row>
        <row r="941">
          <cell r="A941" t="str">
            <v>E032070501G3401200</v>
          </cell>
          <cell r="B941" t="str">
            <v>ชุดขาเกล็ดสามศร สีขาวอลู 4x12</v>
          </cell>
          <cell r="C941">
            <v>3</v>
          </cell>
        </row>
        <row r="942">
          <cell r="A942" t="str">
            <v>E032070501G4000000</v>
          </cell>
          <cell r="B942" t="str">
            <v>มือหมุน สีขาวอลู สามศร</v>
          </cell>
          <cell r="C942">
            <v>0</v>
          </cell>
        </row>
        <row r="943">
          <cell r="A943" t="str">
            <v>E032070501Z3451000</v>
          </cell>
          <cell r="B943" t="str">
            <v>ชุดขาเกล็ดสามศร สีขาวอลู 4 1/2x10</v>
          </cell>
          <cell r="C943">
            <v>3</v>
          </cell>
        </row>
        <row r="944">
          <cell r="A944" t="str">
            <v>E032070502G3401000</v>
          </cell>
          <cell r="B944" t="str">
            <v>ชุดขาเกล็ด สามศร สีชา 4x10</v>
          </cell>
          <cell r="C944">
            <v>0</v>
          </cell>
        </row>
        <row r="945">
          <cell r="A945" t="str">
            <v>E032070502G3401100</v>
          </cell>
          <cell r="B945" t="str">
            <v>ชุดขาเกล็ด สามศร สีชา 4x11</v>
          </cell>
          <cell r="C945">
            <v>36</v>
          </cell>
        </row>
        <row r="946">
          <cell r="A946" t="str">
            <v>E032070502G3401200</v>
          </cell>
          <cell r="B946" t="str">
            <v>ชุดขาเกล็ด สามศร สีชา 4x12</v>
          </cell>
          <cell r="C946">
            <v>17</v>
          </cell>
        </row>
        <row r="947">
          <cell r="A947" t="str">
            <v>E032070502G3401500</v>
          </cell>
          <cell r="B947" t="str">
            <v>ชุดขาเกล็ด สามศร สีชา 4x15</v>
          </cell>
          <cell r="C947">
            <v>8</v>
          </cell>
        </row>
        <row r="948">
          <cell r="A948" t="str">
            <v>E032070502G4000000</v>
          </cell>
          <cell r="B948" t="str">
            <v>มือหมุน สีชา สามศร</v>
          </cell>
          <cell r="C948">
            <v>46</v>
          </cell>
        </row>
        <row r="949">
          <cell r="A949" t="str">
            <v>E032070503G3401100</v>
          </cell>
          <cell r="B949" t="str">
            <v>ชุดขาเกล็ด สามศร สีดำ 4x11</v>
          </cell>
          <cell r="C949">
            <v>0</v>
          </cell>
        </row>
        <row r="950">
          <cell r="A950" t="str">
            <v>E032070503G3401200</v>
          </cell>
          <cell r="B950" t="str">
            <v>ชุดขาเกล็ด สามศร สีดำ 4x12</v>
          </cell>
          <cell r="C950">
            <v>0</v>
          </cell>
        </row>
        <row r="951">
          <cell r="A951" t="str">
            <v>E032070503G3401500</v>
          </cell>
          <cell r="B951" t="str">
            <v>ชุดขาเกล็ด สามศร สีดำ 4x15</v>
          </cell>
          <cell r="C951">
            <v>13</v>
          </cell>
        </row>
        <row r="952">
          <cell r="A952" t="str">
            <v>E032070504G3401100</v>
          </cell>
          <cell r="B952" t="str">
            <v>ชุดขาเกล็ด สามศร สีอบขาว 4x11</v>
          </cell>
          <cell r="C952">
            <v>5</v>
          </cell>
        </row>
        <row r="953">
          <cell r="A953" t="str">
            <v>E032070504G3401200</v>
          </cell>
          <cell r="B953" t="str">
            <v>ชุดขาเกล็ด สามศร สีอบขาว 4x12</v>
          </cell>
          <cell r="C953">
            <v>6</v>
          </cell>
        </row>
        <row r="954">
          <cell r="A954" t="str">
            <v>E033040100D0057500</v>
          </cell>
          <cell r="B954" t="str">
            <v>น็อต M5x75 mm. KL (ของแถม 2:1 ตัว) ใช้กับมือจับ MZS20,MZS320 (แถม)</v>
          </cell>
          <cell r="C954">
            <v>0</v>
          </cell>
        </row>
        <row r="955">
          <cell r="A955" t="str">
            <v>E033040100D8810000</v>
          </cell>
          <cell r="B955" t="str">
            <v>แกนเหลี่ยม 8x8x100 mm. KL (ของแถม 1:1 ตัว) ใช้กับมือจับ MZS20,MZS320 (แถม)</v>
          </cell>
          <cell r="C955">
            <v>0</v>
          </cell>
        </row>
        <row r="956">
          <cell r="A956" t="str">
            <v>E033040103D0002000</v>
          </cell>
          <cell r="B956" t="str">
            <v>EURO มือจับก้านโยกกุญแจ สีดำ KL #MZS20 (ซื้อ)</v>
          </cell>
          <cell r="C956">
            <v>0</v>
          </cell>
        </row>
        <row r="957">
          <cell r="A957" t="str">
            <v>E033040103D0002001</v>
          </cell>
          <cell r="B957" t="str">
            <v>EURO มือจับก้านโยกกุญแจ สีดำ KL #MZS20 พร้อมแกนเหลี่ยม 1 ตัว, น็อต 2 ตัว</v>
          </cell>
          <cell r="C957">
            <v>32</v>
          </cell>
        </row>
        <row r="958">
          <cell r="A958" t="str">
            <v>E033040103D0032000</v>
          </cell>
          <cell r="B958" t="str">
            <v>EURO มือจับก้านโยกดัมมี่ สีดำ KL #MZS320 (ซื้อ)</v>
          </cell>
          <cell r="C958">
            <v>0</v>
          </cell>
        </row>
        <row r="959">
          <cell r="A959" t="str">
            <v>E033040103D0032001</v>
          </cell>
          <cell r="B959" t="str">
            <v>EURO มือจับก้านโยกดัมมี่ สีดำ KL #MZS320 พร้อมแกนเหลี่ยม 1 ตัว, น็อต 2 ตัว</v>
          </cell>
          <cell r="C959">
            <v>24</v>
          </cell>
        </row>
        <row r="960">
          <cell r="A960" t="str">
            <v>E033040104D0002000</v>
          </cell>
          <cell r="B960" t="str">
            <v>EURO มือจับก้านโยกกุญแจ สีอบขาว KL #MZS20 (ซื้อ)</v>
          </cell>
          <cell r="C960">
            <v>0</v>
          </cell>
        </row>
        <row r="961">
          <cell r="A961" t="str">
            <v>E033040104D0002001</v>
          </cell>
          <cell r="B961" t="str">
            <v>EURO มือจับก้านโยกกุญแจ สีอบขาว KL #MZS20 พร้อมแกนเหลี่ยม 1 ตัว, น็อต 2 ตัว</v>
          </cell>
          <cell r="C961">
            <v>2</v>
          </cell>
        </row>
        <row r="962">
          <cell r="A962" t="str">
            <v>E033040104D0032000</v>
          </cell>
          <cell r="B962" t="str">
            <v>EURO มือจับก้านโยกดัมมี่ สีอบขาว KL #MZS320 (ซื้อ)</v>
          </cell>
          <cell r="C962">
            <v>0</v>
          </cell>
        </row>
        <row r="963">
          <cell r="A963" t="str">
            <v>E033040104D0032001</v>
          </cell>
          <cell r="B963" t="str">
            <v>EURO มือจับก้านโยกดัมมี่ สีอบขาว KL #MZS320 พร้อมแกนเหลี่ยม 1 ตัว, น็อต 2 ตัว</v>
          </cell>
          <cell r="C963">
            <v>8</v>
          </cell>
        </row>
        <row r="964">
          <cell r="A964" t="str">
            <v>E033040203D0021101</v>
          </cell>
          <cell r="B964" t="str">
            <v>EURO มือจับฝังบานเลื่อนล็อคซีเฟียล Multipoint lock สีดำ KL CIFIAL #ZTS211</v>
          </cell>
          <cell r="C964">
            <v>16</v>
          </cell>
        </row>
        <row r="965">
          <cell r="A965" t="str">
            <v>E033040203D0021102</v>
          </cell>
          <cell r="B965" t="str">
            <v>EURO มือจับฝังบานเลื่อนแบบมีกุญแจซีเฟียล Multipoint lock สีดำ KL CIFIAL #ZTS211S</v>
          </cell>
          <cell r="C965">
            <v>28</v>
          </cell>
        </row>
        <row r="966">
          <cell r="A966" t="str">
            <v>E033040203D0021103</v>
          </cell>
          <cell r="B966" t="str">
            <v>EURO มือจับฝังบานเลื่อนดัมมี่ซีเฟียล Multipoint lock สีดำ KL CIFIAL #ZTK11</v>
          </cell>
          <cell r="C966">
            <v>22</v>
          </cell>
        </row>
        <row r="967">
          <cell r="A967" t="str">
            <v>E033040204D0021101</v>
          </cell>
          <cell r="B967" t="str">
            <v>EURO มือจับฝังบานเลื่อนล็อคซีเฟียล Multipoint lock สีอบขาว KL CIFIAL #ZTS211</v>
          </cell>
          <cell r="C967">
            <v>20</v>
          </cell>
        </row>
        <row r="968">
          <cell r="A968" t="str">
            <v>E033040204D0021102</v>
          </cell>
          <cell r="B968" t="str">
            <v>EURO มือจับฝังบานเลื่อนแบบมีกุญแจซีเฟียล Multipoint lock สีอบขาว KL CIFIAL #ZTS211S</v>
          </cell>
          <cell r="C968">
            <v>20</v>
          </cell>
        </row>
        <row r="969">
          <cell r="A969" t="str">
            <v>E033040204D0021103</v>
          </cell>
          <cell r="B969" t="str">
            <v>EURO มือจับฝังบานเลื่อนดัมมี่ซีเฟียล Multipoint lock สีอบขาว KL CIFIAL #ZTK11</v>
          </cell>
          <cell r="C969">
            <v>20</v>
          </cell>
        </row>
        <row r="970">
          <cell r="A970" t="str">
            <v>E033040603D0283200</v>
          </cell>
          <cell r="B970" t="str">
            <v>BI-FOLD มือจับปากเป็ดบานเฟี้ยม สีดำ KL #T28D-L32</v>
          </cell>
          <cell r="C970">
            <v>35</v>
          </cell>
        </row>
        <row r="971">
          <cell r="A971" t="str">
            <v>E033040604D0283200</v>
          </cell>
          <cell r="B971" t="str">
            <v>BI-FOLD มือจับปากเป็ดบานเฟี้ยม สีอบขาว KL #T28D-L32</v>
          </cell>
          <cell r="C971">
            <v>24</v>
          </cell>
        </row>
        <row r="972">
          <cell r="A972" t="str">
            <v>E033050100E0002000</v>
          </cell>
          <cell r="B972" t="str">
            <v>BI-FOLD เพลทรับล็อค KL #DMS20C</v>
          </cell>
          <cell r="C972">
            <v>134</v>
          </cell>
        </row>
        <row r="973">
          <cell r="A973" t="str">
            <v>E033050100E0018000</v>
          </cell>
          <cell r="B973" t="str">
            <v>เพลทรับล็อค KL #KMB180A</v>
          </cell>
          <cell r="C973">
            <v>99</v>
          </cell>
        </row>
        <row r="974">
          <cell r="A974" t="str">
            <v>E033050100E0323200</v>
          </cell>
          <cell r="B974" t="str">
            <v>ไส้กุญแจบานเปิด KL #KIL3232/T</v>
          </cell>
          <cell r="C974">
            <v>10</v>
          </cell>
        </row>
        <row r="975">
          <cell r="A975" t="str">
            <v>E033050600E0001000</v>
          </cell>
          <cell r="B975" t="str">
            <v>BI-FOLD รับล็อคกลอนบานเฟี้ยม KL #SK10</v>
          </cell>
          <cell r="C975">
            <v>46</v>
          </cell>
        </row>
        <row r="976">
          <cell r="A976" t="str">
            <v>E033050600E0001001</v>
          </cell>
          <cell r="B976" t="str">
            <v>BI-FOLD Transmission latch ตัวย้อนกลอน KL  #SCQ10</v>
          </cell>
          <cell r="C976">
            <v>133</v>
          </cell>
        </row>
        <row r="977">
          <cell r="A977" t="str">
            <v>E033050600E0002000</v>
          </cell>
          <cell r="B977" t="str">
            <v>BI-FOLD ตลับกุญแจ CDQ KL #CDQ20</v>
          </cell>
          <cell r="C977">
            <v>126</v>
          </cell>
        </row>
        <row r="978">
          <cell r="A978" t="str">
            <v>E033050600E0002001</v>
          </cell>
          <cell r="B978" t="str">
            <v>BI-FOLD รับล็อคกลอนบานเปิดคู่ KL #SK20</v>
          </cell>
          <cell r="C978">
            <v>50</v>
          </cell>
        </row>
        <row r="979">
          <cell r="A979" t="str">
            <v>E033050600E0003000</v>
          </cell>
          <cell r="B979" t="str">
            <v>BI-FOLD ปลายกลอนบานเฟี้ยม KL #CDG30</v>
          </cell>
          <cell r="C979">
            <v>14</v>
          </cell>
        </row>
        <row r="980">
          <cell r="A980" t="str">
            <v>E033050600E0003200</v>
          </cell>
          <cell r="B980" t="str">
            <v>BI-FOLD ตลับกุญแจ Multipoint lock KL #MSC32/I</v>
          </cell>
          <cell r="C980">
            <v>17</v>
          </cell>
        </row>
        <row r="981">
          <cell r="A981" t="str">
            <v>E033050600E0003201</v>
          </cell>
          <cell r="B981" t="str">
            <v>ตลับกุญแจบานเปิด/บานเฟี้ยม Single lock KL #MSC32/II</v>
          </cell>
          <cell r="C981">
            <v>14</v>
          </cell>
        </row>
        <row r="982">
          <cell r="A982" t="str">
            <v>E033050600E0373700</v>
          </cell>
          <cell r="B982" t="str">
            <v>BI-FOLD ไส้กุญแจประตู KL #KIL3737/T</v>
          </cell>
          <cell r="C982">
            <v>24</v>
          </cell>
        </row>
        <row r="983">
          <cell r="A983" t="str">
            <v>E033050603E0050000</v>
          </cell>
          <cell r="B983" t="str">
            <v>BI-FOLD กลอนบานเฟี้ยม สีดำ ยาว 50ซม. KL #SCX500</v>
          </cell>
          <cell r="C983">
            <v>89</v>
          </cell>
        </row>
        <row r="984">
          <cell r="A984" t="str">
            <v>E033050604E0050000</v>
          </cell>
          <cell r="B984" t="str">
            <v>BI-FOLD กลอนบานเฟี้ยม สีอบขาว ยาว 50cm. KL #SCX500</v>
          </cell>
          <cell r="C984">
            <v>30</v>
          </cell>
        </row>
        <row r="985">
          <cell r="A985" t="str">
            <v>E033080103H0000400</v>
          </cell>
          <cell r="B985" t="str">
            <v>EURO บานพับหน้าต่าง สีดำ KL #N4B</v>
          </cell>
          <cell r="C985">
            <v>40</v>
          </cell>
        </row>
        <row r="986">
          <cell r="A986" t="str">
            <v>E033080103H0001700</v>
          </cell>
          <cell r="B986" t="str">
            <v>EURO บานพับประตู สีดำ KL #MJ17</v>
          </cell>
          <cell r="C986">
            <v>100</v>
          </cell>
        </row>
        <row r="987">
          <cell r="A987" t="str">
            <v>E033080104H0000400</v>
          </cell>
          <cell r="B987" t="str">
            <v>EURO บานพับหน้าต่าง สีอบขาว KL #N4B</v>
          </cell>
          <cell r="C987">
            <v>100</v>
          </cell>
        </row>
        <row r="988">
          <cell r="A988" t="str">
            <v>E033080104H0001700</v>
          </cell>
          <cell r="B988" t="str">
            <v>EURO บานพับประตู สีอบขาว KL #MJ17</v>
          </cell>
          <cell r="C988">
            <v>50</v>
          </cell>
        </row>
        <row r="989">
          <cell r="A989" t="str">
            <v>E033080603H0000100</v>
          </cell>
          <cell r="B989" t="str">
            <v>BI-FOLD บานพับล้อบนบานเฟี้ยม สีดำ KL #FXZ1B</v>
          </cell>
          <cell r="C989">
            <v>140</v>
          </cell>
        </row>
        <row r="990">
          <cell r="A990" t="str">
            <v>E033080603H0000200</v>
          </cell>
          <cell r="B990" t="str">
            <v>BI-FOLD บานพับล้อล่างบานเฟี้ยม สีดำ KL #FXZ5B</v>
          </cell>
          <cell r="C990">
            <v>89</v>
          </cell>
        </row>
        <row r="991">
          <cell r="A991" t="str">
            <v>E033080603H0000301</v>
          </cell>
          <cell r="B991" t="str">
            <v>BI-FOLD บานพับล้อบนบานเฟี้ยมข้าง สีดำ KL #FXZ1B-I</v>
          </cell>
          <cell r="C991">
            <v>41</v>
          </cell>
        </row>
        <row r="992">
          <cell r="A992" t="str">
            <v>E033080603H0000402</v>
          </cell>
          <cell r="B992" t="str">
            <v>BI-FOLD บานพับล้อล่างบานเฟี้ยมข้าง สีดำ KL #FXZ5B-I</v>
          </cell>
          <cell r="C992">
            <v>89</v>
          </cell>
        </row>
        <row r="993">
          <cell r="A993" t="str">
            <v>E033080603H0001100</v>
          </cell>
          <cell r="B993" t="str">
            <v>BI-FOLD บานพับข้างบานเฟี้ยม สีดำ KL #FXZ11</v>
          </cell>
          <cell r="C993">
            <v>168</v>
          </cell>
        </row>
        <row r="994">
          <cell r="A994" t="str">
            <v>E033080603H0001200</v>
          </cell>
          <cell r="B994" t="str">
            <v>BI-FOLD บานพับมือดึงบานเฟี้ยม สีดำ KL #FXZ12</v>
          </cell>
          <cell r="C994">
            <v>67</v>
          </cell>
        </row>
        <row r="995">
          <cell r="A995" t="str">
            <v>E033080604H0000100</v>
          </cell>
          <cell r="B995" t="str">
            <v>BI-FOLD บานพับล้อบนบานเฟี้ยม สีอบขาว KL #FXZ1B</v>
          </cell>
          <cell r="C995">
            <v>75</v>
          </cell>
        </row>
        <row r="996">
          <cell r="A996" t="str">
            <v>E033080604H0000200</v>
          </cell>
          <cell r="B996" t="str">
            <v>BI-FOLD บานพับล้อล่างบานเฟี้ยม สีอบขาว KL #FXZ5B</v>
          </cell>
          <cell r="C996">
            <v>21</v>
          </cell>
        </row>
        <row r="997">
          <cell r="A997" t="str">
            <v>E033080604H0000301</v>
          </cell>
          <cell r="B997" t="str">
            <v>BI-FOLD บานพับล้อบนบานเฟี้ยมข้าง สีอบขาว KL #FXZ1B-I</v>
          </cell>
          <cell r="C997">
            <v>21</v>
          </cell>
        </row>
        <row r="998">
          <cell r="A998" t="str">
            <v>E033080604H0000402</v>
          </cell>
          <cell r="B998" t="str">
            <v>BI-FOLD บานพับล้อล่างบานเฟี้ยมข้าง สีอบขาว KL #FXZ5B-I</v>
          </cell>
          <cell r="C998">
            <v>22</v>
          </cell>
        </row>
        <row r="999">
          <cell r="A999" t="str">
            <v>E033080604H0001100</v>
          </cell>
          <cell r="B999" t="str">
            <v>BI-FOLD บานพับข้างบานเฟี้ยม สีอบขาว KL #FXZ11</v>
          </cell>
          <cell r="C999">
            <v>43</v>
          </cell>
        </row>
        <row r="1000">
          <cell r="A1000" t="str">
            <v>E033080604H0001200</v>
          </cell>
          <cell r="B1000" t="str">
            <v>BI-FOLD บานพับมือดึงบานเฟี้ยม สีอบขาว KL #FXZ12</v>
          </cell>
          <cell r="C1000">
            <v>50</v>
          </cell>
        </row>
        <row r="1001">
          <cell r="A1001" t="str">
            <v>E03312000000000000</v>
          </cell>
          <cell r="B1001" t="str">
            <v>ACC ALU ยี่ห้อ KINLONG (กลุ่ม)</v>
          </cell>
          <cell r="C1001">
            <v>0</v>
          </cell>
        </row>
        <row r="1002">
          <cell r="A1002" t="str">
            <v>E033120100L0002000</v>
          </cell>
          <cell r="B1002" t="str">
            <v>BI-FOLD ปลายกลอนบานเปิด KL #CDG10B</v>
          </cell>
          <cell r="C1002">
            <v>58</v>
          </cell>
        </row>
        <row r="1003">
          <cell r="A1003" t="str">
            <v>E033120200L0000500</v>
          </cell>
          <cell r="B1003" t="str">
            <v>EURO รับล็อคบานเลื่อน KL #U05</v>
          </cell>
          <cell r="C1003">
            <v>4</v>
          </cell>
        </row>
        <row r="1004">
          <cell r="A1004" t="str">
            <v>E033120200L0001400</v>
          </cell>
          <cell r="B1004" t="str">
            <v>EURO หมุดล็อคบานเลื่อน KL #ZGB14M</v>
          </cell>
          <cell r="C1004">
            <v>208</v>
          </cell>
        </row>
        <row r="1005">
          <cell r="A1005" t="str">
            <v>E033120203L0000000</v>
          </cell>
          <cell r="B1005" t="str">
            <v>EURO ยางกันชนคอม้า สีดำ KL #T-FK-D</v>
          </cell>
          <cell r="C1005">
            <v>60</v>
          </cell>
        </row>
        <row r="1006">
          <cell r="A1006" t="str">
            <v>E033120203L0000100</v>
          </cell>
          <cell r="B1006" t="str">
            <v>EURO ยางกันขโมย สีดำ KL #T-FDK01</v>
          </cell>
          <cell r="C1006">
            <v>5</v>
          </cell>
        </row>
        <row r="1007">
          <cell r="A1007" t="str">
            <v>E033120300L0000000</v>
          </cell>
          <cell r="B1007" t="str">
            <v>EURO ฉากประคอง KL #FCJ-A</v>
          </cell>
          <cell r="C1007">
            <v>1416</v>
          </cell>
        </row>
        <row r="1008">
          <cell r="A1008" t="str">
            <v>E033120600L0002000</v>
          </cell>
          <cell r="B1008" t="str">
            <v>BI-FOLD ฝารับล็อคกุญแจประตู (DMS20A)</v>
          </cell>
          <cell r="C1008">
            <v>4</v>
          </cell>
        </row>
        <row r="1009">
          <cell r="A1009" t="str">
            <v>E033120700L0000600</v>
          </cell>
          <cell r="B1009" t="str">
            <v>EURO หมุดล็อคบานเปิด KL #HDS6</v>
          </cell>
          <cell r="C1009">
            <v>76</v>
          </cell>
        </row>
        <row r="1010">
          <cell r="A1010" t="str">
            <v>E033120700L0000700</v>
          </cell>
          <cell r="B1010" t="str">
            <v>EURO หมุดล็อคบานเปิด KL #HDS7</v>
          </cell>
          <cell r="C1010">
            <v>186</v>
          </cell>
        </row>
        <row r="1011">
          <cell r="A1011" t="str">
            <v>E033120700L0000800</v>
          </cell>
          <cell r="B1011" t="str">
            <v>EURO ตัวที KL #ZCD-08</v>
          </cell>
          <cell r="C1011">
            <v>304</v>
          </cell>
        </row>
        <row r="1012">
          <cell r="A1012" t="str">
            <v>E033120700L0001600</v>
          </cell>
          <cell r="B1012" t="str">
            <v>EURO รับล็อคบานเปิด KL #ZA1-6A</v>
          </cell>
          <cell r="C1012">
            <v>162</v>
          </cell>
        </row>
        <row r="1013">
          <cell r="A1013" t="str">
            <v>E033120700L0003900</v>
          </cell>
          <cell r="B1013" t="str">
            <v>EURO หมุดล็อคบานเปิด KL #N39</v>
          </cell>
          <cell r="C1013">
            <v>146</v>
          </cell>
        </row>
        <row r="1014">
          <cell r="A1014" t="str">
            <v>E035040204D2100100</v>
          </cell>
          <cell r="B1014" t="str">
            <v>มือจับล็อค ตัวใหญ่ (เหลี่ยม) สีอบขาว TL-01B</v>
          </cell>
          <cell r="C1014">
            <v>389</v>
          </cell>
        </row>
        <row r="1015">
          <cell r="A1015" t="str">
            <v>E035040204D2100101</v>
          </cell>
          <cell r="B1015" t="str">
            <v>มือจับล็อค ตัวเล็ก  สีอบขาว TL-01S</v>
          </cell>
          <cell r="C1015">
            <v>180</v>
          </cell>
        </row>
        <row r="1016">
          <cell r="A1016" t="str">
            <v>E035040204D2200400</v>
          </cell>
          <cell r="B1016" t="str">
            <v>มือจับล็อคกุญแจ ตัวใหญ่ (เหลี่ยม) สีอบขาว TL-04B</v>
          </cell>
          <cell r="C1016">
            <v>88</v>
          </cell>
        </row>
        <row r="1017">
          <cell r="A1017" t="str">
            <v>E035040204D2300200</v>
          </cell>
          <cell r="B1017" t="str">
            <v>มือจับเรียบมีรู (เหลี่ยม) สีอบขาว TL-02B</v>
          </cell>
          <cell r="C1017">
            <v>66</v>
          </cell>
        </row>
        <row r="1018">
          <cell r="A1018" t="str">
            <v>E035040204D2400300</v>
          </cell>
          <cell r="B1018" t="str">
            <v>มือจับเรียบไม่มีรู (เหลี่ยม) สีอบขาว TL-03B</v>
          </cell>
          <cell r="C1018">
            <v>37</v>
          </cell>
        </row>
        <row r="1019">
          <cell r="A1019" t="str">
            <v>E035040300D3190100</v>
          </cell>
          <cell r="B1019" t="str">
            <v>มือจับสแตนเลสสี่สหาย TS-1901A ขนาด 400x305x25</v>
          </cell>
          <cell r="C1019">
            <v>186</v>
          </cell>
        </row>
        <row r="1020">
          <cell r="A1020" t="str">
            <v>E035040300D3190200</v>
          </cell>
          <cell r="B1020" t="str">
            <v>มือจับสแตนเลสสี่สหาย TS-1902A ขนาด 400x305x25</v>
          </cell>
          <cell r="C1020">
            <v>0</v>
          </cell>
        </row>
        <row r="1021">
          <cell r="A1021" t="str">
            <v>E035040303D3190400</v>
          </cell>
          <cell r="B1021" t="str">
            <v xml:space="preserve">มือจับสแตนเลสสี่สหาย (คาดดำ) TS-1904A ขนาด 400x305x25  </v>
          </cell>
          <cell r="C1021">
            <v>108</v>
          </cell>
        </row>
        <row r="1022">
          <cell r="A1022" t="str">
            <v>E035040313D3190300</v>
          </cell>
          <cell r="B1022" t="str">
            <v>มือจับสแตนเลสสี่สหาย (คาดแดง) TS-1903A ขนาด 400x305x25</v>
          </cell>
          <cell r="C1022">
            <v>214</v>
          </cell>
        </row>
        <row r="1023">
          <cell r="A1023" t="str">
            <v>E035131100M0061202</v>
          </cell>
          <cell r="B1023" t="str">
            <v>มีดตัดกระจกใหญ่ 6-12 มม. TL #T-7102 (ใช้น้ำมัน)</v>
          </cell>
          <cell r="C1023">
            <v>6</v>
          </cell>
        </row>
        <row r="1024">
          <cell r="A1024" t="str">
            <v>E035141301N4400000</v>
          </cell>
          <cell r="B1024" t="str">
            <v>รีเวท สีขาวอลู 4-4  ตรา TL</v>
          </cell>
          <cell r="C1024">
            <v>3</v>
          </cell>
        </row>
        <row r="1025">
          <cell r="A1025" t="str">
            <v>E035141303N4400000</v>
          </cell>
          <cell r="B1025" t="str">
            <v>รีเวท สีดำ 4-4  ตรา TL</v>
          </cell>
          <cell r="C1025">
            <v>23</v>
          </cell>
        </row>
        <row r="1026">
          <cell r="A1026" t="str">
            <v>E035141304N4400000</v>
          </cell>
          <cell r="B1026" t="str">
            <v>รีเวท สีอบขาว 4-4 ตรา TL</v>
          </cell>
          <cell r="C1026">
            <v>32</v>
          </cell>
        </row>
        <row r="1027">
          <cell r="A1027" t="str">
            <v>E036090903I2363000</v>
          </cell>
          <cell r="B1027" t="str">
            <v>มุ้งไนลอน สีดำ 36 นิ้ว ตรานกแก้ว</v>
          </cell>
          <cell r="C1027">
            <v>1</v>
          </cell>
        </row>
        <row r="1028">
          <cell r="A1028" t="str">
            <v>E036090903I2423000</v>
          </cell>
          <cell r="B1028" t="str">
            <v>มุ้งไนลอน สีดำ 42 นิ้ว ตรานกแก้ว</v>
          </cell>
          <cell r="C1028">
            <v>0</v>
          </cell>
        </row>
        <row r="1029">
          <cell r="A1029" t="str">
            <v>E036090903I2483000</v>
          </cell>
          <cell r="B1029" t="str">
            <v>มุ้งไนลอน สีดำ 48 นิ้ว ตรานกแก้ว</v>
          </cell>
          <cell r="C1029">
            <v>1</v>
          </cell>
        </row>
        <row r="1030">
          <cell r="A1030" t="str">
            <v>E036090905I2283000</v>
          </cell>
          <cell r="B1030" t="str">
            <v>มุ้งไนลอน สีเทา 28 นิ้ว ตรานกแก้ว</v>
          </cell>
          <cell r="C1030">
            <v>0</v>
          </cell>
        </row>
        <row r="1031">
          <cell r="A1031" t="str">
            <v>E036090905I2303000</v>
          </cell>
          <cell r="B1031" t="str">
            <v>มุ้งไนลอน สีเทา 30 นิ้ว ตรานกแก้ว</v>
          </cell>
          <cell r="C1031">
            <v>0</v>
          </cell>
        </row>
        <row r="1032">
          <cell r="A1032" t="str">
            <v>E036090905I2323000</v>
          </cell>
          <cell r="B1032" t="str">
            <v>มุ้งไนลอน สีเทา 32 นิ้ว ตรานกแก้ว</v>
          </cell>
          <cell r="C1032">
            <v>0</v>
          </cell>
        </row>
        <row r="1033">
          <cell r="A1033" t="str">
            <v>E036090905I2363000</v>
          </cell>
          <cell r="B1033" t="str">
            <v>มุ้งไนลอน สีเทา 36 นิ้ว ตรานกแก้ว</v>
          </cell>
          <cell r="C1033">
            <v>3</v>
          </cell>
        </row>
        <row r="1034">
          <cell r="A1034" t="str">
            <v>E036090905I2423000</v>
          </cell>
          <cell r="B1034" t="str">
            <v>มุ้งไนลอน สีเทา 42 นิ้ว ตรานกแก้ว</v>
          </cell>
          <cell r="C1034">
            <v>9</v>
          </cell>
        </row>
        <row r="1035">
          <cell r="A1035" t="str">
            <v>E036090905I2483000</v>
          </cell>
          <cell r="B1035" t="str">
            <v>มุ้งไนลอน สีเทา 48 นิ้ว ตรานกแก้ว</v>
          </cell>
          <cell r="C1035">
            <v>3</v>
          </cell>
        </row>
        <row r="1036">
          <cell r="A1036" t="str">
            <v>E037090903I2363000</v>
          </cell>
          <cell r="B1036" t="str">
            <v>มุ้งไนลอน สีดำ 36 นิ้ว ตรานกเพนกวิน</v>
          </cell>
          <cell r="C1036">
            <v>37</v>
          </cell>
        </row>
        <row r="1037">
          <cell r="A1037" t="str">
            <v>E037090903I2423000</v>
          </cell>
          <cell r="B1037" t="str">
            <v>มุ้งไนลอน สีดำ 42 นิ้ว ตรานกเพนกวิน</v>
          </cell>
          <cell r="C1037">
            <v>19</v>
          </cell>
        </row>
        <row r="1038">
          <cell r="A1038" t="str">
            <v>E037090903I2483000</v>
          </cell>
          <cell r="B1038" t="str">
            <v>มุ้งไนลอน สีดำ 48 นิ้ว ตรานกเพนกวิน</v>
          </cell>
          <cell r="C1038">
            <v>36</v>
          </cell>
        </row>
        <row r="1039">
          <cell r="A1039" t="str">
            <v>E037090905I2283000</v>
          </cell>
          <cell r="B1039" t="str">
            <v>มุ้งไนลอน สีเทา 28 นิ้ว ตรานกเพนกวิน</v>
          </cell>
          <cell r="C1039">
            <v>2</v>
          </cell>
        </row>
        <row r="1040">
          <cell r="A1040" t="str">
            <v>E037090905I2303000</v>
          </cell>
          <cell r="B1040" t="str">
            <v>มุ้งไนลอน สีเทา 30 นิ้ว ตรานกเพนกวิน</v>
          </cell>
          <cell r="C1040">
            <v>2</v>
          </cell>
        </row>
        <row r="1041">
          <cell r="A1041" t="str">
            <v>E037090905I2323000</v>
          </cell>
          <cell r="B1041" t="str">
            <v>มุ้งไนลอน สีเทา 32 นิ้ว ตรานกเพนกวิน</v>
          </cell>
          <cell r="C1041">
            <v>2</v>
          </cell>
        </row>
        <row r="1042">
          <cell r="A1042" t="str">
            <v>E037090905I2363000</v>
          </cell>
          <cell r="B1042" t="str">
            <v>มุ้งไนลอน สีเทา 36 นิ้ว ตรานกเพนกวิน</v>
          </cell>
          <cell r="C1042">
            <v>25</v>
          </cell>
        </row>
        <row r="1043">
          <cell r="A1043" t="str">
            <v>E037090905I2403000</v>
          </cell>
          <cell r="B1043" t="str">
            <v>มุ้งไนลอน สีเทา 40 นิ้ว ตรานกเพนกวิน</v>
          </cell>
          <cell r="C1043">
            <v>0</v>
          </cell>
        </row>
        <row r="1044">
          <cell r="A1044" t="str">
            <v>E037090905I2423000</v>
          </cell>
          <cell r="B1044" t="str">
            <v>มุ้งไนลอน สีเทา 42 นิ้ว ตรานกเพนกวิน</v>
          </cell>
          <cell r="C1044">
            <v>34</v>
          </cell>
        </row>
        <row r="1045">
          <cell r="A1045" t="str">
            <v>E037090905I2483000</v>
          </cell>
          <cell r="B1045" t="str">
            <v>มุ้งไนลอน สีเทา 48 นิ้ว ตรานกเพนกวิน</v>
          </cell>
          <cell r="C1045">
            <v>47</v>
          </cell>
        </row>
        <row r="1046">
          <cell r="A1046" t="str">
            <v>E03809000000000000</v>
          </cell>
          <cell r="B1046" t="str">
            <v>มุ้ง ยี่ห้อแพนด้า (กลุ่ม)</v>
          </cell>
          <cell r="C1046">
            <v>0</v>
          </cell>
        </row>
        <row r="1047">
          <cell r="A1047" t="str">
            <v>E038090901I1363000</v>
          </cell>
          <cell r="B1047" t="str">
            <v>มุ้งลวด สีขาวอลู 36 นิ้ว ตราแพนด้า</v>
          </cell>
          <cell r="C1047">
            <v>28</v>
          </cell>
        </row>
        <row r="1048">
          <cell r="A1048" t="str">
            <v>E038090901I1423000</v>
          </cell>
          <cell r="B1048" t="str">
            <v>มุ้งลวด สีขาวอลู 42 นิ้ว ตราแพนด้า</v>
          </cell>
          <cell r="C1048">
            <v>27</v>
          </cell>
        </row>
        <row r="1049">
          <cell r="A1049" t="str">
            <v>E038090901I1483000</v>
          </cell>
          <cell r="B1049" t="str">
            <v>มุ้งลวด สีขาวอลู 48 นิ้ว ตราแพนด้า</v>
          </cell>
          <cell r="C1049">
            <v>23</v>
          </cell>
        </row>
        <row r="1050">
          <cell r="A1050" t="str">
            <v>E038090903I3283000</v>
          </cell>
          <cell r="B1050" t="str">
            <v>มุ้งไฟเบอร์ สีดำ 28 นิ้ว ตราแพนด้า</v>
          </cell>
          <cell r="C1050">
            <v>0</v>
          </cell>
        </row>
        <row r="1051">
          <cell r="A1051" t="str">
            <v>E038090903I3303000</v>
          </cell>
          <cell r="B1051" t="str">
            <v>มุ้งไฟเบอร์ สีดำ 30 นิ้ว ตราแพนด้า</v>
          </cell>
          <cell r="C1051">
            <v>0</v>
          </cell>
        </row>
        <row r="1052">
          <cell r="A1052" t="str">
            <v>E038090903I3323000</v>
          </cell>
          <cell r="B1052" t="str">
            <v>มุ้งไฟเบอร์ สีดำ 32 นิ้ว ตราแพนด้า</v>
          </cell>
          <cell r="C1052">
            <v>6</v>
          </cell>
        </row>
        <row r="1053">
          <cell r="A1053" t="str">
            <v>E038090903I3363000</v>
          </cell>
          <cell r="B1053" t="str">
            <v>มุ้งไฟเบอร์ สีดำ 36 นิ้ว ตราแพนด้า</v>
          </cell>
          <cell r="C1053">
            <v>65</v>
          </cell>
        </row>
        <row r="1054">
          <cell r="A1054" t="str">
            <v>E038090903I3423000</v>
          </cell>
          <cell r="B1054" t="str">
            <v>มุ้งไฟเบอร์ สีดำ 42 นิ้ว ตราแพนด้า</v>
          </cell>
          <cell r="C1054">
            <v>58</v>
          </cell>
        </row>
        <row r="1055">
          <cell r="A1055" t="str">
            <v>E038090903I3483000</v>
          </cell>
          <cell r="B1055" t="str">
            <v>มุ้งไฟเบอร์ สีดำ 48 นิ้ว ตราแพนด้า</v>
          </cell>
          <cell r="C1055">
            <v>98</v>
          </cell>
        </row>
        <row r="1056">
          <cell r="A1056" t="str">
            <v>E038090903I3603000</v>
          </cell>
          <cell r="B1056" t="str">
            <v>มุ้งไฟเบอร์ สีดำ 60 นิ้ว ตราแพนด้า</v>
          </cell>
          <cell r="C1056">
            <v>0</v>
          </cell>
        </row>
        <row r="1057">
          <cell r="A1057" t="str">
            <v>E038090904I3363000</v>
          </cell>
          <cell r="B1057" t="str">
            <v>มุ้งไฟเบอร์ สีอบขาว 36 นิ้ว ตราแพนด้า</v>
          </cell>
          <cell r="C1057">
            <v>16</v>
          </cell>
        </row>
        <row r="1058">
          <cell r="A1058" t="str">
            <v>E038090904I3423000</v>
          </cell>
          <cell r="B1058" t="str">
            <v>มุ้งไฟเบอร์ สีอบขาว 42 นิ้ว ตราแพนด้า</v>
          </cell>
          <cell r="C1058">
            <v>5</v>
          </cell>
        </row>
        <row r="1059">
          <cell r="A1059" t="str">
            <v>E038090904I3483000</v>
          </cell>
          <cell r="B1059" t="str">
            <v>มุ้งไฟเบอร์ สีอบขาว 48 นิ้ว ตราแพนด้า</v>
          </cell>
          <cell r="C1059">
            <v>5</v>
          </cell>
        </row>
        <row r="1060">
          <cell r="A1060" t="str">
            <v>E038090905I3283000</v>
          </cell>
          <cell r="B1060" t="str">
            <v>มุ้งไฟเบอร์ สีเทา 28 นิ้ว ตราแพนด้า</v>
          </cell>
          <cell r="C1060">
            <v>0</v>
          </cell>
        </row>
        <row r="1061">
          <cell r="A1061" t="str">
            <v>E038090905I3303000</v>
          </cell>
          <cell r="B1061" t="str">
            <v>มุ้งไฟเบอร์ สีเทา 30 นิ้ว ตราแพนด้า</v>
          </cell>
          <cell r="C1061">
            <v>0</v>
          </cell>
        </row>
        <row r="1062">
          <cell r="A1062" t="str">
            <v>E038090905I3323000</v>
          </cell>
          <cell r="B1062" t="str">
            <v>มุ้งไฟเบอร์ สีเทา 32 นิ้ว ตราแพนด้า</v>
          </cell>
          <cell r="C1062">
            <v>2</v>
          </cell>
        </row>
        <row r="1063">
          <cell r="A1063" t="str">
            <v>E038090905I3363000</v>
          </cell>
          <cell r="B1063" t="str">
            <v>มุ้งไฟเบอร์ สีเทา 36 นิ้ว ตราแพนด้า</v>
          </cell>
          <cell r="C1063">
            <v>138</v>
          </cell>
        </row>
        <row r="1064">
          <cell r="A1064" t="str">
            <v>E038090905I3423000</v>
          </cell>
          <cell r="B1064" t="str">
            <v>มุ้งไฟเบอร์ สีเทา 42 นิ้ว ตราแพนด้า</v>
          </cell>
          <cell r="C1064">
            <v>66</v>
          </cell>
        </row>
        <row r="1065">
          <cell r="A1065" t="str">
            <v>E038090905I3483000</v>
          </cell>
          <cell r="B1065" t="str">
            <v>มุ้งไฟเบอร์ สีเทา 48 นิ้ว ตราแพนด้า</v>
          </cell>
          <cell r="C1065">
            <v>100</v>
          </cell>
        </row>
        <row r="1066">
          <cell r="A1066" t="str">
            <v>E038090905I3603000</v>
          </cell>
          <cell r="B1066" t="str">
            <v>มุ้งไฟเบอร์ สีเทา 60 นิ้ว ตราแพนด้า</v>
          </cell>
          <cell r="C1066">
            <v>4</v>
          </cell>
        </row>
        <row r="1067">
          <cell r="A1067" t="str">
            <v>E039090901I1363000</v>
          </cell>
          <cell r="B1067" t="str">
            <v>มุ้งลวด สีขาวอลู 36 นิ้ว ตราม้าบิน</v>
          </cell>
          <cell r="C1067">
            <v>2</v>
          </cell>
        </row>
        <row r="1068">
          <cell r="A1068" t="str">
            <v>E039090901I1403000</v>
          </cell>
          <cell r="B1068" t="str">
            <v>มุ้งลวด สีขาวอลู 40 นิ้ว ตราม้าบิน</v>
          </cell>
          <cell r="C1068">
            <v>0</v>
          </cell>
        </row>
        <row r="1069">
          <cell r="A1069" t="str">
            <v>E039090901I1423000</v>
          </cell>
          <cell r="B1069" t="str">
            <v>มุ้งลวด สีขาวอลู 42 นิ้ว ตราม้าบิน</v>
          </cell>
          <cell r="C1069">
            <v>0</v>
          </cell>
        </row>
        <row r="1070">
          <cell r="A1070" t="str">
            <v>E039090901I1483000</v>
          </cell>
          <cell r="B1070" t="str">
            <v>มุ้งลวด สีขาวอลู 48 นิ้ว ตราม้าบิน</v>
          </cell>
          <cell r="C1070">
            <v>2</v>
          </cell>
        </row>
        <row r="1071">
          <cell r="A1071" t="str">
            <v>E039090902I1283000</v>
          </cell>
          <cell r="B1071" t="str">
            <v>มุ้งลวด สีชา 28 นิ้ว ตราม้าบิน</v>
          </cell>
          <cell r="C1071">
            <v>1</v>
          </cell>
        </row>
        <row r="1072">
          <cell r="A1072" t="str">
            <v>E039090902I1303000</v>
          </cell>
          <cell r="B1072" t="str">
            <v>มุ้งลวด สีชา 30 นิ้ว ตราม้าบิน</v>
          </cell>
          <cell r="C1072">
            <v>7</v>
          </cell>
        </row>
        <row r="1073">
          <cell r="A1073" t="str">
            <v>E039090902I1323000</v>
          </cell>
          <cell r="B1073" t="str">
            <v>มุ้งลวด สีชา 32 นิ้ว ตราม้าบิน</v>
          </cell>
          <cell r="C1073">
            <v>6</v>
          </cell>
        </row>
        <row r="1074">
          <cell r="A1074" t="str">
            <v>E039090902I1363000</v>
          </cell>
          <cell r="B1074" t="str">
            <v>มุ้งลวด สีชา 36 นิ้ว ตราม้าบิน</v>
          </cell>
          <cell r="C1074">
            <v>5</v>
          </cell>
        </row>
        <row r="1075">
          <cell r="A1075" t="str">
            <v>E039090902I1403000</v>
          </cell>
          <cell r="B1075" t="str">
            <v>มุ้งลวด สีชา 40 นิ้ว ตราม้าบิน</v>
          </cell>
          <cell r="C1075">
            <v>7</v>
          </cell>
        </row>
        <row r="1076">
          <cell r="A1076" t="str">
            <v>E039090902I1423000</v>
          </cell>
          <cell r="B1076" t="str">
            <v>มุ้งลวด สีชา 42 นิ้ว ตราม้าบิน</v>
          </cell>
          <cell r="C1076">
            <v>1</v>
          </cell>
        </row>
        <row r="1077">
          <cell r="A1077" t="str">
            <v>E039090902I1483000</v>
          </cell>
          <cell r="B1077" t="str">
            <v>มุ้งลวด สีชา 48 นิ้ว ตราม้าบิน</v>
          </cell>
          <cell r="C1077">
            <v>3</v>
          </cell>
        </row>
        <row r="1078">
          <cell r="A1078" t="str">
            <v>E039090903I1283000</v>
          </cell>
          <cell r="B1078" t="str">
            <v>มุ้งลวด สีดำ 28 นิ้ว ตราม้าบิน</v>
          </cell>
          <cell r="C1078">
            <v>0</v>
          </cell>
        </row>
        <row r="1079">
          <cell r="A1079" t="str">
            <v>E039090903I1303000</v>
          </cell>
          <cell r="B1079" t="str">
            <v>มุ้งลวด สีดำ 30 นิ้ว ตราม้าบิน</v>
          </cell>
          <cell r="C1079">
            <v>0</v>
          </cell>
        </row>
        <row r="1080">
          <cell r="A1080" t="str">
            <v>E039090903I1323000</v>
          </cell>
          <cell r="B1080" t="str">
            <v>มุ้งลวด สีดำ 32 นิ้ว ตราม้าบิน</v>
          </cell>
          <cell r="C1080">
            <v>2</v>
          </cell>
        </row>
        <row r="1081">
          <cell r="A1081" t="str">
            <v>E039090903I1343000</v>
          </cell>
          <cell r="B1081" t="str">
            <v>มุ้งลวด สีดำ 34 นิ้ว ตราม้าบิน</v>
          </cell>
          <cell r="C1081">
            <v>0</v>
          </cell>
        </row>
        <row r="1082">
          <cell r="A1082" t="str">
            <v>E039090903I1363000</v>
          </cell>
          <cell r="B1082" t="str">
            <v>มุ้งลวด สีดำ 36 นิ้ว ตราม้าบิน</v>
          </cell>
          <cell r="C1082">
            <v>0</v>
          </cell>
        </row>
        <row r="1083">
          <cell r="A1083" t="str">
            <v>E039090903I1403000</v>
          </cell>
          <cell r="B1083" t="str">
            <v>มุ้งลวด สีดำ 40 นิ้ว ตราม้าบิน</v>
          </cell>
          <cell r="C1083">
            <v>0</v>
          </cell>
        </row>
        <row r="1084">
          <cell r="A1084" t="str">
            <v>E039090903I1423000</v>
          </cell>
          <cell r="B1084" t="str">
            <v>มุ้งลวด สีดำ 42 นิ้ว ตราม้าบิน</v>
          </cell>
          <cell r="C1084">
            <v>5</v>
          </cell>
        </row>
        <row r="1085">
          <cell r="A1085" t="str">
            <v>E039090903I1483000</v>
          </cell>
          <cell r="B1085" t="str">
            <v>มุ้งลวด สีดำ 48 นิ้ว ตราม้าบิน</v>
          </cell>
          <cell r="C1085">
            <v>8</v>
          </cell>
        </row>
        <row r="1086">
          <cell r="A1086" t="str">
            <v>E039090903I3323000</v>
          </cell>
          <cell r="B1086" t="str">
            <v>มุ้งไฟเบอร์ สีดำ 32 นิ้ว ตราม้าบิน</v>
          </cell>
          <cell r="C1086">
            <v>2</v>
          </cell>
        </row>
        <row r="1087">
          <cell r="A1087" t="str">
            <v>E039090903I3363000</v>
          </cell>
          <cell r="B1087" t="str">
            <v>มุ้งไฟเบอร์ สีดำ 36 นิ้ว ตราม้าบิน</v>
          </cell>
          <cell r="C1087">
            <v>0</v>
          </cell>
        </row>
        <row r="1088">
          <cell r="A1088" t="str">
            <v>E039090903I3423000</v>
          </cell>
          <cell r="B1088" t="str">
            <v>มุ้งไฟเบอร์ สีดำ 42 นิ้ว ตราม้าบิน</v>
          </cell>
          <cell r="C1088">
            <v>0</v>
          </cell>
        </row>
        <row r="1089">
          <cell r="A1089" t="str">
            <v>E039090903I3483000</v>
          </cell>
          <cell r="B1089" t="str">
            <v>มุ้งไฟเบอร์ สีดำ 48 นิ้ว ตราม้าบิน</v>
          </cell>
          <cell r="C1089">
            <v>0</v>
          </cell>
        </row>
        <row r="1090">
          <cell r="A1090" t="str">
            <v>E041121103L0606200</v>
          </cell>
          <cell r="B1090" t="str">
            <v>เทปกาว 2หน้า (SPIDER TAPE) หนา 6 มม. x 6 มม. x 2 ม.</v>
          </cell>
          <cell r="C1090">
            <v>184</v>
          </cell>
        </row>
        <row r="1091">
          <cell r="A1091" t="str">
            <v>E041121103L0609200</v>
          </cell>
          <cell r="B1091" t="str">
            <v>เทปกาว 2หน้า (SPIDER TAPE)  หนา 6 มม. x 9 มม. x 2 ม.</v>
          </cell>
          <cell r="C1091">
            <v>0</v>
          </cell>
        </row>
        <row r="1092">
          <cell r="A1092" t="str">
            <v>E041121103L0610200</v>
          </cell>
          <cell r="B1092" t="str">
            <v>เทปกาว 2หน้า (SPIDER TAPE) หนา 6 มม. x 10 มม. x 2 ม.</v>
          </cell>
          <cell r="C1092">
            <v>0</v>
          </cell>
        </row>
        <row r="1093">
          <cell r="A1093" t="str">
            <v>E041121103L0612200</v>
          </cell>
          <cell r="B1093" t="str">
            <v>เทปกาว 2หน้า (SPIDER TAPE)  หนา 6 มม. x 12 มม. x 2 ม.</v>
          </cell>
          <cell r="C1093">
            <v>0</v>
          </cell>
        </row>
        <row r="1094">
          <cell r="A1094" t="str">
            <v>E041121103L0808200</v>
          </cell>
          <cell r="B1094" t="str">
            <v>เทปกาว 2หน้า (SPIDER TAPE) หนา 8 มม. x 8 มม. x 2 ม.</v>
          </cell>
          <cell r="C1094">
            <v>217</v>
          </cell>
        </row>
        <row r="1095">
          <cell r="A1095" t="str">
            <v>E042120205L4861000</v>
          </cell>
          <cell r="B1095" t="str">
            <v>สักหลาดบานเลื่อนสีเทา 4.8x6 SPECIAL LINE (100 ม.)</v>
          </cell>
          <cell r="C1095">
            <v>1030</v>
          </cell>
        </row>
        <row r="1096">
          <cell r="A1096" t="str">
            <v>E042120205L4864500</v>
          </cell>
          <cell r="B1096" t="str">
            <v>สักหลาดบานเลื่อนสีเทา 4.8x6 SPECIAL LINE (450 ม.)</v>
          </cell>
          <cell r="C1096">
            <v>268</v>
          </cell>
        </row>
        <row r="1097">
          <cell r="A1097" t="str">
            <v>E042120305L6780500</v>
          </cell>
          <cell r="B1097" t="str">
            <v>สักหลาดบานสวิงสีเทา 6.7x8 SPECIAL LINE (50 ม.)</v>
          </cell>
          <cell r="C1097">
            <v>751</v>
          </cell>
        </row>
        <row r="1098">
          <cell r="A1098" t="str">
            <v>E042120305L6782200</v>
          </cell>
          <cell r="B1098" t="str">
            <v>สักหลาดบานสวิงสีเทา 6.7x8 SPECIAL LINE (225 ม.)</v>
          </cell>
          <cell r="C1098">
            <v>126</v>
          </cell>
        </row>
        <row r="1099">
          <cell r="A1099" t="str">
            <v>E043120205L5061000</v>
          </cell>
          <cell r="B1099" t="str">
            <v>สักหลาดบานเลื่อนสีเทา 5x6 Shangjia (100 ม.)</v>
          </cell>
          <cell r="C1099">
            <v>0</v>
          </cell>
        </row>
        <row r="1100">
          <cell r="A1100" t="str">
            <v>E043120305L7081000</v>
          </cell>
          <cell r="B1100" t="str">
            <v>สักหลาดบานสวิงสีเทา 7x8 Shangjia (100 ม.)</v>
          </cell>
          <cell r="C1100">
            <v>0</v>
          </cell>
        </row>
        <row r="1101">
          <cell r="A1101" t="str">
            <v>E04513000000000000</v>
          </cell>
          <cell r="B1101" t="str">
            <v>อุปกรณ์กระจก ยี่ห้อ KD (กลุ่ม)</v>
          </cell>
          <cell r="C1101">
            <v>0</v>
          </cell>
        </row>
        <row r="1102">
          <cell r="A1102" t="str">
            <v>E045131100M0000000</v>
          </cell>
          <cell r="B1102" t="str">
            <v>ลูกล้อ Speed cutter KD (Blue)</v>
          </cell>
          <cell r="C1102">
            <v>545</v>
          </cell>
        </row>
        <row r="1103">
          <cell r="A1103" t="str">
            <v>E045131100M0009000</v>
          </cell>
          <cell r="B1103" t="str">
            <v>Speed Cutter จีน ยาว 90 ซม. ยี่ห้อ Eagle</v>
          </cell>
          <cell r="C1103">
            <v>2</v>
          </cell>
        </row>
        <row r="1104">
          <cell r="A1104" t="str">
            <v>E045131100M0012000</v>
          </cell>
          <cell r="B1104" t="str">
            <v>Speed Cutter จีน ยาว 1.2 เมตร ยี่ห้อ Eagle</v>
          </cell>
          <cell r="C1104">
            <v>8</v>
          </cell>
        </row>
        <row r="1105">
          <cell r="A1105" t="str">
            <v>E045131100M0015000</v>
          </cell>
          <cell r="B1105" t="str">
            <v>Speed Cutter จีน ยาว 1.5 เมตร ยี่ห้อ Eagle</v>
          </cell>
          <cell r="C1105">
            <v>9</v>
          </cell>
        </row>
        <row r="1106">
          <cell r="A1106" t="str">
            <v>E045131100M1300000</v>
          </cell>
          <cell r="B1106" t="str">
            <v>ชุดกระบอกหัวตัด Oil Tank KD #BP-13</v>
          </cell>
          <cell r="C1106">
            <v>24</v>
          </cell>
        </row>
        <row r="1107">
          <cell r="A1107" t="str">
            <v>E045131100M1900000</v>
          </cell>
          <cell r="B1107" t="str">
            <v>หัวตัด Speed cutter KD #BP-19</v>
          </cell>
          <cell r="C1107">
            <v>147</v>
          </cell>
        </row>
        <row r="1108">
          <cell r="A1108" t="str">
            <v>E046131100M0360300</v>
          </cell>
          <cell r="B1108" t="str">
            <v xml:space="preserve">หัวยางดูดกระจกแผ่น สามหัว-เยอรมัน BOHLE #603 </v>
          </cell>
          <cell r="C1108">
            <v>20</v>
          </cell>
        </row>
        <row r="1109">
          <cell r="A1109" t="str">
            <v>E046131100M0614100</v>
          </cell>
          <cell r="B1109" t="str">
            <v>แผ่นยางดูดสีดำเยอรมัน (อะไหล่) 4 3/4" 120mm. Bohle #B0 614.1</v>
          </cell>
          <cell r="C1109">
            <v>28</v>
          </cell>
        </row>
        <row r="1110">
          <cell r="A1110" t="str">
            <v>E047040103D1000010</v>
          </cell>
          <cell r="B1110" t="str">
            <v>มือจับกระทุ้งซ้าย (แปะ) สีดำ/หลังขาว TTP</v>
          </cell>
          <cell r="C1110">
            <v>0</v>
          </cell>
        </row>
        <row r="1111">
          <cell r="A1111" t="str">
            <v>E047040103D1000020</v>
          </cell>
          <cell r="B1111" t="str">
            <v>มือจับกระทุ้งขวา (แปะ) สีดำ/หลังขาว TTP</v>
          </cell>
          <cell r="C1111">
            <v>0</v>
          </cell>
        </row>
        <row r="1112">
          <cell r="A1112" t="str">
            <v>E047040104D1000010</v>
          </cell>
          <cell r="B1112" t="str">
            <v>มือจับกระทุ้งซ้าย (แปะ) สีอบขาว/หลังดำ TTP</v>
          </cell>
          <cell r="C1112">
            <v>11</v>
          </cell>
        </row>
        <row r="1113">
          <cell r="A1113" t="str">
            <v>E047040104D1000020</v>
          </cell>
          <cell r="B1113" t="str">
            <v>มือจับกระทุ้งขวา (แปะ) สีอบขาว/หลังดำ TTP</v>
          </cell>
          <cell r="C1113">
            <v>0</v>
          </cell>
        </row>
        <row r="1114">
          <cell r="A1114" t="str">
            <v>E047141300N7900010</v>
          </cell>
          <cell r="B1114" t="str">
            <v>สกรูเกลียวหัวเตเปอร์ (นิเกิ้ล) 3/8 นิ้ว No.7</v>
          </cell>
          <cell r="C1114">
            <v>24</v>
          </cell>
        </row>
        <row r="1115">
          <cell r="A1115" t="str">
            <v>E04813000000000000</v>
          </cell>
          <cell r="B1115" t="str">
            <v>อุปกรณ์กระจก ยี่ห้อ K-STAR (กลุ่ม)</v>
          </cell>
          <cell r="C1115">
            <v>0</v>
          </cell>
        </row>
        <row r="1116">
          <cell r="A1116" t="str">
            <v>E048131100M0180800</v>
          </cell>
          <cell r="B1116" t="str">
            <v xml:space="preserve">หัวยางดูดกระจกแผ่น หัวเดียว 8 นิ้ว (ชนิดปั๊มลม) K-Star #RP-808S </v>
          </cell>
          <cell r="C1116">
            <v>4</v>
          </cell>
        </row>
        <row r="1117">
          <cell r="A1117" t="str">
            <v>E048131100M0190200</v>
          </cell>
          <cell r="B1117" t="str">
            <v>หัวตัด Speed cutter K-star #EC-1902</v>
          </cell>
          <cell r="C1117">
            <v>0</v>
          </cell>
        </row>
        <row r="1118">
          <cell r="A1118" t="str">
            <v>E048131100Z0030800</v>
          </cell>
          <cell r="B1118" t="str">
            <v>มีดตัดพร้อมหัวคาร์ไบค์ K-star #308 B (J)</v>
          </cell>
          <cell r="C1118">
            <v>0</v>
          </cell>
        </row>
        <row r="1119">
          <cell r="A1119" t="str">
            <v>E049131100M0008000</v>
          </cell>
          <cell r="B1119" t="str">
            <v>จานฝนริมกระจกไฟเบอร์ 4นิ้ว-เบอร์ 80 KINIK #GC80BFL27</v>
          </cell>
          <cell r="C1119">
            <v>830</v>
          </cell>
        </row>
        <row r="1120">
          <cell r="A1120" t="str">
            <v>E049131100M0012000</v>
          </cell>
          <cell r="B1120" t="str">
            <v>จานฝนริมกระจกไฟเบอร์ 4นิ้ว-เบอร์ 120 KINIK #GC120BFL27</v>
          </cell>
          <cell r="C1120">
            <v>767</v>
          </cell>
        </row>
        <row r="1121">
          <cell r="A1121" t="str">
            <v>E050131100M0010000</v>
          </cell>
          <cell r="B1121" t="str">
            <v>หินฝนกระจก ขนาด115x32x0  GC100</v>
          </cell>
          <cell r="C1121">
            <v>178</v>
          </cell>
        </row>
        <row r="1122">
          <cell r="A1122" t="str">
            <v>E051141300N1000000</v>
          </cell>
          <cell r="B1122" t="str">
            <v>ดอกสว่าน 1 หุน (JAPAN) TIGA</v>
          </cell>
          <cell r="C1122">
            <v>2372</v>
          </cell>
        </row>
        <row r="1123">
          <cell r="A1123" t="str">
            <v>E051141300N9640000</v>
          </cell>
          <cell r="B1123" t="str">
            <v>ดอกสว่าน 9/64 นิ้ว (JAPAN) TIGA</v>
          </cell>
          <cell r="C1123">
            <v>1816</v>
          </cell>
        </row>
        <row r="1124">
          <cell r="A1124" t="str">
            <v>E05214000000000000</v>
          </cell>
          <cell r="B1124" t="str">
            <v>Tools ยี่ห้อ สันติ (กลุ่ม)</v>
          </cell>
          <cell r="C1124">
            <v>0</v>
          </cell>
        </row>
        <row r="1125">
          <cell r="A1125" t="str">
            <v>E052141300N0000900</v>
          </cell>
          <cell r="B1125" t="str">
            <v>เครื่องเจาะรูสันติ ระบายน้ำฉากกันตก #ST-09</v>
          </cell>
          <cell r="C1125">
            <v>0</v>
          </cell>
        </row>
        <row r="1126">
          <cell r="A1126" t="str">
            <v>E052141300N0001000</v>
          </cell>
          <cell r="B1126" t="str">
            <v>เครื่องตัดอลูมิเนียมสันติ 10 นิ้ว #ST-10</v>
          </cell>
          <cell r="C1126">
            <v>2</v>
          </cell>
        </row>
        <row r="1127">
          <cell r="A1127" t="str">
            <v>E052141300N0001100</v>
          </cell>
          <cell r="B1127" t="str">
            <v>เครื่องก๊อปปี้เราเตอร์สันติ (มอเตอร์ใหญ่) รุ่นพัฒนา #ST-11</v>
          </cell>
          <cell r="C1127">
            <v>1</v>
          </cell>
        </row>
        <row r="1128">
          <cell r="A1128" t="str">
            <v>E052141300N0001200</v>
          </cell>
          <cell r="B1128" t="str">
            <v>เครื่องตัดอลูมิเนียมสันติ 12 นิ้ว #ST-12</v>
          </cell>
          <cell r="C1128">
            <v>2</v>
          </cell>
        </row>
        <row r="1129">
          <cell r="A1129" t="str">
            <v>E053141300N7300010</v>
          </cell>
          <cell r="B1129" t="str">
            <v>สกรูเกลียวเหล็ก หัวเตเปอร์แฉก F No. 7 x 1 นิ้ว</v>
          </cell>
          <cell r="C1129">
            <v>209</v>
          </cell>
        </row>
        <row r="1130">
          <cell r="A1130" t="str">
            <v>E053141300N7500010</v>
          </cell>
          <cell r="B1130" t="str">
            <v>สกรูเกลียวเหล็ก หัวเตเปอร์แฉก F No.7 x 1.1/2 นิ้ว</v>
          </cell>
          <cell r="C1130">
            <v>172</v>
          </cell>
        </row>
        <row r="1131">
          <cell r="A1131" t="str">
            <v>E053141300N7600010</v>
          </cell>
          <cell r="B1131" t="str">
            <v>สกรูเกลียวเหล็ก หัวเตเปอร์แฉก F No.7 x 2 นิ้ว</v>
          </cell>
          <cell r="C1131">
            <v>190</v>
          </cell>
        </row>
        <row r="1132">
          <cell r="A1132" t="str">
            <v>E053141300N7700010</v>
          </cell>
          <cell r="B1132" t="str">
            <v>สกรูเกลียวเหล็ก หัวเตเปอร์แฉก F No.7 x 3 นิ้ว</v>
          </cell>
          <cell r="C1132">
            <v>252</v>
          </cell>
        </row>
        <row r="1133">
          <cell r="A1133" t="str">
            <v>E053141300N7800000</v>
          </cell>
          <cell r="B1133" t="str">
            <v>สกรูเกลียวเหล็ก หัวกลมแฉก P No. 7 x 6 หุน</v>
          </cell>
          <cell r="C1133">
            <v>53</v>
          </cell>
        </row>
        <row r="1134">
          <cell r="A1134" t="str">
            <v>E053141300N8300010</v>
          </cell>
          <cell r="B1134" t="str">
            <v>สกรูเกลียวเหล็ก หัวเตเปอร์แฉก F No. 8 x 1 นิ้ว</v>
          </cell>
          <cell r="C1134">
            <v>217</v>
          </cell>
        </row>
        <row r="1135">
          <cell r="A1135" t="str">
            <v>E053141300N8500010</v>
          </cell>
          <cell r="B1135" t="str">
            <v>สกรูเกลียวเหล็ก หัวเตเปอร์แฉก F No. 8 x 1.1/2 นิ้ว</v>
          </cell>
          <cell r="C1135">
            <v>348</v>
          </cell>
        </row>
        <row r="1136">
          <cell r="A1136" t="str">
            <v>E053141300N8600010</v>
          </cell>
          <cell r="B1136" t="str">
            <v>สกรูเกลียวเหล็ก หัวเตเปอร์แฉก F No. 8 x 2 นิ้ว</v>
          </cell>
          <cell r="C1136">
            <v>383</v>
          </cell>
        </row>
        <row r="1137">
          <cell r="A1137" t="str">
            <v>E053141300N8700010</v>
          </cell>
          <cell r="B1137" t="str">
            <v>สกรูเกลียวเหล็ก หัวเตเปอร์แฉก F No. 8 x 3 นิ้ว</v>
          </cell>
          <cell r="C1137">
            <v>510</v>
          </cell>
        </row>
        <row r="1138">
          <cell r="A1138" t="str">
            <v>E054151300P0400300</v>
          </cell>
          <cell r="B1138" t="str">
            <v>แผ่นเจียรบาง ขนาด 4"x3 มม. มาราธอน</v>
          </cell>
          <cell r="C1138">
            <v>332</v>
          </cell>
        </row>
        <row r="1139">
          <cell r="A1139" t="str">
            <v>E054151300P0400600</v>
          </cell>
          <cell r="B1139" t="str">
            <v>แผ่นเจียรหนา ขนาด 4"x6 มม. มาราธอน</v>
          </cell>
          <cell r="C1139">
            <v>297</v>
          </cell>
        </row>
        <row r="1140">
          <cell r="A1140" t="str">
            <v>E054151300P0402000</v>
          </cell>
          <cell r="B1140" t="str">
            <v>ใบเพชรตัดคอนกรีต 4" ขนาด 105 x 2.0 x 20 มม. มาราธอน</v>
          </cell>
          <cell r="C1140">
            <v>10</v>
          </cell>
        </row>
        <row r="1141">
          <cell r="A1141" t="str">
            <v>E05514000000000000</v>
          </cell>
          <cell r="B1141" t="str">
            <v>Tools ยี่ห้อ MAKITA (กลุ่ม)</v>
          </cell>
          <cell r="C1141">
            <v>0</v>
          </cell>
        </row>
        <row r="1142">
          <cell r="A1142" t="str">
            <v>E055151300P0400000</v>
          </cell>
          <cell r="B1142" t="str">
            <v>ใบเจียร์กระจก/หิน 4 นิ้ว อ่อนตัว MAKITA</v>
          </cell>
          <cell r="C1142">
            <v>14</v>
          </cell>
        </row>
        <row r="1143">
          <cell r="A1143" t="str">
            <v>E055151300P0400200</v>
          </cell>
          <cell r="B1143" t="str">
            <v>แผ่นเจียร์ 4 นิ้ว 2 มม. อ่อนตัว MAKITA</v>
          </cell>
          <cell r="C1143">
            <v>18</v>
          </cell>
        </row>
        <row r="1144">
          <cell r="A1144" t="str">
            <v>E055151300P0400600</v>
          </cell>
          <cell r="B1144" t="str">
            <v>แผ่นเจียร์ 4x6 มม. (หนา) MAKITA</v>
          </cell>
          <cell r="C1144">
            <v>24</v>
          </cell>
        </row>
        <row r="1145">
          <cell r="A1145" t="str">
            <v>E05614000000000000</v>
          </cell>
          <cell r="B1145" t="str">
            <v>Tools ยี่ห้อคนป่า (กลุ่ม)</v>
          </cell>
          <cell r="C1145">
            <v>0</v>
          </cell>
        </row>
        <row r="1146">
          <cell r="A1146" t="str">
            <v>E056141301N4200000</v>
          </cell>
          <cell r="B1146" t="str">
            <v>รีเวท 4-2 สีขาวอลู ตราคนป่า</v>
          </cell>
          <cell r="C1146">
            <v>148</v>
          </cell>
        </row>
        <row r="1147">
          <cell r="A1147" t="str">
            <v>E056141301N4300000</v>
          </cell>
          <cell r="B1147" t="str">
            <v>รีเวท 4-3 สีขาวอลู ตราคนป่า</v>
          </cell>
          <cell r="C1147">
            <v>227</v>
          </cell>
        </row>
        <row r="1148">
          <cell r="A1148" t="str">
            <v>E056141301N4400000</v>
          </cell>
          <cell r="B1148" t="str">
            <v>รีเวท 4-4 สีขาวอลู ตราคนป่า</v>
          </cell>
          <cell r="C1148">
            <v>446</v>
          </cell>
        </row>
        <row r="1149">
          <cell r="A1149" t="str">
            <v>E056141301N4600000</v>
          </cell>
          <cell r="B1149" t="str">
            <v>รีเวท 4-6สีขาวอลู ตราคนป่า</v>
          </cell>
          <cell r="C1149">
            <v>152</v>
          </cell>
        </row>
        <row r="1150">
          <cell r="A1150" t="str">
            <v>E056141302N4200000</v>
          </cell>
          <cell r="B1150" t="str">
            <v>รีเวท 4-2 สีชา ตราคนป่า</v>
          </cell>
          <cell r="C1150">
            <v>340</v>
          </cell>
        </row>
        <row r="1151">
          <cell r="A1151" t="str">
            <v>E056141302N4300000</v>
          </cell>
          <cell r="B1151" t="str">
            <v>รีเวท 4-3 สีชา ตราคนป่า</v>
          </cell>
          <cell r="C1151">
            <v>248</v>
          </cell>
        </row>
        <row r="1152">
          <cell r="A1152" t="str">
            <v>E056141302N4400000</v>
          </cell>
          <cell r="B1152" t="str">
            <v>รีเวท 4-4 สีชา ตราคนป่า</v>
          </cell>
          <cell r="C1152">
            <v>155</v>
          </cell>
        </row>
        <row r="1153">
          <cell r="A1153" t="str">
            <v>E056141302N4600000</v>
          </cell>
          <cell r="B1153" t="str">
            <v>รีเวท 4-6 สีชา ตราคนป่า</v>
          </cell>
          <cell r="C1153">
            <v>77</v>
          </cell>
        </row>
        <row r="1154">
          <cell r="A1154" t="str">
            <v>E056141303N4200000</v>
          </cell>
          <cell r="B1154" t="str">
            <v>รีเวท 4-2 สีดำ ตราคนป่า</v>
          </cell>
          <cell r="C1154">
            <v>127</v>
          </cell>
        </row>
        <row r="1155">
          <cell r="A1155" t="str">
            <v>E056141303N4300000</v>
          </cell>
          <cell r="B1155" t="str">
            <v>รีเวท 4-3 สีดำ ตราคนป่า</v>
          </cell>
          <cell r="C1155">
            <v>95</v>
          </cell>
        </row>
        <row r="1156">
          <cell r="A1156" t="str">
            <v>E056141303N4400000</v>
          </cell>
          <cell r="B1156" t="str">
            <v>รีเวท 4-4 สีดำ ตราคนป่า</v>
          </cell>
          <cell r="C1156">
            <v>235</v>
          </cell>
        </row>
        <row r="1157">
          <cell r="A1157" t="str">
            <v>E056141303N4600000</v>
          </cell>
          <cell r="B1157" t="str">
            <v>รีเวท 4-6 สีดำ ตราคนป่า</v>
          </cell>
          <cell r="C1157">
            <v>97</v>
          </cell>
        </row>
        <row r="1158">
          <cell r="A1158" t="str">
            <v>E056141304N4200000</v>
          </cell>
          <cell r="B1158" t="str">
            <v>รีเวท 4-2 สีอบขาว ตราคนป่า</v>
          </cell>
          <cell r="C1158">
            <v>212</v>
          </cell>
        </row>
        <row r="1159">
          <cell r="A1159" t="str">
            <v>E056141304N4300000</v>
          </cell>
          <cell r="B1159" t="str">
            <v>รีเวท 4-3 สีอบขาว ตราคนป่า</v>
          </cell>
          <cell r="C1159">
            <v>123</v>
          </cell>
        </row>
        <row r="1160">
          <cell r="A1160" t="str">
            <v>E056141304N4400000</v>
          </cell>
          <cell r="B1160" t="str">
            <v>รีเวท 4-4 สีอบขาว ตราคนป่า</v>
          </cell>
          <cell r="C1160">
            <v>217</v>
          </cell>
        </row>
        <row r="1161">
          <cell r="A1161" t="str">
            <v>E056141304N4600000</v>
          </cell>
          <cell r="B1161" t="str">
            <v>รีเวท 4-6 สีอบขาว ตราคนป่า</v>
          </cell>
          <cell r="C1161">
            <v>92</v>
          </cell>
        </row>
        <row r="1162">
          <cell r="A1162" t="str">
            <v>E057130400Z0005000</v>
          </cell>
          <cell r="B1162" t="str">
            <v>กุญแจล็อค S50L (ซาติน) STANLEY</v>
          </cell>
          <cell r="C1162">
            <v>0</v>
          </cell>
        </row>
        <row r="1163">
          <cell r="A1163" t="str">
            <v>E057141300N0500000</v>
          </cell>
          <cell r="B1163" t="str">
            <v>ตลับเมตร 5 ม. STANLEY #TYLON 30-696N</v>
          </cell>
          <cell r="C1163">
            <v>197</v>
          </cell>
        </row>
        <row r="1164">
          <cell r="A1164" t="str">
            <v>E058151300P6110010</v>
          </cell>
          <cell r="B1164" t="str">
            <v>สกรูเกลียวเหล็กหัว F # 6 x 1/2" PS (100 ตัว)</v>
          </cell>
          <cell r="C1164">
            <v>44</v>
          </cell>
        </row>
        <row r="1165">
          <cell r="A1165" t="str">
            <v>E058151300P6110020</v>
          </cell>
          <cell r="B1165" t="str">
            <v>สกรูเกลียวเหล็กหัว P # 6 x 1/2" PS (100 ตัว)</v>
          </cell>
          <cell r="C1165">
            <v>81</v>
          </cell>
        </row>
        <row r="1166">
          <cell r="A1166" t="str">
            <v>E058151300P6210010</v>
          </cell>
          <cell r="B1166" t="str">
            <v>สกรูเกลียวเหล็กหัว F # 6 x 3/4" PS (100 ตัว)</v>
          </cell>
          <cell r="C1166">
            <v>37</v>
          </cell>
        </row>
        <row r="1167">
          <cell r="A1167" t="str">
            <v>E058151300P6210020</v>
          </cell>
          <cell r="B1167" t="str">
            <v>สกรูเกลียวเหล็กหัว P # 6 x 3/4" PS (100 ตัว)</v>
          </cell>
          <cell r="C1167">
            <v>67</v>
          </cell>
        </row>
        <row r="1168">
          <cell r="A1168" t="str">
            <v>E058151300P6310010</v>
          </cell>
          <cell r="B1168" t="str">
            <v>สกรูเกลียวเหล็กหัว F # 6 x 1" PS (100 ตัว)</v>
          </cell>
          <cell r="C1168">
            <v>45</v>
          </cell>
        </row>
        <row r="1169">
          <cell r="A1169" t="str">
            <v>E058151300P6310020</v>
          </cell>
          <cell r="B1169" t="str">
            <v>สกรูเกลียวเหล็กหัว P # 6 x 1" PS (100 ตัว)</v>
          </cell>
          <cell r="C1169">
            <v>74</v>
          </cell>
        </row>
        <row r="1170">
          <cell r="A1170" t="str">
            <v>E058151300P6405010</v>
          </cell>
          <cell r="B1170" t="str">
            <v>สกรูเกลียวเหล็กหัว F # 6 x 1-1/4" PS (50 ตัว)</v>
          </cell>
          <cell r="C1170">
            <v>52</v>
          </cell>
        </row>
        <row r="1171">
          <cell r="A1171" t="str">
            <v>E058151300P6405020</v>
          </cell>
          <cell r="B1171" t="str">
            <v>สกรูเกลียวเหล็กหัว P # 6 x 1-1/4" PS (50 ตัว)</v>
          </cell>
          <cell r="C1171">
            <v>85</v>
          </cell>
        </row>
        <row r="1172">
          <cell r="A1172" t="str">
            <v>E058151300P6505010</v>
          </cell>
          <cell r="B1172" t="str">
            <v>สกรูเกลียวเหล็กหัว F # 6 x 1-1/2" PS (50 ตัว)</v>
          </cell>
          <cell r="C1172">
            <v>49</v>
          </cell>
        </row>
        <row r="1173">
          <cell r="A1173" t="str">
            <v>E058151300P6505020</v>
          </cell>
          <cell r="B1173" t="str">
            <v>สกรูเกลียวเหล็กหัว P # 6 x 1-1/2" PS (50 ตัว)</v>
          </cell>
          <cell r="C1173">
            <v>84</v>
          </cell>
        </row>
        <row r="1174">
          <cell r="A1174" t="str">
            <v>E058151300P7110010</v>
          </cell>
          <cell r="B1174" t="str">
            <v>สกรูเกลียวเหล็กหัว F # 7 x 1/2" PS (100 ตัว)</v>
          </cell>
          <cell r="C1174">
            <v>70</v>
          </cell>
        </row>
        <row r="1175">
          <cell r="A1175" t="str">
            <v>E058151300P7110020</v>
          </cell>
          <cell r="B1175" t="str">
            <v>สกรูเกลียวเหล็กหัว P # 7 x 1/2" PS (100 ตัว)</v>
          </cell>
          <cell r="C1175">
            <v>47</v>
          </cell>
        </row>
        <row r="1176">
          <cell r="A1176" t="str">
            <v>E058151300P7210010</v>
          </cell>
          <cell r="B1176" t="str">
            <v>สกรูเกลียวเหล็กหัว F # 7 x 3/4" PS (100 ตัว)</v>
          </cell>
          <cell r="C1176">
            <v>51</v>
          </cell>
        </row>
        <row r="1177">
          <cell r="A1177" t="str">
            <v>E058151300P7210020</v>
          </cell>
          <cell r="B1177" t="str">
            <v>สกรูเกลียวเหล็กหัว P # 7 x 3/4" PS (100 ตัว)</v>
          </cell>
          <cell r="C1177">
            <v>78</v>
          </cell>
        </row>
        <row r="1178">
          <cell r="A1178" t="str">
            <v>E058151300P7305020</v>
          </cell>
          <cell r="B1178" t="str">
            <v>สกรูเกลียวเหล็กหัว P # 7 x 1" PS (50 ตัว)</v>
          </cell>
          <cell r="C1178">
            <v>81</v>
          </cell>
        </row>
        <row r="1179">
          <cell r="A1179" t="str">
            <v>E058151300P7310010</v>
          </cell>
          <cell r="B1179" t="str">
            <v>สกรูเกลียวเหล็กหัว F # 7 x 1" PS (100 ตัว)</v>
          </cell>
          <cell r="C1179">
            <v>68</v>
          </cell>
        </row>
        <row r="1180">
          <cell r="A1180" t="str">
            <v>E058151300P7310020</v>
          </cell>
          <cell r="B1180" t="str">
            <v>สกรูเกลียวเหล็กหัว P # 7 x 1" PS (100 ตัว)</v>
          </cell>
          <cell r="C1180">
            <v>95</v>
          </cell>
        </row>
        <row r="1181">
          <cell r="A1181" t="str">
            <v>E058151300P7405010</v>
          </cell>
          <cell r="B1181" t="str">
            <v>สกรูเกลียวเหล็กหัว F # 7 x 1-1/4" PS (50 ตัว)</v>
          </cell>
          <cell r="C1181">
            <v>78</v>
          </cell>
        </row>
        <row r="1182">
          <cell r="A1182" t="str">
            <v>E058151300P7405020</v>
          </cell>
          <cell r="B1182" t="str">
            <v>สกรูเกลียวเหล็กหัว P # 7 x 1-1/4" PS (50 ตัว)</v>
          </cell>
          <cell r="C1182">
            <v>63</v>
          </cell>
        </row>
        <row r="1183">
          <cell r="A1183" t="str">
            <v>E058151300P7505010</v>
          </cell>
          <cell r="B1183" t="str">
            <v>สกรูเกลียวเหล็กหัว F # 7 x 1-1/2" PS (50 ตัว)</v>
          </cell>
          <cell r="C1183">
            <v>71</v>
          </cell>
        </row>
        <row r="1184">
          <cell r="A1184" t="str">
            <v>E058151300P7505020</v>
          </cell>
          <cell r="B1184" t="str">
            <v>สกรูเกลียวเหล็กหัว P # 7 x 1-1/2" PS (50 ตัว)</v>
          </cell>
          <cell r="C1184">
            <v>96</v>
          </cell>
        </row>
        <row r="1185">
          <cell r="A1185" t="str">
            <v>E058151300P7510020</v>
          </cell>
          <cell r="B1185" t="str">
            <v>สกรูเกลียวเหล็กหัว P # 7 x 1-1/2" PS (100 ตัว)</v>
          </cell>
          <cell r="C1185">
            <v>36</v>
          </cell>
        </row>
        <row r="1186">
          <cell r="A1186" t="str">
            <v>E058151300P7605010</v>
          </cell>
          <cell r="B1186" t="str">
            <v>สกรูเกลียวเหล็กหัว F # 7 x 2" PS (50 ตัว)</v>
          </cell>
          <cell r="C1186">
            <v>63</v>
          </cell>
        </row>
        <row r="1187">
          <cell r="A1187" t="str">
            <v>E058151300P7610010</v>
          </cell>
          <cell r="B1187" t="str">
            <v>สกรูเกลียวเหล็กหัว F # 7 x 2" PS (100 ตัว)</v>
          </cell>
          <cell r="C1187">
            <v>27</v>
          </cell>
        </row>
        <row r="1188">
          <cell r="A1188" t="str">
            <v>E058151300P7705010</v>
          </cell>
          <cell r="B1188" t="str">
            <v>สกรูเกลียวเหล็กหัว F # 7 x 3" PS (50 ตัว)</v>
          </cell>
          <cell r="C1188">
            <v>0</v>
          </cell>
        </row>
        <row r="1189">
          <cell r="A1189" t="str">
            <v>E058151300P7710010</v>
          </cell>
          <cell r="B1189" t="str">
            <v>สกรูเกลียวเหล็กหัว F # 7 x 3" PS (100 ตัว)</v>
          </cell>
          <cell r="C1189">
            <v>0</v>
          </cell>
        </row>
        <row r="1190">
          <cell r="A1190" t="str">
            <v>E058151300P8102520</v>
          </cell>
          <cell r="B1190" t="str">
            <v>สกรูเกลียวปลายสว่านหัว P # 8 x 1/2" PS (25 ตัว)</v>
          </cell>
          <cell r="C1190">
            <v>9</v>
          </cell>
        </row>
        <row r="1191">
          <cell r="A1191" t="str">
            <v>E058151300P8110010</v>
          </cell>
          <cell r="B1191" t="str">
            <v>สกรูเกลียวเหล็กหัว F # 8 x 1/2" PS (100 ตัว)</v>
          </cell>
          <cell r="C1191">
            <v>51</v>
          </cell>
        </row>
        <row r="1192">
          <cell r="A1192" t="str">
            <v>E058151300P8110020</v>
          </cell>
          <cell r="B1192" t="str">
            <v>สกรูเกลียวเหล็กหัว P # 8 x 1/2" PS (100 ตัว)</v>
          </cell>
          <cell r="C1192">
            <v>38</v>
          </cell>
        </row>
        <row r="1193">
          <cell r="A1193" t="str">
            <v>E058151300P8202520</v>
          </cell>
          <cell r="B1193" t="str">
            <v>สกรูเกลียวปลายสว่านหัว P # 8 x 3/4" PS (25 ตัว)</v>
          </cell>
          <cell r="C1193">
            <v>0</v>
          </cell>
        </row>
        <row r="1194">
          <cell r="A1194" t="str">
            <v>E058151300P8302520</v>
          </cell>
          <cell r="B1194" t="str">
            <v>สกรูเกลียวปลายสว่านหัว P # 8 x 1" PS (25 ตัว)</v>
          </cell>
          <cell r="C1194">
            <v>65</v>
          </cell>
        </row>
        <row r="1195">
          <cell r="A1195" t="str">
            <v>E058151300P8310010</v>
          </cell>
          <cell r="B1195" t="str">
            <v>สกรูเกลียวเหล็กหัว F # 8 x 1" PS (100 ตัว)</v>
          </cell>
          <cell r="C1195">
            <v>43</v>
          </cell>
        </row>
        <row r="1196">
          <cell r="A1196" t="str">
            <v>E058151300P8310020</v>
          </cell>
          <cell r="B1196" t="str">
            <v>สกรูเกลียวเหล็กหัว P # 8 x 1" PS (100 ตัว)</v>
          </cell>
          <cell r="C1196">
            <v>66</v>
          </cell>
        </row>
        <row r="1197">
          <cell r="A1197" t="str">
            <v>E058151300P8402520</v>
          </cell>
          <cell r="B1197" t="str">
            <v>สกรูเกลียวปลายสว่านหัว P # 8 x 1-1/4" PS (25 ตัว)</v>
          </cell>
          <cell r="C1197">
            <v>4</v>
          </cell>
        </row>
        <row r="1198">
          <cell r="A1198" t="str">
            <v>E058151300P8405010</v>
          </cell>
          <cell r="B1198" t="str">
            <v>สกรูเกลียวเหล็กหัว F # 8 x 1-1/4" PS (50 ตัว)</v>
          </cell>
          <cell r="C1198">
            <v>59</v>
          </cell>
        </row>
        <row r="1199">
          <cell r="A1199" t="str">
            <v>E058151300P8405020</v>
          </cell>
          <cell r="B1199" t="str">
            <v>สกรูเกลียวเหล็กหัว P # 8 x 1-1/4" PS (50 ตัว)</v>
          </cell>
          <cell r="C1199">
            <v>111</v>
          </cell>
        </row>
        <row r="1200">
          <cell r="A1200" t="str">
            <v>E058151300P8502520</v>
          </cell>
          <cell r="B1200" t="str">
            <v>สกรูเกลียวปลายสว่านหัว P # 8 x 1-1/2" PS (25 ตัว)</v>
          </cell>
          <cell r="C1200">
            <v>29</v>
          </cell>
        </row>
        <row r="1201">
          <cell r="A1201" t="str">
            <v>E058151300P8505010</v>
          </cell>
          <cell r="B1201" t="str">
            <v>สกรูเกลียวเหล็กหัว F # 8 x 1-1/2" PS (50 ตัว)</v>
          </cell>
          <cell r="C1201">
            <v>49</v>
          </cell>
        </row>
        <row r="1202">
          <cell r="A1202" t="str">
            <v>E058151300P8505020</v>
          </cell>
          <cell r="B1202" t="str">
            <v>สกรูเกลียวเหล็กหัว P # 8 x 1-1/2" PS (50 ตัว)</v>
          </cell>
          <cell r="C1202">
            <v>90</v>
          </cell>
        </row>
        <row r="1203">
          <cell r="A1203" t="str">
            <v>E058151300P8602520</v>
          </cell>
          <cell r="B1203" t="str">
            <v>สกรูเกลียวปลายสว่านหัว P # 8 x 2" PS (25 ตัว)</v>
          </cell>
          <cell r="C1203">
            <v>0</v>
          </cell>
        </row>
        <row r="1204">
          <cell r="A1204" t="str">
            <v>E058151300P8605010</v>
          </cell>
          <cell r="B1204" t="str">
            <v>สกรูเกลียวเหล็กหัว F # 8 x 2" PS (50 ตัว)</v>
          </cell>
          <cell r="C1204">
            <v>35</v>
          </cell>
        </row>
        <row r="1205">
          <cell r="A1205" t="str">
            <v>E058151300P8605020</v>
          </cell>
          <cell r="B1205" t="str">
            <v>สกรูเกลียวเหล็กหัว P # 8 x 2" PS (50 ตัว)</v>
          </cell>
          <cell r="C1205">
            <v>56</v>
          </cell>
        </row>
        <row r="1206">
          <cell r="A1206" t="str">
            <v>E058151301P4202500</v>
          </cell>
          <cell r="B1206" t="str">
            <v>รีเวท 4-2 สีขาวอลู PS (25 ตัว)</v>
          </cell>
          <cell r="C1206">
            <v>36</v>
          </cell>
        </row>
        <row r="1207">
          <cell r="A1207" t="str">
            <v>E058151301P4302500</v>
          </cell>
          <cell r="B1207" t="str">
            <v>รีเวท 4-3 สีขาวอลู PS (25 ตัว)</v>
          </cell>
          <cell r="C1207">
            <v>35</v>
          </cell>
        </row>
        <row r="1208">
          <cell r="A1208" t="str">
            <v>E058151301P4402500</v>
          </cell>
          <cell r="B1208" t="str">
            <v>รีเวท 4-4 สีขาวอลู  PS (25 ตัว)</v>
          </cell>
          <cell r="C1208">
            <v>23</v>
          </cell>
        </row>
        <row r="1209">
          <cell r="A1209" t="str">
            <v>E058151301P4405000</v>
          </cell>
          <cell r="B1209" t="str">
            <v>รีเวท 4-4 สีขาวอลู  PS (50 ตัว)</v>
          </cell>
          <cell r="C1209">
            <v>2</v>
          </cell>
        </row>
        <row r="1210">
          <cell r="A1210" t="str">
            <v>E058151301P4502500</v>
          </cell>
          <cell r="B1210" t="str">
            <v>รีเวท 4-5 สีขาวอลู  PS (25 ตัว)</v>
          </cell>
          <cell r="C1210">
            <v>114</v>
          </cell>
        </row>
        <row r="1211">
          <cell r="A1211" t="str">
            <v>E058151301P4505000</v>
          </cell>
          <cell r="B1211" t="str">
            <v>รีเวท 4-5 สีขาวอลู  PS (50 ตัว)</v>
          </cell>
          <cell r="C1211">
            <v>32</v>
          </cell>
        </row>
        <row r="1212">
          <cell r="A1212" t="str">
            <v>E058151301P4602500</v>
          </cell>
          <cell r="B1212" t="str">
            <v>รีเวท 4-6 สีขาวอลู  PS (25 ตัว)</v>
          </cell>
          <cell r="C1212">
            <v>173</v>
          </cell>
        </row>
        <row r="1213">
          <cell r="A1213" t="str">
            <v>E058151301P4605000</v>
          </cell>
          <cell r="B1213" t="str">
            <v>รีเวท 4-6 สีขาวอลู  PS (50 ตัว)</v>
          </cell>
          <cell r="C1213">
            <v>81</v>
          </cell>
        </row>
        <row r="1214">
          <cell r="A1214" t="str">
            <v>E058151301P5302500</v>
          </cell>
          <cell r="B1214" t="str">
            <v>รีเวท 5-3 สีขาวอลู  PS (25 ตัว)</v>
          </cell>
          <cell r="C1214">
            <v>53</v>
          </cell>
        </row>
        <row r="1215">
          <cell r="A1215" t="str">
            <v>E058151301P5402500</v>
          </cell>
          <cell r="B1215" t="str">
            <v>รีเวท 5-4 สีขาวอลู  PS (25 ตัว)</v>
          </cell>
          <cell r="C1215">
            <v>86</v>
          </cell>
        </row>
        <row r="1216">
          <cell r="A1216" t="str">
            <v>E058151301P5502500</v>
          </cell>
          <cell r="B1216" t="str">
            <v>รีเวท 5-5 สีขาวอลู  PS (25 ตัว)</v>
          </cell>
          <cell r="C1216">
            <v>81</v>
          </cell>
        </row>
        <row r="1217">
          <cell r="A1217" t="str">
            <v>E058151301P5602500</v>
          </cell>
          <cell r="B1217" t="str">
            <v>รีเวท 5-6 สีขาวอลู  PS (25 ตัว)</v>
          </cell>
          <cell r="C1217">
            <v>74</v>
          </cell>
        </row>
        <row r="1218">
          <cell r="A1218" t="str">
            <v>E058151303P2520002</v>
          </cell>
          <cell r="B1218" t="str">
            <v>เทปกันลื่น ภายนอกอาคาร สีดำ ขนาด 2.5 ซม. x 2 ม.</v>
          </cell>
          <cell r="C1218">
            <v>25</v>
          </cell>
        </row>
        <row r="1219">
          <cell r="A1219" t="str">
            <v>E058151304P0110000</v>
          </cell>
          <cell r="B1219" t="str">
            <v>พุกยึดผนังกลวงรุ่นปีกผีเสื้อ สีขาว (100 ตัว)</v>
          </cell>
          <cell r="C1219">
            <v>61</v>
          </cell>
        </row>
        <row r="1220">
          <cell r="A1220" t="str">
            <v>E058151304P0810025</v>
          </cell>
          <cell r="B1220" t="str">
            <v>สายรัดสายไฟ 2.5 x 80 มม.(100 เส้น)</v>
          </cell>
          <cell r="C1220">
            <v>77</v>
          </cell>
        </row>
        <row r="1221">
          <cell r="A1221" t="str">
            <v>E058151304P1010025</v>
          </cell>
          <cell r="B1221" t="str">
            <v>สายรัดสายไฟ 2.5 x 100 มม.(100 เส้น)</v>
          </cell>
          <cell r="C1221">
            <v>74</v>
          </cell>
        </row>
        <row r="1222">
          <cell r="A1222" t="str">
            <v>E058151304P1101010</v>
          </cell>
          <cell r="B1222" t="str">
            <v>พุกพลาสติก สีขาว + สกรูกลียวเหล็ก F # 10 (10 ชุด)</v>
          </cell>
          <cell r="C1222">
            <v>64</v>
          </cell>
        </row>
        <row r="1223">
          <cell r="A1223" t="str">
            <v>E058151304P1101020</v>
          </cell>
          <cell r="B1223" t="str">
            <v>พุกพลาสติก สีขาว + สกรูกลียวเหล็ก P # 10 (10 ชุด)</v>
          </cell>
          <cell r="C1223">
            <v>73</v>
          </cell>
        </row>
        <row r="1224">
          <cell r="A1224" t="str">
            <v>E058151304P1102500</v>
          </cell>
          <cell r="B1224" t="str">
            <v>พุกพลาสติก สีขาว#10 (25 ตัว)</v>
          </cell>
          <cell r="C1224">
            <v>71</v>
          </cell>
        </row>
        <row r="1225">
          <cell r="A1225" t="str">
            <v>E058151304P1510036</v>
          </cell>
          <cell r="B1225" t="str">
            <v>สายรัดสายไฟ 3.6 x 150 มม.(100 เส้น)</v>
          </cell>
          <cell r="C1225">
            <v>73</v>
          </cell>
        </row>
        <row r="1226">
          <cell r="A1226" t="str">
            <v>E058151304P2010036</v>
          </cell>
          <cell r="B1226" t="str">
            <v>สายรัดสายไฟ 3.6 x 200 มม.(100 เส้น)</v>
          </cell>
          <cell r="C1226">
            <v>65</v>
          </cell>
        </row>
        <row r="1227">
          <cell r="A1227" t="str">
            <v>E058151304P5101010</v>
          </cell>
          <cell r="B1227" t="str">
            <v>พุกพลาสติก สีขาว + สกรูกลียวเหล็ก F # 5 (10 ชุด)</v>
          </cell>
          <cell r="C1227">
            <v>72</v>
          </cell>
        </row>
        <row r="1228">
          <cell r="A1228" t="str">
            <v>E058151304P5101020</v>
          </cell>
          <cell r="B1228" t="str">
            <v>พุกพลาสติก สีขาว + สกรูกลียวเหล็ก P # 5 (10 ชุด)</v>
          </cell>
          <cell r="C1228">
            <v>75</v>
          </cell>
        </row>
        <row r="1229">
          <cell r="A1229" t="str">
            <v>E058151304P5102500</v>
          </cell>
          <cell r="B1229" t="str">
            <v xml:space="preserve">พุกพลาสติก สีขาว #5 (25 ตัว) </v>
          </cell>
          <cell r="C1229">
            <v>74</v>
          </cell>
        </row>
        <row r="1230">
          <cell r="A1230" t="str">
            <v>E058151304P6101010</v>
          </cell>
          <cell r="B1230" t="str">
            <v>พุกพลาสติก สีขาว + สกรูกลียวเหล็ก F # 6 (10 ชุด)</v>
          </cell>
          <cell r="C1230">
            <v>75</v>
          </cell>
        </row>
        <row r="1231">
          <cell r="A1231" t="str">
            <v>E058151304P6101020</v>
          </cell>
          <cell r="B1231" t="str">
            <v>พุกพลาสติก สีขาว + สกรูกลียวเหล็ก P # 6 (10 ชุด)</v>
          </cell>
          <cell r="C1231">
            <v>85</v>
          </cell>
        </row>
        <row r="1232">
          <cell r="A1232" t="str">
            <v>E058151304P6102500</v>
          </cell>
          <cell r="B1232" t="str">
            <v>พุกพลาสติก สีขาว #6 (25 ตัว)</v>
          </cell>
          <cell r="C1232">
            <v>56</v>
          </cell>
        </row>
        <row r="1233">
          <cell r="A1233" t="str">
            <v>E058151304P6200600</v>
          </cell>
          <cell r="B1233" t="str">
            <v>พุกอิฐบล็อค สีขาว  + สกรูกลียวเหล็ก # 6 (6 ชุด)</v>
          </cell>
          <cell r="C1233">
            <v>80</v>
          </cell>
        </row>
        <row r="1234">
          <cell r="A1234" t="str">
            <v>E058151304P7101010</v>
          </cell>
          <cell r="B1234" t="str">
            <v>พุกพลาสติก สีขาว + สกรูกลียวเหล็ก F # 7 (10 ชุด)</v>
          </cell>
          <cell r="C1234">
            <v>71</v>
          </cell>
        </row>
        <row r="1235">
          <cell r="A1235" t="str">
            <v>E058151304P7101020</v>
          </cell>
          <cell r="B1235" t="str">
            <v>พุกพลาสติก สีขาว + สกรูกลียวเหล็ก P # 7 (10 ชุด)</v>
          </cell>
          <cell r="C1235">
            <v>82</v>
          </cell>
        </row>
        <row r="1236">
          <cell r="A1236" t="str">
            <v>E058151304P7102500</v>
          </cell>
          <cell r="B1236" t="str">
            <v>พุกพลาสติก สีขาว #7 (25 ตัว)</v>
          </cell>
          <cell r="C1236">
            <v>42</v>
          </cell>
        </row>
        <row r="1237">
          <cell r="A1237" t="str">
            <v>E058151304P7200600</v>
          </cell>
          <cell r="B1237" t="str">
            <v>พุกอิฐบล็อค สีขาว + สกรูกลียวเหล็ก # 7 (6 ชุด)</v>
          </cell>
          <cell r="C1237">
            <v>109</v>
          </cell>
        </row>
        <row r="1238">
          <cell r="A1238" t="str">
            <v>E058151304P8101010</v>
          </cell>
          <cell r="B1238" t="str">
            <v>พุกพลาสติก สีขาว + สกรูกลียวเหล็ก F # 8 (10 ชุด)</v>
          </cell>
          <cell r="C1238">
            <v>140</v>
          </cell>
        </row>
        <row r="1239">
          <cell r="A1239" t="str">
            <v>E058151304P8101020</v>
          </cell>
          <cell r="B1239" t="str">
            <v>พุกพลาสติก สีขาว + สกรูกลียวเหล็ก P # 8 (10 ชุด)</v>
          </cell>
          <cell r="C1239">
            <v>154</v>
          </cell>
        </row>
        <row r="1240">
          <cell r="A1240" t="str">
            <v>E058151304P8102500</v>
          </cell>
          <cell r="B1240" t="str">
            <v>พุกพลาสติก สีขาว #8 (25 ตัว)</v>
          </cell>
          <cell r="C1240">
            <v>127</v>
          </cell>
        </row>
        <row r="1241">
          <cell r="A1241" t="str">
            <v>E058151304P8200600</v>
          </cell>
          <cell r="B1241" t="str">
            <v>พุกอิฐบล็อค สีขาว + สกรูกลียวเหล็ก # 8 (6 ชุด)</v>
          </cell>
          <cell r="C1241">
            <v>76</v>
          </cell>
        </row>
        <row r="1242">
          <cell r="A1242" t="str">
            <v>E058151305P2520001</v>
          </cell>
          <cell r="B1242" t="str">
            <v>เทปกันลื่น ภายในอาคาร สีเทา ขนาด 2.5 ซม. x 2 ม.</v>
          </cell>
          <cell r="C1242">
            <v>25</v>
          </cell>
        </row>
        <row r="1243">
          <cell r="A1243" t="str">
            <v>E059151303P1901000</v>
          </cell>
          <cell r="B1243" t="str">
            <v>เทปพันสายไฟ สีดำ 19 มม.x 10 ม.120 Mic (มอก.) Armstrong</v>
          </cell>
          <cell r="C1243">
            <v>70</v>
          </cell>
        </row>
        <row r="1244">
          <cell r="A1244" t="str">
            <v>E059151303P2401000</v>
          </cell>
          <cell r="B1244" t="str">
            <v>เทปโฟมกาว 2 หน้า สีดำ 24 มม.x 10 ม. Armstrong #BF1010 HAVANA</v>
          </cell>
          <cell r="C1244">
            <v>19</v>
          </cell>
        </row>
        <row r="1245">
          <cell r="A1245" t="str">
            <v>E059151304P2401000</v>
          </cell>
          <cell r="B1245" t="str">
            <v>เทปโฟมกาว 2 หน้า สีขาว 24 มม.x 10 ม. Armstrong #WF1010-STP</v>
          </cell>
          <cell r="C1245">
            <v>5</v>
          </cell>
        </row>
        <row r="1246">
          <cell r="A1246" t="str">
            <v>E059151319P2402000</v>
          </cell>
          <cell r="B1246" t="str">
            <v>เทปกาวย่น 24 มม x 20 หลา Armstrong</v>
          </cell>
          <cell r="C1246">
            <v>26</v>
          </cell>
        </row>
        <row r="1247">
          <cell r="A1247" t="str">
            <v>E059151319P4802000</v>
          </cell>
          <cell r="B1247" t="str">
            <v>เทปกาวย่น 48 มม x 20 หลา Armstrong</v>
          </cell>
          <cell r="C1247">
            <v>39</v>
          </cell>
        </row>
        <row r="1248">
          <cell r="A1248" t="str">
            <v>E060151300P0001000</v>
          </cell>
          <cell r="B1248" t="str">
            <v>ปลั๊กยาง DATA 16A สายไฟ VCT 3x1.5 10 ม. #HD9</v>
          </cell>
          <cell r="C1248">
            <v>6</v>
          </cell>
        </row>
        <row r="1249">
          <cell r="A1249" t="str">
            <v>E060151300P2000500</v>
          </cell>
          <cell r="B1249" t="str">
            <v>รางปลั๊ก DATA HD9SU2M3 2 ช่อง 5 ม. #HD9 SU3</v>
          </cell>
          <cell r="C1249">
            <v>11</v>
          </cell>
        </row>
        <row r="1250">
          <cell r="A1250" t="str">
            <v>E060151300P4400500</v>
          </cell>
          <cell r="B1250" t="str">
            <v>ปลั๊กไฟ DATA มอก 4 ช่อง 4 สวิตซ์ 5 ม. #HM4496</v>
          </cell>
          <cell r="C1250">
            <v>5</v>
          </cell>
        </row>
        <row r="1251">
          <cell r="A1251" t="str">
            <v>E060151305P4100300</v>
          </cell>
          <cell r="B1251" t="str">
            <v>ปลั๊กไฟ DATA มอก สีเทา 4 ช่อง 1 สวิตซ์ 3 ม. #AP4156</v>
          </cell>
          <cell r="C1251">
            <v>9</v>
          </cell>
        </row>
        <row r="1252">
          <cell r="A1252" t="str">
            <v>E061141301N0000000</v>
          </cell>
          <cell r="B1252" t="str">
            <v>สีสเปรย์พ่นอลูมิเนียม สีขาวอลู SMS</v>
          </cell>
          <cell r="C1252">
            <v>7</v>
          </cell>
        </row>
        <row r="1253">
          <cell r="A1253" t="str">
            <v>E061141303N0000000</v>
          </cell>
          <cell r="B1253" t="str">
            <v>สีสเปรย์พ่นอลูมิเนียม สีดำ SMS</v>
          </cell>
          <cell r="C1253">
            <v>156</v>
          </cell>
        </row>
        <row r="1254">
          <cell r="A1254" t="str">
            <v>E061141304N0000000</v>
          </cell>
          <cell r="B1254" t="str">
            <v xml:space="preserve">สีสเปรย์พ่นอลูมิเนียม สีอบขาว SMS </v>
          </cell>
          <cell r="C1254">
            <v>143</v>
          </cell>
        </row>
        <row r="1255">
          <cell r="A1255" t="str">
            <v>E062151311P1502000</v>
          </cell>
          <cell r="B1255" t="str">
            <v>เชือกถักแบน 15 มม.x 20 ม.สีแดง  ELEGANCE #8853152087304</v>
          </cell>
          <cell r="C1255">
            <v>135</v>
          </cell>
        </row>
        <row r="1256">
          <cell r="A1256" t="str">
            <v>E062151312P1501000</v>
          </cell>
          <cell r="B1256" t="str">
            <v>เชือกถักแบน 15 มม.x 10 ม.สีน้ำเงิน ELEGANCE #8853152087236</v>
          </cell>
          <cell r="C1256">
            <v>115</v>
          </cell>
        </row>
        <row r="1257">
          <cell r="A1257" t="str">
            <v>E063141306N4400000</v>
          </cell>
          <cell r="B1257" t="str">
            <v>รีเวท สีเทาซาฮาร่า 4-4  ตรา TIGER</v>
          </cell>
          <cell r="C1257">
            <v>1</v>
          </cell>
        </row>
        <row r="1258">
          <cell r="A1258" t="str">
            <v>E064020201B0090000</v>
          </cell>
          <cell r="B1258" t="str">
            <v>โช้คอัพบานเลื่อนรางแขวน สีขาวอลู ขนาด 90 ซม. YOMA</v>
          </cell>
          <cell r="C1258">
            <v>4</v>
          </cell>
        </row>
        <row r="1259">
          <cell r="A1259" t="str">
            <v>E064020201B0120000</v>
          </cell>
          <cell r="B1259" t="str">
            <v>โช้คอัพบานเลื่อนรางแขวน สีขาวอลู ขนาด 120 ซม. YOMA</v>
          </cell>
          <cell r="C1259">
            <v>1</v>
          </cell>
        </row>
        <row r="1260">
          <cell r="A1260" t="str">
            <v>E064020201B0150000</v>
          </cell>
          <cell r="B1260" t="str">
            <v>โช้คอัพบานเลื่อนรางแขวน สีขาวอลู ขนาด 150 ซม. YOMA</v>
          </cell>
          <cell r="C1260">
            <v>5</v>
          </cell>
        </row>
        <row r="1261">
          <cell r="A1261" t="str">
            <v>E064030210Z0030200</v>
          </cell>
          <cell r="B1261" t="str">
            <v>ลูกล้อบานเลื่อนเดี่ยว (น้ำเงิน/เขียว) YOMA</v>
          </cell>
          <cell r="C1261">
            <v>708</v>
          </cell>
        </row>
        <row r="1262">
          <cell r="A1262" t="str">
            <v>E064030211Z0030300</v>
          </cell>
          <cell r="B1262" t="str">
            <v>ลูกล้อบานเลื่อนเดี่ยว (แดง) YOMA</v>
          </cell>
          <cell r="C1262">
            <v>2</v>
          </cell>
        </row>
        <row r="1263">
          <cell r="A1263" t="str">
            <v>E065131100Z0100000</v>
          </cell>
          <cell r="B1263" t="str">
            <v>มีดตัดกระจก ตราเพชร 01</v>
          </cell>
          <cell r="C1263">
            <v>15</v>
          </cell>
        </row>
        <row r="1264">
          <cell r="A1264" t="str">
            <v>E066131100M0022000</v>
          </cell>
          <cell r="B1264" t="str">
            <v>แผ่นจานขัดเงา ชนิดPVA เบอร์ 220 Whetech #EGP-220</v>
          </cell>
          <cell r="C1264">
            <v>551</v>
          </cell>
        </row>
        <row r="1265">
          <cell r="A1265" t="str">
            <v>E067030800C0010400</v>
          </cell>
          <cell r="B1265" t="str">
            <v xml:space="preserve">ลูกล้อรางแขวนเล็ก 1นิ้ว (ตัว) TOP-CO </v>
          </cell>
          <cell r="C1265">
            <v>0</v>
          </cell>
        </row>
        <row r="1266">
          <cell r="A1266" t="str">
            <v>E067030800C0010401</v>
          </cell>
          <cell r="B1266" t="str">
            <v>ลูกล้อรางแขวนเล็ก 1นิ้ว (คู่) TOP-CO</v>
          </cell>
          <cell r="C1266">
            <v>661</v>
          </cell>
        </row>
        <row r="1267">
          <cell r="A1267" t="str">
            <v>E068141300N0000000</v>
          </cell>
          <cell r="B1267" t="str">
            <v>คีมย้ำรีเวท CRAB #030-0</v>
          </cell>
          <cell r="C1267">
            <v>136</v>
          </cell>
        </row>
        <row r="1268">
          <cell r="A1268" t="str">
            <v>E069010603A1210000</v>
          </cell>
          <cell r="B1268" t="str">
            <v>BI-FOLD ยางลูกโป่งฐานแข็ง สีดำ ฐาน 4.8 x โป่ง 6.5 มม. (100 ม.) #S76350</v>
          </cell>
          <cell r="C1268">
            <v>0</v>
          </cell>
        </row>
        <row r="1269">
          <cell r="A1269" t="str">
            <v>E06912000000000000</v>
          </cell>
          <cell r="B1269" t="str">
            <v>ACC ALU ยี่ห้อ GSM (กลุ่ม)</v>
          </cell>
          <cell r="C1269">
            <v>22</v>
          </cell>
        </row>
        <row r="1270">
          <cell r="A1270" t="str">
            <v>E069120203L0000000</v>
          </cell>
          <cell r="B1270" t="str">
            <v>EURO ฝาปิดรางล้อ EXTRACAP (02-GSM-8-00001)</v>
          </cell>
          <cell r="C1270">
            <v>328</v>
          </cell>
        </row>
        <row r="1271">
          <cell r="A1271" t="str">
            <v>E069120203L0002400</v>
          </cell>
          <cell r="B1271" t="str">
            <v>EURO ฝาปิดหัวเสา สีดำ ENDCAP 02-GSM-8-00002</v>
          </cell>
          <cell r="C1271">
            <v>0</v>
          </cell>
        </row>
        <row r="1272">
          <cell r="A1272" t="str">
            <v>E069120203L0261001</v>
          </cell>
          <cell r="B1272" t="str">
            <v>EURO กันฝุ่น (02-026-GSM-1001)</v>
          </cell>
          <cell r="C1272">
            <v>384</v>
          </cell>
        </row>
        <row r="1273">
          <cell r="A1273" t="str">
            <v>E069121000L1010000</v>
          </cell>
          <cell r="B1273" t="str">
            <v>Base Plate 100*100 mm. 02-01-P-17-I007551-0100 (ชุด)</v>
          </cell>
          <cell r="C1273">
            <v>2</v>
          </cell>
        </row>
        <row r="1274">
          <cell r="A1274" t="str">
            <v>E069141313L0007800</v>
          </cell>
          <cell r="B1274" t="str">
            <v>สีสเปรย์พ่นอลูมิเนียม ลายไม้ #P78 ไม้สัก (Premier)</v>
          </cell>
          <cell r="C1274">
            <v>3</v>
          </cell>
        </row>
        <row r="1275">
          <cell r="A1275" t="str">
            <v>E069141313L0011900</v>
          </cell>
          <cell r="B1275" t="str">
            <v>สีสเปรย์พ่นอลูมิเนียม ลายไม้ #119 Light Oat (Premier)</v>
          </cell>
          <cell r="C1275">
            <v>3</v>
          </cell>
        </row>
        <row r="1276">
          <cell r="A1276" t="str">
            <v>E07001000000000000</v>
          </cell>
          <cell r="B1276" t="str">
            <v>ยางยี่ห้อ KINGBO (กลุ่ม)</v>
          </cell>
          <cell r="C1276">
            <v>30</v>
          </cell>
        </row>
        <row r="1277">
          <cell r="A1277" t="str">
            <v>E070040703D7500100</v>
          </cell>
          <cell r="B1277" t="str">
            <v>EURO มือจับบานเปิด หน้าต่าง 35 มม. (แกนฟ็อก) สีดำ (02-001-017-KIB-10001)</v>
          </cell>
          <cell r="C1277">
            <v>180</v>
          </cell>
        </row>
        <row r="1278">
          <cell r="A1278" t="str">
            <v>E070040703D7500200</v>
          </cell>
          <cell r="B1278" t="str">
            <v>EURO มือจับบานเปิด  สีดำ (02-001-017-KIB-10002)</v>
          </cell>
          <cell r="C1278">
            <v>31</v>
          </cell>
        </row>
        <row r="1279">
          <cell r="A1279" t="str">
            <v>E070040703D7500303</v>
          </cell>
          <cell r="B1279" t="str">
            <v>EURO มือจับบานเปิด ดัมมี่ สีดำ (02-001-017-KIB-10003)</v>
          </cell>
          <cell r="C1279">
            <v>49</v>
          </cell>
        </row>
        <row r="1280">
          <cell r="A1280" t="str">
            <v>E070040703D7600500</v>
          </cell>
          <cell r="B1280" t="str">
            <v>EURO มือจับบานเลื่อนล็อค 1 จุด สีดำ (02-001-017-KIB-10005)</v>
          </cell>
          <cell r="C1280">
            <v>11</v>
          </cell>
        </row>
        <row r="1281">
          <cell r="A1281" t="str">
            <v>E070040703D7600600</v>
          </cell>
          <cell r="B1281" t="str">
            <v>EURO มือจับบานเลื่อน มัลติพอยท์ล็อค สีดำ (02-001-017-KIB-10006)</v>
          </cell>
          <cell r="C1281">
            <v>23</v>
          </cell>
        </row>
        <row r="1282">
          <cell r="A1282" t="str">
            <v>E070040703D7600800</v>
          </cell>
          <cell r="B1282" t="str">
            <v>EURO มือจับบานเลื่อนล็อค 1 จุดมีกุญแจ  สีดำ (02-001-017-KIB-10008)</v>
          </cell>
          <cell r="C1282">
            <v>21</v>
          </cell>
        </row>
        <row r="1283">
          <cell r="A1283" t="str">
            <v>E070040703D7600900</v>
          </cell>
          <cell r="B1283" t="str">
            <v>EURO มือจับบานเลื่อน มัลติพอยท์ล็อคมีกุญแจ สีดำ (02-001-017-KIB-10009)</v>
          </cell>
          <cell r="C1283">
            <v>50</v>
          </cell>
        </row>
        <row r="1284">
          <cell r="A1284" t="str">
            <v>E070040703D7601000</v>
          </cell>
          <cell r="B1284" t="str">
            <v>EURO มือจับดัมมี่บานเลื่อน (ไม่มีรู) สีดำ (02-001-017-KIB-10010)</v>
          </cell>
          <cell r="C1284">
            <v>54</v>
          </cell>
        </row>
        <row r="1285">
          <cell r="A1285" t="str">
            <v>E070040703D7601100</v>
          </cell>
          <cell r="B1285" t="str">
            <v>EURO มือจับดัมมี่บานเลื่อน (มีรู) สีดำ (02-001-017-KIB-10011)</v>
          </cell>
          <cell r="C1285">
            <v>48</v>
          </cell>
        </row>
        <row r="1286">
          <cell r="A1286" t="str">
            <v>E070040704D7500100</v>
          </cell>
          <cell r="B1286" t="str">
            <v>EURO มือจับบานเปิด หน้าต่าง 35 มม. (แกนฟ็อก) สีอบขาว (02-001-005-KIB-10001)</v>
          </cell>
          <cell r="C1286">
            <v>18</v>
          </cell>
        </row>
        <row r="1287">
          <cell r="A1287" t="str">
            <v>E070040704D7500200</v>
          </cell>
          <cell r="B1287" t="str">
            <v>EURO มือจับบานเปิด  สีอบขาว (02-001-005-KIB-10002)</v>
          </cell>
          <cell r="C1287">
            <v>10</v>
          </cell>
        </row>
        <row r="1288">
          <cell r="A1288" t="str">
            <v>E070040704D7500303</v>
          </cell>
          <cell r="B1288" t="str">
            <v>EURO มือจับบานเปิด ดัมมี่ สีอบขาว (02-001-005-KIB-10003)</v>
          </cell>
          <cell r="C1288">
            <v>13</v>
          </cell>
        </row>
        <row r="1289">
          <cell r="A1289" t="str">
            <v>E070040704D7600600</v>
          </cell>
          <cell r="B1289" t="str">
            <v>EURO มือจับบานเลื่อน มัลติพอยท์ล็อค สีอบขาว (02-001-005-KIB-10006)</v>
          </cell>
          <cell r="C1289">
            <v>1</v>
          </cell>
        </row>
        <row r="1290">
          <cell r="A1290" t="str">
            <v>E070040704D7600801</v>
          </cell>
          <cell r="B1290" t="str">
            <v>EURO มือจับบานเลื่อนล็อค 1 จุด  สีอบขาว (02-001-005-KIB-10008)</v>
          </cell>
          <cell r="C1290">
            <v>36</v>
          </cell>
        </row>
        <row r="1291">
          <cell r="A1291" t="str">
            <v>E070040704D7600802</v>
          </cell>
          <cell r="B1291" t="str">
            <v>EURO มือจับบานเลื่อนล็อค 1 จุดมีกุญแจ  สีอบขาว (02-001-005-KIB-10008)</v>
          </cell>
          <cell r="C1291">
            <v>5</v>
          </cell>
        </row>
        <row r="1292">
          <cell r="A1292" t="str">
            <v>E070040704D7600900</v>
          </cell>
          <cell r="B1292" t="str">
            <v>EURO มือจับบานเลื่อน มัลติพอยท์ล็อคมีกุญแจ สีอบขาว (02-001-005-KIB-10009)</v>
          </cell>
          <cell r="C1292">
            <v>0</v>
          </cell>
        </row>
        <row r="1293">
          <cell r="A1293" t="str">
            <v>E070050700E0353500</v>
          </cell>
          <cell r="B1293" t="str">
            <v>EURO ไส้กุญแจ 35-35 (02-007-000-KIB-10001)</v>
          </cell>
          <cell r="C1293">
            <v>89</v>
          </cell>
        </row>
        <row r="1294">
          <cell r="A1294" t="str">
            <v>E070050703E0300400</v>
          </cell>
          <cell r="B1294" t="str">
            <v>EURO ก้านกลอน 200 มม. สีดำ (02-003-017-KIB-10004)</v>
          </cell>
          <cell r="C1294">
            <v>36</v>
          </cell>
        </row>
        <row r="1295">
          <cell r="A1295" t="str">
            <v>E070050703E0300500</v>
          </cell>
          <cell r="B1295" t="str">
            <v>EURO ก้านกลอน 500 มม. สีดำ (02-003-017-KIB-10005)</v>
          </cell>
          <cell r="C1295">
            <v>6</v>
          </cell>
        </row>
        <row r="1296">
          <cell r="A1296" t="str">
            <v>E070050704E0300400</v>
          </cell>
          <cell r="B1296" t="str">
            <v>EURO ก้านกลอน 200 มม. สีอบขาว (02-003-005-KIB-10004)</v>
          </cell>
          <cell r="C1296">
            <v>11</v>
          </cell>
        </row>
        <row r="1297">
          <cell r="A1297" t="str">
            <v>E070050704E0300500</v>
          </cell>
          <cell r="B1297" t="str">
            <v>EURO ก้านกลอน 500 มม. สีอบขาว (02-003-005-KIB-10005)</v>
          </cell>
          <cell r="C1297">
            <v>12</v>
          </cell>
        </row>
        <row r="1298">
          <cell r="A1298" t="str">
            <v>E070080700H0600100</v>
          </cell>
          <cell r="B1298" t="str">
            <v>EURO บานพับ 4 Bar 35-90องศา 14 นิ้ว (02-006-000-KIB-10001)</v>
          </cell>
          <cell r="C1298">
            <v>88</v>
          </cell>
        </row>
        <row r="1299">
          <cell r="A1299" t="str">
            <v>E070080700H0600200</v>
          </cell>
          <cell r="B1299" t="str">
            <v>EURO แขนค้ำ 12 นิ้ว (02-006-000-KIB-10002)</v>
          </cell>
          <cell r="C1299">
            <v>73</v>
          </cell>
        </row>
        <row r="1300">
          <cell r="A1300" t="str">
            <v>E070080700H1400300</v>
          </cell>
          <cell r="B1300" t="str">
            <v>EURO บานพับซ่อน เปิด 90 องศา (02-014-000-KIB-10003)</v>
          </cell>
          <cell r="C1300">
            <v>33</v>
          </cell>
        </row>
        <row r="1301">
          <cell r="A1301" t="str">
            <v>E070080700H1400400</v>
          </cell>
          <cell r="B1301" t="str">
            <v>EURO บานพับซ่อน เปิด 180 องศา (02-014-000-KIB-10004)</v>
          </cell>
          <cell r="C1301">
            <v>32</v>
          </cell>
        </row>
        <row r="1302">
          <cell r="A1302" t="str">
            <v>E070080703H1400100</v>
          </cell>
          <cell r="B1302" t="str">
            <v>EURO บานพับ Hinge 40 kg  สีดำ (02-014-017-KIB-10001)</v>
          </cell>
          <cell r="C1302">
            <v>120</v>
          </cell>
        </row>
        <row r="1303">
          <cell r="A1303" t="str">
            <v>E070080703H1400200</v>
          </cell>
          <cell r="B1303" t="str">
            <v>EURO บานพับ-ขวา Hinge 60 kg  สีดำ (02-014-017-KIB-10002)</v>
          </cell>
          <cell r="C1303">
            <v>75</v>
          </cell>
        </row>
        <row r="1304">
          <cell r="A1304" t="str">
            <v>E070080703H1400600</v>
          </cell>
          <cell r="B1304" t="str">
            <v>EURO บานพับ-ซ้าย Hinge 60 kg  สีดำ (02-014-017-KIB-10006)</v>
          </cell>
          <cell r="C1304">
            <v>18</v>
          </cell>
        </row>
        <row r="1305">
          <cell r="A1305" t="str">
            <v>E070080704H1400100</v>
          </cell>
          <cell r="B1305" t="str">
            <v>EURO บานพับ Hinge 40 kg  สีอบขาว (02-014-005-KIB-10001)</v>
          </cell>
          <cell r="C1305">
            <v>34</v>
          </cell>
        </row>
        <row r="1306">
          <cell r="A1306" t="str">
            <v>E070080704H1400200</v>
          </cell>
          <cell r="B1306" t="str">
            <v>EURO บานพับ-ขวา Hinge 60 kg  สีอบขาว (02-014-005-KIB-10002)</v>
          </cell>
          <cell r="C1306">
            <v>46</v>
          </cell>
        </row>
        <row r="1307">
          <cell r="A1307" t="str">
            <v>E070080704H1400600</v>
          </cell>
          <cell r="B1307" t="str">
            <v>EURO บานพับ-ซ้าย Hinge 60 kg  สีอบขาว (02-014-005-KIB-10006)</v>
          </cell>
          <cell r="C1307">
            <v>25</v>
          </cell>
        </row>
        <row r="1308">
          <cell r="A1308" t="str">
            <v>E07012000000000000</v>
          </cell>
          <cell r="B1308" t="str">
            <v>ACC ALU ยี่ห้อ KINGBO (กลุ่ม)</v>
          </cell>
          <cell r="C1308">
            <v>0</v>
          </cell>
        </row>
        <row r="1309">
          <cell r="A1309" t="str">
            <v>E070120200L1000700</v>
          </cell>
          <cell r="B1309" t="str">
            <v>EURO รับล็อค (02-003-000-KIB-10007)</v>
          </cell>
          <cell r="C1309">
            <v>171</v>
          </cell>
        </row>
        <row r="1310">
          <cell r="A1310" t="str">
            <v>E070120700L0300200</v>
          </cell>
          <cell r="B1310" t="str">
            <v>EURO รับล็อคมัลติ C-groove (02-003-000-KIB-10002)</v>
          </cell>
          <cell r="C1310">
            <v>188</v>
          </cell>
        </row>
        <row r="1311">
          <cell r="A1311" t="str">
            <v>E070120700L0300300</v>
          </cell>
          <cell r="B1311" t="str">
            <v>EURO หมุดล็อคมัลติ (02-003-000-KIB-10003)</v>
          </cell>
          <cell r="C1311">
            <v>324</v>
          </cell>
        </row>
        <row r="1312">
          <cell r="A1312" t="str">
            <v>E070120700L0300600</v>
          </cell>
          <cell r="B1312" t="str">
            <v>EURO รับล็อคกลอน (02-003-017-KIB-10006)</v>
          </cell>
          <cell r="C1312">
            <v>85</v>
          </cell>
        </row>
        <row r="1313">
          <cell r="A1313" t="str">
            <v>E070120700L0400100</v>
          </cell>
          <cell r="B1313" t="str">
            <v>EURO ตลับกุญแจ Mortise Single Lock 35 มม. (02-004-000-KIB-10001)</v>
          </cell>
          <cell r="C1313">
            <v>11</v>
          </cell>
        </row>
        <row r="1314">
          <cell r="A1314" t="str">
            <v>E070120700L0400200</v>
          </cell>
          <cell r="B1314" t="str">
            <v>EURO ตลับกุญแจ Mortise-Multi 35 มม. (02-004-000-KIB-10002)</v>
          </cell>
          <cell r="C1314">
            <v>33</v>
          </cell>
        </row>
        <row r="1315">
          <cell r="A1315" t="str">
            <v>E070120700L1000100</v>
          </cell>
          <cell r="B1315" t="str">
            <v>EURO ตัวที 35 มม. (02-003-000-KIB-10001)</v>
          </cell>
          <cell r="C1315">
            <v>279</v>
          </cell>
        </row>
        <row r="1316">
          <cell r="A1316" t="str">
            <v>E070120700L1000101</v>
          </cell>
          <cell r="B1316" t="str">
            <v>EURO กันบานตกบานเปิด (02-009-000-KIB-10001)</v>
          </cell>
          <cell r="C1316">
            <v>130</v>
          </cell>
        </row>
        <row r="1317">
          <cell r="A1317" t="str">
            <v>E070120700L1000900</v>
          </cell>
          <cell r="B1317" t="str">
            <v xml:space="preserve">EURO หมุดล็อค 15 มม. (02-003-000-KIB-10009) </v>
          </cell>
          <cell r="C1317">
            <v>258</v>
          </cell>
        </row>
        <row r="1318">
          <cell r="A1318" t="str">
            <v>E070120700L1001000</v>
          </cell>
          <cell r="B1318" t="str">
            <v>EURO แป้นยูรับล็อค (02-003-000-KIB-10010)</v>
          </cell>
          <cell r="C1318">
            <v>10</v>
          </cell>
        </row>
        <row r="1319">
          <cell r="A1319" t="str">
            <v>E070120700L1001200</v>
          </cell>
          <cell r="B1319" t="str">
            <v>EURO แป้นยูรับล็อคบานเลื่อน (02-003-000-KIB-10012)</v>
          </cell>
          <cell r="C1319">
            <v>169</v>
          </cell>
        </row>
        <row r="1320">
          <cell r="A1320" t="str">
            <v>E071141300N1010000</v>
          </cell>
          <cell r="B1320" t="str">
            <v xml:space="preserve">ใบตัดอลูมิเนียม (ITALY) T.C.T ขนาด 10x100T </v>
          </cell>
          <cell r="C1320">
            <v>0</v>
          </cell>
        </row>
        <row r="1321">
          <cell r="A1321" t="str">
            <v>E071141300N1012000</v>
          </cell>
          <cell r="B1321" t="str">
            <v>ใบตัดอลูมิเนียม (ITALY) T.C.T ขนาด 10x120T</v>
          </cell>
          <cell r="C1321">
            <v>0</v>
          </cell>
        </row>
        <row r="1322">
          <cell r="A1322" t="str">
            <v>E071141300N1212000</v>
          </cell>
          <cell r="B1322" t="str">
            <v>ใบตัดอลูมิเนียม (ITALY)T.C.T  ขนาด 12x120T</v>
          </cell>
          <cell r="C1322">
            <v>0</v>
          </cell>
        </row>
        <row r="1323">
          <cell r="A1323" t="str">
            <v>E072040315Z3011101</v>
          </cell>
          <cell r="B1323" t="str">
            <v>มือจับสแตนเลส GM รุ่น 111 SS ขนาด 25x305</v>
          </cell>
          <cell r="C1323">
            <v>2</v>
          </cell>
        </row>
        <row r="1324">
          <cell r="A1324" t="str">
            <v>E072040315Z3011102</v>
          </cell>
          <cell r="B1324" t="str">
            <v>มือจับสแตนเลส GM รุ่น 111 SS ขนาด 25x350</v>
          </cell>
          <cell r="C1324">
            <v>4</v>
          </cell>
        </row>
        <row r="1325">
          <cell r="A1325" t="str">
            <v>E072040315Z3011103</v>
          </cell>
          <cell r="B1325" t="str">
            <v>มือจับสแตนเลส GM รุ่น 111 SS ขนาด 32x305</v>
          </cell>
          <cell r="C1325">
            <v>3</v>
          </cell>
        </row>
        <row r="1326">
          <cell r="A1326" t="str">
            <v>E072040315Z3011104</v>
          </cell>
          <cell r="B1326" t="str">
            <v>มือจับสแตนเลส GM รุ่น 111 SS ขนาด 32x350</v>
          </cell>
          <cell r="C1326">
            <v>1</v>
          </cell>
        </row>
        <row r="1327">
          <cell r="A1327" t="str">
            <v>E073130000M9130000</v>
          </cell>
          <cell r="B1327" t="str">
            <v>ถุงมือผ้าเคลือบยาง 9/L #1H-CG-300B</v>
          </cell>
          <cell r="C1327">
            <v>1080</v>
          </cell>
        </row>
        <row r="1328">
          <cell r="A1328" t="str">
            <v>E074040206Z2300000</v>
          </cell>
          <cell r="B1328" t="str">
            <v>มือจับเรียบมีรู รุ่นใหญ่ สีเทาเข้มซาฮาร่า Hi-P</v>
          </cell>
          <cell r="C1328">
            <v>15</v>
          </cell>
        </row>
        <row r="1329">
          <cell r="A1329" t="str">
            <v>E07412000000000000</v>
          </cell>
          <cell r="B1329" t="str">
            <v>ACC ALU ยี่ห้อ HI-P (กลุ่ม)</v>
          </cell>
          <cell r="C1329">
            <v>0</v>
          </cell>
        </row>
        <row r="1330">
          <cell r="A1330" t="str">
            <v>E075130000M0000000</v>
          </cell>
          <cell r="B1330" t="str">
            <v>ถุงมือยางจับกระจก ชุบยางสีเหลือง เบอร์9 #NRC4-GL9A</v>
          </cell>
          <cell r="C1330">
            <v>2637</v>
          </cell>
        </row>
        <row r="1331">
          <cell r="A1331" t="str">
            <v>E077090902I2100100</v>
          </cell>
          <cell r="B1331" t="str">
            <v xml:space="preserve">กันชนแม่เหล็ก สีชา (เล็ก) </v>
          </cell>
          <cell r="C1331">
            <v>593</v>
          </cell>
        </row>
        <row r="1332">
          <cell r="A1332" t="str">
            <v>E079090904I2100100</v>
          </cell>
          <cell r="B1332" t="str">
            <v>กันชนแม่เหล็ก สีอบขาว (เล็ก)</v>
          </cell>
          <cell r="C1332">
            <v>499</v>
          </cell>
        </row>
        <row r="1333">
          <cell r="A1333" t="str">
            <v>E080151300P0009900</v>
          </cell>
          <cell r="B1333" t="str">
            <v>หกเหลี่ยม (9ชิ้น) TEXAS BULL #TX-HK9LB</v>
          </cell>
          <cell r="C1333">
            <v>16</v>
          </cell>
        </row>
        <row r="1334">
          <cell r="A1334" t="str">
            <v>E080151300P2632200</v>
          </cell>
          <cell r="B1334" t="str">
            <v>โฮลซอเจาะฝ้า (ไฟดาวน์ไลท์) 30-200 มม. TEXAS BULL #TX-26322</v>
          </cell>
          <cell r="C1334">
            <v>42</v>
          </cell>
        </row>
        <row r="1335">
          <cell r="A1335" t="str">
            <v>E081070504G1401100</v>
          </cell>
          <cell r="B1335" t="str">
            <v>ขาเกล็ด สีอบขาว 4x11 (ป้าย 333)</v>
          </cell>
          <cell r="C1335">
            <v>13</v>
          </cell>
        </row>
        <row r="1336">
          <cell r="A1336" t="str">
            <v>E081070504G1401200</v>
          </cell>
          <cell r="B1336" t="str">
            <v>ขาเกล็ด สีอบขาว 4x12 (ป้าย 333)</v>
          </cell>
          <cell r="C1336">
            <v>5</v>
          </cell>
        </row>
        <row r="1337">
          <cell r="A1337" t="str">
            <v>E082020415Z0000000</v>
          </cell>
          <cell r="B1337" t="str">
            <v>โช้คอัพฝังพื้น 999 SS (ใช้กับบานฟิตติ้ง, บานเปลือย) (ไม่มีอะไหล่)</v>
          </cell>
          <cell r="C1337">
            <v>4</v>
          </cell>
        </row>
        <row r="1338">
          <cell r="A1338" t="str">
            <v>E083090903I1363000</v>
          </cell>
          <cell r="B1338" t="str">
            <v>มุ้งลวด 36 นิ้ว ตรายูนิคอร์น สีดำ</v>
          </cell>
          <cell r="C1338">
            <v>2</v>
          </cell>
        </row>
        <row r="1339">
          <cell r="A1339" t="str">
            <v>E083090903I1423000</v>
          </cell>
          <cell r="B1339" t="str">
            <v>มุ้งลวด 42 นิ้ว ตรายูนิคอร์น สีดำ</v>
          </cell>
          <cell r="C1339">
            <v>2</v>
          </cell>
        </row>
        <row r="1340">
          <cell r="A1340" t="str">
            <v>E083090903I1483000</v>
          </cell>
          <cell r="B1340" t="str">
            <v>มุ้งลวด 48 นิ้ว ตรายูนิคอร์น สีดำ</v>
          </cell>
          <cell r="C1340">
            <v>2</v>
          </cell>
        </row>
        <row r="1341">
          <cell r="A1341" t="str">
            <v>E084141300N1010000</v>
          </cell>
          <cell r="B1341" t="str">
            <v>ใบตัดอลูมิเนียม FREUD #LU5E0300 ขนาด10x100T</v>
          </cell>
          <cell r="C1341">
            <v>0</v>
          </cell>
        </row>
        <row r="1342">
          <cell r="A1342" t="str">
            <v>E084141300N1012000</v>
          </cell>
          <cell r="B1342" t="str">
            <v>ใบตัดอลูมิเนียม FREUD #LU5E0600 ขนาด12x120T</v>
          </cell>
          <cell r="C1342">
            <v>0</v>
          </cell>
        </row>
        <row r="1343">
          <cell r="A1343" t="str">
            <v>E08503000000000000</v>
          </cell>
          <cell r="B1343" t="str">
            <v>ลูกล้อ ยี่ห้อ WISDOM (กลุ่ม)</v>
          </cell>
          <cell r="C1343">
            <v>2</v>
          </cell>
        </row>
        <row r="1344">
          <cell r="A1344" t="str">
            <v>E08614000000000000</v>
          </cell>
          <cell r="B1344" t="str">
            <v>Tools ยี่ห้อ DMK (กลุ่ม)</v>
          </cell>
          <cell r="C1344">
            <v>0</v>
          </cell>
        </row>
        <row r="1345">
          <cell r="A1345" t="str">
            <v>E08804000000000000</v>
          </cell>
          <cell r="B1345" t="str">
            <v>มือจับ ยี่ห้อ Cenza (กลุ่ม)</v>
          </cell>
          <cell r="C1345">
            <v>0</v>
          </cell>
        </row>
        <row r="1346">
          <cell r="A1346" t="str">
            <v>E08904000000000000</v>
          </cell>
          <cell r="B1346" t="str">
            <v>มือจับ ยี่ห้อ CMECH (กลุ่ม)</v>
          </cell>
          <cell r="C1346">
            <v>0</v>
          </cell>
        </row>
        <row r="1347">
          <cell r="A1347" t="str">
            <v>E089040100D1010000</v>
          </cell>
          <cell r="B1347" t="str">
            <v>แกนฟ็อกมือจับบานเปิด 33 มิล CMECH #ชิดริม-A110100</v>
          </cell>
          <cell r="C1347">
            <v>0</v>
          </cell>
        </row>
        <row r="1348">
          <cell r="A1348" t="str">
            <v>E089040103D1021300</v>
          </cell>
          <cell r="B1348" t="str">
            <v>มือจับบานเปิด สีดำ CMECH #โคโลญ-A010213 (ซื้อ)</v>
          </cell>
          <cell r="C1348">
            <v>0</v>
          </cell>
        </row>
        <row r="1349">
          <cell r="A1349" t="str">
            <v>E089040103D1021301</v>
          </cell>
          <cell r="B1349" t="str">
            <v>มือจับบานเปิด สีดำ CMECH #โคโลญ-A010213 พร้อมแกนฟ็อก 33 มม.</v>
          </cell>
          <cell r="C1349">
            <v>29</v>
          </cell>
        </row>
        <row r="1350">
          <cell r="A1350" t="str">
            <v>E089040103D1044700</v>
          </cell>
          <cell r="B1350" t="str">
            <v>มือจับบานเปิดเบอร์ลิน สีดำ CMECH #เบอร์ลิน-A010447 (ซื้อ)</v>
          </cell>
          <cell r="C1350">
            <v>0</v>
          </cell>
        </row>
        <row r="1351">
          <cell r="A1351" t="str">
            <v>E089040103D1044701</v>
          </cell>
          <cell r="B1351" t="str">
            <v>มือจับบานเปิด สีดำ CMECH #เบอร์ลิน-A010447 พร้อมแกนฟ็อก 33 มม.</v>
          </cell>
          <cell r="C1351">
            <v>108</v>
          </cell>
        </row>
        <row r="1352">
          <cell r="A1352" t="str">
            <v>E089040203D1000400</v>
          </cell>
          <cell r="B1352" t="str">
            <v>มือจับดัมมี่ สีดำ CMECH #เมโทร-E010004</v>
          </cell>
          <cell r="C1352">
            <v>114</v>
          </cell>
        </row>
        <row r="1353">
          <cell r="A1353" t="str">
            <v>E089040203D1001900</v>
          </cell>
          <cell r="B1353" t="str">
            <v>มือจับฝังมัลติพอยท์ล็อคดัมมี่ สีดำ CMECH-E010019-10</v>
          </cell>
          <cell r="C1353">
            <v>75</v>
          </cell>
        </row>
        <row r="1354">
          <cell r="A1354" t="str">
            <v>E089040203D1002500</v>
          </cell>
          <cell r="B1354" t="str">
            <v>มือจับฝังมัลติพอยท์ล็อคล็อคกุญแจ สีดำ CMECH E010025</v>
          </cell>
          <cell r="C1354">
            <v>63</v>
          </cell>
        </row>
        <row r="1355">
          <cell r="A1355" t="str">
            <v>E089040203D1002600</v>
          </cell>
          <cell r="B1355" t="str">
            <v>มือจับฝังมัลติพอยท์ล็อค สีดำ CMECH-E010026-10</v>
          </cell>
          <cell r="C1355">
            <v>49</v>
          </cell>
        </row>
        <row r="1356">
          <cell r="A1356" t="str">
            <v>E089040203D1003600</v>
          </cell>
          <cell r="B1356" t="str">
            <v>มือจับล็อค สีดำ CMECH #เมโทร-E010036-10</v>
          </cell>
          <cell r="C1356">
            <v>85</v>
          </cell>
        </row>
        <row r="1357">
          <cell r="A1357" t="str">
            <v>E089040203D1003700</v>
          </cell>
          <cell r="B1357" t="str">
            <v>มือจับล็อค+กุญแจ สีดำ CMECH #เมโทร-E010037-10</v>
          </cell>
          <cell r="C1357">
            <v>39</v>
          </cell>
        </row>
        <row r="1358">
          <cell r="A1358" t="str">
            <v>E089040204D1000400</v>
          </cell>
          <cell r="B1358" t="str">
            <v>มือจับดัมมี่ สีอบขาว CMECH #เมโทร-E010004-09</v>
          </cell>
          <cell r="C1358">
            <v>16</v>
          </cell>
        </row>
        <row r="1359">
          <cell r="A1359" t="str">
            <v>E089040204D1001900</v>
          </cell>
          <cell r="B1359" t="str">
            <v>มือจับฝังมัลติพอยท์ล็อคดัมมี่ สีอบขาว CMECH-E010019-09</v>
          </cell>
          <cell r="C1359">
            <v>20</v>
          </cell>
        </row>
        <row r="1360">
          <cell r="A1360" t="str">
            <v>E089040204D1002500</v>
          </cell>
          <cell r="B1360" t="str">
            <v>มือจับฝังมัลติพอยท์ล็อคล็อคกุญแจ สีอบขาว CMECH E010025-09</v>
          </cell>
          <cell r="C1360">
            <v>10</v>
          </cell>
        </row>
        <row r="1361">
          <cell r="A1361" t="str">
            <v>E089040204D1002600</v>
          </cell>
          <cell r="B1361" t="str">
            <v>มือจับฝังมัลติพอยท์ล็อค สีอบขาว CMECH-E010026-09</v>
          </cell>
          <cell r="C1361">
            <v>20</v>
          </cell>
        </row>
        <row r="1362">
          <cell r="A1362" t="str">
            <v>E089040204D1003600</v>
          </cell>
          <cell r="B1362" t="str">
            <v>มือจับล็อค สีอบขาว CMECH #เมโทร-E010036-09</v>
          </cell>
          <cell r="C1362">
            <v>18</v>
          </cell>
        </row>
        <row r="1363">
          <cell r="A1363" t="str">
            <v>E089040204D1003700</v>
          </cell>
          <cell r="B1363" t="str">
            <v>มือจับล็อค+กุญแจ สีอบขาว CMECH #เมโทร-E010037-09</v>
          </cell>
          <cell r="C1363">
            <v>11</v>
          </cell>
        </row>
        <row r="1364">
          <cell r="A1364" t="str">
            <v>E08905000000000000</v>
          </cell>
          <cell r="B1364" t="str">
            <v>กุญแจ-กลอน ยี่ห้อ CMECH (กลุ่ม)</v>
          </cell>
          <cell r="C1364">
            <v>0</v>
          </cell>
        </row>
        <row r="1365">
          <cell r="A1365" t="str">
            <v>E08912000000000000</v>
          </cell>
          <cell r="B1365" t="str">
            <v>ACC ALU ยี่ห้อ CMECH (กลุ่ม)</v>
          </cell>
          <cell r="C1365">
            <v>0</v>
          </cell>
        </row>
        <row r="1366">
          <cell r="A1366" t="str">
            <v>E094010603A1205001</v>
          </cell>
          <cell r="B1366" t="str">
            <v>ยางลูกโป่ง Santoprene ฐาน 4.8 มม x โป่ง 6.5 มม สีดำ (50 ม.) S76350</v>
          </cell>
          <cell r="C1366">
            <v>39</v>
          </cell>
        </row>
        <row r="1367">
          <cell r="A1367" t="str">
            <v>E095090901Z1483099</v>
          </cell>
          <cell r="B1367" t="str">
            <v>มุ้งลวด สีขาวอลู48 นิ้ว ตราลูกโลก</v>
          </cell>
          <cell r="C1367">
            <v>0</v>
          </cell>
        </row>
        <row r="1368">
          <cell r="A1368" t="str">
            <v>E09604000000000000</v>
          </cell>
          <cell r="B1368" t="str">
            <v>มือจับ ยี่ห้อ PT Handle (กลุ่ม)</v>
          </cell>
          <cell r="C1368">
            <v>5</v>
          </cell>
        </row>
        <row r="1369">
          <cell r="A1369" t="str">
            <v>E09708000000000000</v>
          </cell>
          <cell r="B1369" t="str">
            <v>บานพับ ยี่ห้อ LOX (กลุ่ม)</v>
          </cell>
          <cell r="C1369">
            <v>0</v>
          </cell>
        </row>
        <row r="1370">
          <cell r="A1370" t="str">
            <v>E09805000000000000</v>
          </cell>
          <cell r="B1370" t="str">
            <v>กุญแจ-กลอน ยี่ห้อ Yale (กลุ่ม)</v>
          </cell>
          <cell r="C1370">
            <v>0</v>
          </cell>
        </row>
        <row r="1371">
          <cell r="A1371" t="str">
            <v>E099090903I3363000</v>
          </cell>
          <cell r="B1371" t="str">
            <v>มุ้งไฟเบอร์ สีดำ 36นิ้ว 3DI</v>
          </cell>
          <cell r="C1371">
            <v>20</v>
          </cell>
        </row>
        <row r="1372">
          <cell r="A1372" t="str">
            <v>E099090903I3423000</v>
          </cell>
          <cell r="B1372" t="str">
            <v>มุ้งไฟเบอร์ สีดำ 42นิ้ว 3DI</v>
          </cell>
          <cell r="C1372">
            <v>23</v>
          </cell>
        </row>
        <row r="1373">
          <cell r="A1373" t="str">
            <v>E099090903I3483000</v>
          </cell>
          <cell r="B1373" t="str">
            <v>มุ้งไฟเบอร์ สีดำ 48นิ้ว 3DI</v>
          </cell>
          <cell r="C1373">
            <v>23</v>
          </cell>
        </row>
        <row r="1374">
          <cell r="A1374" t="str">
            <v>E099090905I3363000</v>
          </cell>
          <cell r="B1374" t="str">
            <v>มุ้งไฟเบอร์ สีเทา 36 นิ้ว ตรา 3DI</v>
          </cell>
          <cell r="C1374">
            <v>29</v>
          </cell>
        </row>
        <row r="1375">
          <cell r="A1375" t="str">
            <v>E099090905I3423000</v>
          </cell>
          <cell r="B1375" t="str">
            <v>มุ้งไฟเบอร์ สีเทา 42 นิ้ว ตรา 3DI</v>
          </cell>
          <cell r="C1375">
            <v>34</v>
          </cell>
        </row>
        <row r="1376">
          <cell r="A1376" t="str">
            <v>E099090905I3483000</v>
          </cell>
          <cell r="B1376" t="str">
            <v>มุ้งไฟเบอร์ สีเทา 48 นิ้ว ตรา 3DI</v>
          </cell>
          <cell r="C1376">
            <v>29</v>
          </cell>
        </row>
        <row r="1377">
          <cell r="A1377" t="str">
            <v>E099141300N1800000</v>
          </cell>
          <cell r="B1377" t="str">
            <v>ดอกสว่าน 1/8" 3DI  (ซื้อ)</v>
          </cell>
          <cell r="C1377">
            <v>0</v>
          </cell>
        </row>
        <row r="1378">
          <cell r="A1378" t="str">
            <v>E099141300N1800001</v>
          </cell>
          <cell r="B1378" t="str">
            <v>ดอกสว่าน 1/8" 3DI (12ดอก/ห่อ)</v>
          </cell>
          <cell r="C1378">
            <v>306</v>
          </cell>
        </row>
        <row r="1379">
          <cell r="A1379" t="str">
            <v>E099141300N9640000</v>
          </cell>
          <cell r="B1379" t="str">
            <v>ดอกสว่าน 9/64" 3DI (ซื้อ)</v>
          </cell>
          <cell r="C1379">
            <v>0</v>
          </cell>
        </row>
        <row r="1380">
          <cell r="A1380" t="str">
            <v>E099141300N9640001</v>
          </cell>
          <cell r="B1380" t="str">
            <v>ดอกสว่าน 9/64" 3DI (12ดอก/ห่อ)</v>
          </cell>
          <cell r="C1380">
            <v>275</v>
          </cell>
        </row>
        <row r="1381">
          <cell r="A1381" t="str">
            <v>E099141301N4200000</v>
          </cell>
          <cell r="B1381" t="str">
            <v>รีเวท 4-2 สีขาวอลู ตรา 3DI</v>
          </cell>
          <cell r="C1381">
            <v>8</v>
          </cell>
        </row>
        <row r="1382">
          <cell r="A1382" t="str">
            <v>E099141301N4400000</v>
          </cell>
          <cell r="B1382" t="str">
            <v>รีเวท 4-4 สีขาวอลู ตรา 3DI</v>
          </cell>
          <cell r="C1382">
            <v>164</v>
          </cell>
        </row>
        <row r="1383">
          <cell r="A1383" t="str">
            <v>E099141302N4400000</v>
          </cell>
          <cell r="B1383" t="str">
            <v>รีเวท 4-4 สีชา ตรา 3DI</v>
          </cell>
          <cell r="C1383">
            <v>99</v>
          </cell>
        </row>
        <row r="1384">
          <cell r="A1384" t="str">
            <v>E099141303N4000000</v>
          </cell>
          <cell r="B1384" t="str">
            <v>ใบตัดเหล็กและสแตนเลส 4นิ้ว สีดำ 3DI (ซื้อ)</v>
          </cell>
          <cell r="C1384">
            <v>0</v>
          </cell>
        </row>
        <row r="1385">
          <cell r="A1385" t="str">
            <v>E099141303N4000101</v>
          </cell>
          <cell r="B1385" t="str">
            <v>ใบตัดเหล็กและสแตนเลส 4นิ้ว สีดำ 3DI</v>
          </cell>
          <cell r="C1385">
            <v>148</v>
          </cell>
        </row>
        <row r="1386">
          <cell r="A1386" t="str">
            <v>E099141303N4400000</v>
          </cell>
          <cell r="B1386" t="str">
            <v>รีเวท 4-4 สีดำ ตรา 3DI</v>
          </cell>
          <cell r="C1386">
            <v>212</v>
          </cell>
        </row>
        <row r="1387">
          <cell r="A1387" t="str">
            <v>E099141304N4400000</v>
          </cell>
          <cell r="B1387" t="str">
            <v>รีเวท 4-4 สีอบขาว ตรา 3DI</v>
          </cell>
          <cell r="C1387">
            <v>218</v>
          </cell>
        </row>
        <row r="1388">
          <cell r="A1388" t="str">
            <v>E099141306N4400000</v>
          </cell>
          <cell r="B1388" t="str">
            <v>รีเวท 4-4 สีเทาซาฮาร่า ตรา 3DI</v>
          </cell>
          <cell r="C1388">
            <v>100</v>
          </cell>
        </row>
        <row r="1389">
          <cell r="A1389" t="str">
            <v>E099141310N4000000</v>
          </cell>
          <cell r="B1389" t="str">
            <v>ใบตัดเหล็กและสแตนเลส 4นิ้ว สีเขียว 3DI (ซื้อ)</v>
          </cell>
          <cell r="C1389">
            <v>0</v>
          </cell>
        </row>
        <row r="1390">
          <cell r="A1390" t="str">
            <v>E099141310N4000101</v>
          </cell>
          <cell r="B1390" t="str">
            <v>ใบตัดเหล็กและสแตนเลส 4นิ้ว สีเขียว 3DI</v>
          </cell>
          <cell r="C1390">
            <v>1002</v>
          </cell>
        </row>
        <row r="1391">
          <cell r="A1391" t="str">
            <v>E099141313N4400001</v>
          </cell>
          <cell r="B1391" t="str">
            <v>รีเวท 4-4 สีไลท์โอ๊ค ตรา 3DI</v>
          </cell>
          <cell r="C1391">
            <v>108</v>
          </cell>
        </row>
        <row r="1392">
          <cell r="A1392" t="str">
            <v>E099141313N4400002</v>
          </cell>
          <cell r="B1392" t="str">
            <v>รีเวท 4-4 สีไม้สักทอง ตรา 3DI</v>
          </cell>
          <cell r="C1392">
            <v>109</v>
          </cell>
        </row>
        <row r="1393">
          <cell r="A1393" t="str">
            <v>E099141313N4400003</v>
          </cell>
          <cell r="B1393" t="str">
            <v>รีเวท 4-4 สีไม้สัก ตรา 3DI</v>
          </cell>
          <cell r="C1393">
            <v>107</v>
          </cell>
        </row>
        <row r="1394">
          <cell r="A1394" t="str">
            <v>E100141300N7020000</v>
          </cell>
          <cell r="B1394" t="str">
            <v>คีมย้ำรีเวท SRC รุ่น HR702 (เหล็ก) 3DI</v>
          </cell>
          <cell r="C1394">
            <v>73</v>
          </cell>
        </row>
        <row r="1395">
          <cell r="A1395" t="str">
            <v>E100141300N7050000</v>
          </cell>
          <cell r="B1395" t="str">
            <v>คีมย้ำรีเวท SRC รุ่น HR705 (อลูมิเนียม) 3DI</v>
          </cell>
          <cell r="C1395">
            <v>22</v>
          </cell>
        </row>
        <row r="1396">
          <cell r="A1396" t="str">
            <v>E10113000000000000</v>
          </cell>
          <cell r="B1396" t="str">
            <v>อุปกรณ์กระจก ยี่ห้อ HAFELE (กลุ่ม)</v>
          </cell>
          <cell r="C1396">
            <v>0</v>
          </cell>
        </row>
        <row r="1397">
          <cell r="A1397" t="str">
            <v>E102030000C0000100</v>
          </cell>
          <cell r="B1397" t="str">
            <v>ลูกล้อลูกปืนรางหนีบ ตราใบไม้ (บานเลื่อนล้อตู้)</v>
          </cell>
          <cell r="C1397">
            <v>54</v>
          </cell>
        </row>
        <row r="1398">
          <cell r="A1398" t="str">
            <v>E103040314D3011700</v>
          </cell>
          <cell r="B1398" t="str">
            <v>มือจับสแตนเลส SMA รุ่น 117 (SUS304) ขนาด305*25*75</v>
          </cell>
          <cell r="C1398">
            <v>51</v>
          </cell>
        </row>
        <row r="1399">
          <cell r="A1399" t="str">
            <v>ZZ09-15</v>
          </cell>
          <cell r="B1399" t="str">
            <v>เสื้อยืดคอกลม Diamond Size.L (ของแถม)</v>
          </cell>
          <cell r="C1399">
            <v>162</v>
          </cell>
        </row>
        <row r="1400">
          <cell r="A1400" t="str">
            <v>ZZ09-16</v>
          </cell>
          <cell r="B1400" t="str">
            <v>เสื้อยืดคอกลม Diamond Size.XL (ของแถม)</v>
          </cell>
          <cell r="C1400">
            <v>170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อุปกรณ์"/>
      <sheetName val="ราคาขาย 4-5-69"/>
    </sheetNames>
    <sheetDataSet>
      <sheetData sheetId="0"/>
      <sheetData sheetId="1">
        <row r="1">
          <cell r="A1" t="str">
            <v>SKU</v>
          </cell>
          <cell r="B1" t="str">
            <v>NO2</v>
          </cell>
          <cell r="C1" t="str">
            <v>Brand</v>
          </cell>
          <cell r="D1" t="str">
            <v>Color</v>
          </cell>
          <cell r="E1" t="str">
            <v>Description</v>
          </cell>
          <cell r="F1" t="str">
            <v>Stock All</v>
          </cell>
          <cell r="G1" t="str">
            <v>REก่อนVAT</v>
          </cell>
        </row>
        <row r="2">
          <cell r="A2" t="str">
            <v>E00001000000000000</v>
          </cell>
          <cell r="B2" t="str">
            <v>NAN0000</v>
          </cell>
          <cell r="C2" t="str">
            <v>E000</v>
          </cell>
          <cell r="D2" t="str">
            <v>00</v>
          </cell>
          <cell r="E2" t="str">
            <v>ยางไม่มียี่ห้อ (กลุ่ม)</v>
          </cell>
          <cell r="F2">
            <v>1</v>
          </cell>
          <cell r="G2">
            <v>0</v>
          </cell>
        </row>
        <row r="3">
          <cell r="A3" t="str">
            <v>E00002000000000000</v>
          </cell>
          <cell r="B3" t="str">
            <v>NAN0000</v>
          </cell>
          <cell r="C3" t="str">
            <v>E000</v>
          </cell>
          <cell r="D3" t="str">
            <v>00</v>
          </cell>
          <cell r="E3" t="str">
            <v>โช้ค ไม่มียี่ห้อ (กลุ่ม)</v>
          </cell>
          <cell r="F3">
            <v>0</v>
          </cell>
          <cell r="G3">
            <v>0</v>
          </cell>
        </row>
        <row r="4">
          <cell r="A4" t="str">
            <v>E00003000000000000</v>
          </cell>
          <cell r="B4" t="str">
            <v>NAN0000</v>
          </cell>
          <cell r="C4" t="str">
            <v>E000</v>
          </cell>
          <cell r="D4" t="str">
            <v>00</v>
          </cell>
          <cell r="E4" t="str">
            <v>ลูกล้อ ไม่มียี่ห้อ (กลุ่ม)</v>
          </cell>
          <cell r="F4">
            <v>0</v>
          </cell>
          <cell r="G4">
            <v>0</v>
          </cell>
        </row>
        <row r="5">
          <cell r="A5" t="str">
            <v>E00004000000000000</v>
          </cell>
          <cell r="B5" t="str">
            <v>NAN0000</v>
          </cell>
          <cell r="C5" t="str">
            <v>E000</v>
          </cell>
          <cell r="D5" t="str">
            <v>00</v>
          </cell>
          <cell r="E5" t="str">
            <v>มือจับไม่มียี่ห้อ (กลุ่ม)</v>
          </cell>
          <cell r="F5">
            <v>360</v>
          </cell>
          <cell r="G5">
            <v>0</v>
          </cell>
        </row>
        <row r="6">
          <cell r="A6" t="str">
            <v>E00005000000000000</v>
          </cell>
          <cell r="B6" t="str">
            <v>NAN0000</v>
          </cell>
          <cell r="C6" t="str">
            <v>E000</v>
          </cell>
          <cell r="D6" t="str">
            <v>00</v>
          </cell>
          <cell r="E6" t="str">
            <v>กุญแจ-กลอนไม่ระบุยี่ห้อ (กลุ่ม)</v>
          </cell>
          <cell r="F6">
            <v>2</v>
          </cell>
          <cell r="G6">
            <v>0</v>
          </cell>
        </row>
        <row r="7">
          <cell r="A7" t="str">
            <v>E00006000000000000</v>
          </cell>
          <cell r="B7" t="str">
            <v>NAN0000</v>
          </cell>
          <cell r="C7" t="str">
            <v>E000</v>
          </cell>
          <cell r="D7" t="str">
            <v>00</v>
          </cell>
          <cell r="E7" t="str">
            <v>ยางแพ๊ค (กลุ่ม)</v>
          </cell>
          <cell r="F7">
            <v>0</v>
          </cell>
          <cell r="G7">
            <v>0</v>
          </cell>
        </row>
        <row r="8">
          <cell r="A8" t="str">
            <v>E00007000000000000</v>
          </cell>
          <cell r="B8" t="str">
            <v>NAN0000</v>
          </cell>
          <cell r="C8" t="str">
            <v>E000</v>
          </cell>
          <cell r="D8" t="str">
            <v>00</v>
          </cell>
          <cell r="E8" t="str">
            <v>ขาเกล็ด ไม่ระบุยี่ห้อ (กลุ่ม)</v>
          </cell>
          <cell r="F8">
            <v>0</v>
          </cell>
          <cell r="G8">
            <v>0</v>
          </cell>
        </row>
        <row r="9">
          <cell r="A9" t="str">
            <v>E00008000000000000</v>
          </cell>
          <cell r="B9" t="str">
            <v>NAN0000</v>
          </cell>
          <cell r="C9" t="str">
            <v>E000</v>
          </cell>
          <cell r="D9" t="str">
            <v>00</v>
          </cell>
          <cell r="E9" t="str">
            <v>บานพับไม่มียี่ห้อ (กลุ่ม)</v>
          </cell>
          <cell r="F9">
            <v>2</v>
          </cell>
          <cell r="G9">
            <v>0</v>
          </cell>
        </row>
        <row r="10">
          <cell r="A10" t="str">
            <v>E00009000000000000</v>
          </cell>
          <cell r="B10" t="str">
            <v>NAN0000</v>
          </cell>
          <cell r="C10" t="str">
            <v>E000</v>
          </cell>
          <cell r="D10" t="str">
            <v>00</v>
          </cell>
          <cell r="E10" t="str">
            <v>มุ้งไม่มียี่ห้อ (กลุ่ม)</v>
          </cell>
          <cell r="F10">
            <v>0</v>
          </cell>
          <cell r="G10">
            <v>0</v>
          </cell>
        </row>
        <row r="11">
          <cell r="A11" t="str">
            <v>E000090900I3100000</v>
          </cell>
          <cell r="B11" t="str">
            <v>NAN0000-0902000</v>
          </cell>
          <cell r="C11" t="str">
            <v>E000</v>
          </cell>
          <cell r="D11" t="str">
            <v>00</v>
          </cell>
          <cell r="E11" t="str">
            <v>มุมประตู</v>
          </cell>
          <cell r="F11">
            <v>15066</v>
          </cell>
          <cell r="G11">
            <v>0.73270999999999997</v>
          </cell>
        </row>
        <row r="12">
          <cell r="A12" t="str">
            <v>E000090900I3100001</v>
          </cell>
          <cell r="B12" t="str">
            <v>NAN0000-0902000</v>
          </cell>
          <cell r="C12" t="str">
            <v>E000</v>
          </cell>
          <cell r="D12" t="str">
            <v>00</v>
          </cell>
          <cell r="E12" t="str">
            <v>มุมประตู (7กก./กระสอบ)</v>
          </cell>
          <cell r="F12">
            <v>2</v>
          </cell>
          <cell r="G12">
            <v>366.35509999999999</v>
          </cell>
        </row>
        <row r="13">
          <cell r="A13" t="str">
            <v>E000090900I3200000</v>
          </cell>
          <cell r="B13" t="str">
            <v>NAN0000-0901000</v>
          </cell>
          <cell r="C13" t="str">
            <v>E000</v>
          </cell>
          <cell r="D13" t="str">
            <v>00</v>
          </cell>
          <cell r="E13" t="str">
            <v xml:space="preserve">มุมหน้าต่าง </v>
          </cell>
          <cell r="F13">
            <v>19095</v>
          </cell>
          <cell r="G13">
            <v>0.73270999999999997</v>
          </cell>
        </row>
        <row r="14">
          <cell r="A14" t="str">
            <v>E000090900I3200001</v>
          </cell>
          <cell r="B14" t="str">
            <v>NAN0000-0901000</v>
          </cell>
          <cell r="C14" t="str">
            <v>E000</v>
          </cell>
          <cell r="D14" t="str">
            <v>00</v>
          </cell>
          <cell r="E14" t="str">
            <v>มุมหน้าต่าง (7กก./กระสอบ)</v>
          </cell>
          <cell r="F14">
            <v>2</v>
          </cell>
          <cell r="G14">
            <v>366.35509999999999</v>
          </cell>
        </row>
        <row r="15">
          <cell r="A15" t="str">
            <v>E000090900I3300000</v>
          </cell>
          <cell r="B15" t="str">
            <v>NAN0000-0903000</v>
          </cell>
          <cell r="C15" t="str">
            <v>E000</v>
          </cell>
          <cell r="D15" t="str">
            <v>00</v>
          </cell>
          <cell r="E15" t="str">
            <v>มุมกรอบรูป</v>
          </cell>
          <cell r="F15">
            <v>5860</v>
          </cell>
          <cell r="G15">
            <v>1.28</v>
          </cell>
        </row>
        <row r="16">
          <cell r="A16" t="str">
            <v>E000090900I3300001</v>
          </cell>
          <cell r="B16" t="str">
            <v>NAN0000-0903000</v>
          </cell>
          <cell r="C16" t="str">
            <v>E000</v>
          </cell>
          <cell r="D16" t="str">
            <v>00</v>
          </cell>
          <cell r="E16" t="str">
            <v>มุมกรอบรูป (7กก./กระสอบ)</v>
          </cell>
          <cell r="F16">
            <v>0</v>
          </cell>
          <cell r="G16">
            <v>385.04669999999999</v>
          </cell>
        </row>
        <row r="17">
          <cell r="A17" t="str">
            <v>E000090901I1120000</v>
          </cell>
          <cell r="B17" t="str">
            <v>NAN0001-0602000</v>
          </cell>
          <cell r="C17" t="str">
            <v>E000</v>
          </cell>
          <cell r="D17" t="str">
            <v>01</v>
          </cell>
          <cell r="E17" t="str">
            <v>บานพับประตูมุ้ง ธรรมดา สีขาวอลู</v>
          </cell>
          <cell r="F17">
            <v>5696</v>
          </cell>
          <cell r="G17">
            <v>1.87</v>
          </cell>
        </row>
        <row r="18">
          <cell r="A18" t="str">
            <v>E000090901I1220000</v>
          </cell>
          <cell r="B18" t="str">
            <v>NAN0001-0601000</v>
          </cell>
          <cell r="C18" t="str">
            <v>E000</v>
          </cell>
          <cell r="D18" t="str">
            <v>01</v>
          </cell>
          <cell r="E18" t="str">
            <v>บานพับหน้าต่างมุ้ง ธรรมดา สีขาวอลู</v>
          </cell>
          <cell r="F18">
            <v>6505</v>
          </cell>
          <cell r="G18">
            <v>1.59</v>
          </cell>
        </row>
        <row r="19">
          <cell r="A19" t="str">
            <v>E000090901I4000000</v>
          </cell>
          <cell r="B19" t="str">
            <v>NAN0001-0501000</v>
          </cell>
          <cell r="C19" t="str">
            <v>E000</v>
          </cell>
          <cell r="D19" t="str">
            <v>01</v>
          </cell>
          <cell r="E19" t="str">
            <v>ลูกบิดหางปลา สีขาว</v>
          </cell>
          <cell r="F19">
            <v>14600</v>
          </cell>
          <cell r="G19">
            <v>13.308</v>
          </cell>
        </row>
        <row r="20">
          <cell r="A20" t="str">
            <v>E000090901I4000001</v>
          </cell>
          <cell r="B20" t="str">
            <v/>
          </cell>
          <cell r="C20" t="str">
            <v>E000</v>
          </cell>
          <cell r="D20" t="str">
            <v>01</v>
          </cell>
          <cell r="E20" t="str">
            <v xml:space="preserve">ลูกบิดหางปลา สีขาว 1000ตัว/ถุง (ซื้อ) </v>
          </cell>
          <cell r="F20">
            <v>0</v>
          </cell>
          <cell r="G20">
            <v>133.08420000000001</v>
          </cell>
        </row>
        <row r="21">
          <cell r="A21" t="str">
            <v>E000090901I8200000</v>
          </cell>
          <cell r="B21" t="str">
            <v>NAN0001-0203002</v>
          </cell>
          <cell r="C21" t="str">
            <v>E000</v>
          </cell>
          <cell r="D21" t="str">
            <v>01</v>
          </cell>
          <cell r="E21" t="str">
            <v>มือจับหน้าต่างมุ้ง สีขาวอลู (คันธนู)</v>
          </cell>
          <cell r="F21">
            <v>1834</v>
          </cell>
          <cell r="G21">
            <v>4.67</v>
          </cell>
        </row>
        <row r="22">
          <cell r="A22" t="str">
            <v>E000090902I1120000</v>
          </cell>
          <cell r="B22" t="str">
            <v>NAN0002-0602000</v>
          </cell>
          <cell r="C22" t="str">
            <v>E000</v>
          </cell>
          <cell r="D22" t="str">
            <v>02</v>
          </cell>
          <cell r="E22" t="str">
            <v>บานพับประตูมุ้ง ธรรมดา สีชา</v>
          </cell>
          <cell r="F22">
            <v>3223</v>
          </cell>
          <cell r="G22">
            <v>3.65</v>
          </cell>
        </row>
        <row r="23">
          <cell r="A23" t="str">
            <v>E000090902I1220000</v>
          </cell>
          <cell r="B23" t="str">
            <v>NAN0002-0601000</v>
          </cell>
          <cell r="C23" t="str">
            <v>E000</v>
          </cell>
          <cell r="D23" t="str">
            <v>02</v>
          </cell>
          <cell r="E23" t="str">
            <v>บานพับหน้าต่างมุ้ง ธรรมดา สีชา</v>
          </cell>
          <cell r="F23">
            <v>3166</v>
          </cell>
          <cell r="G23">
            <v>3.18</v>
          </cell>
        </row>
        <row r="24">
          <cell r="A24" t="str">
            <v>E000090902I2100200</v>
          </cell>
          <cell r="B24" t="str">
            <v>NAN0002-0505000</v>
          </cell>
          <cell r="C24" t="str">
            <v>E000</v>
          </cell>
          <cell r="D24" t="str">
            <v>02</v>
          </cell>
          <cell r="E24" t="str">
            <v>กันชนแม่เหล็ก สีชา (ใหญ่)</v>
          </cell>
          <cell r="F24">
            <v>412</v>
          </cell>
          <cell r="G24">
            <v>8.76</v>
          </cell>
        </row>
        <row r="25">
          <cell r="A25" t="str">
            <v>E000090902I4000000</v>
          </cell>
          <cell r="B25" t="str">
            <v>NAN0002-0501000</v>
          </cell>
          <cell r="C25" t="str">
            <v>E000</v>
          </cell>
          <cell r="D25" t="str">
            <v>02</v>
          </cell>
          <cell r="E25" t="str">
            <v>ลูกบิดหางปลา สีชา</v>
          </cell>
          <cell r="F25">
            <v>9700</v>
          </cell>
          <cell r="G25">
            <v>13.308</v>
          </cell>
        </row>
        <row r="26">
          <cell r="A26" t="str">
            <v>E000090902I4000001</v>
          </cell>
          <cell r="B26" t="str">
            <v/>
          </cell>
          <cell r="C26" t="str">
            <v>E000</v>
          </cell>
          <cell r="D26" t="str">
            <v>02</v>
          </cell>
          <cell r="E26" t="str">
            <v xml:space="preserve">ลูกบิดหางปลา สีชา 1000ตัว/ถุง (ซื้อ) </v>
          </cell>
          <cell r="F26">
            <v>0</v>
          </cell>
          <cell r="G26">
            <v>133.08420000000001</v>
          </cell>
        </row>
        <row r="27">
          <cell r="A27" t="str">
            <v>E000090902I8200000</v>
          </cell>
          <cell r="B27" t="str">
            <v>NAN0002-0203002</v>
          </cell>
          <cell r="C27" t="str">
            <v>E000</v>
          </cell>
          <cell r="D27" t="str">
            <v>02</v>
          </cell>
          <cell r="E27" t="str">
            <v>มือจับหน้าต่างมุ้ง สีชา (คันธนู)</v>
          </cell>
          <cell r="F27">
            <v>1640</v>
          </cell>
          <cell r="G27">
            <v>5.6</v>
          </cell>
        </row>
        <row r="28">
          <cell r="A28" t="str">
            <v>E000090903I1120000</v>
          </cell>
          <cell r="B28" t="str">
            <v>NAN0004-0602000</v>
          </cell>
          <cell r="C28" t="str">
            <v>E000</v>
          </cell>
          <cell r="D28" t="str">
            <v>03</v>
          </cell>
          <cell r="E28" t="str">
            <v>บานพับประตูมุ้ง ธรรมดา สีดำ</v>
          </cell>
          <cell r="F28">
            <v>3298</v>
          </cell>
          <cell r="G28">
            <v>3.65</v>
          </cell>
        </row>
        <row r="29">
          <cell r="A29" t="str">
            <v>E000090903I1220000</v>
          </cell>
          <cell r="B29" t="str">
            <v>NAN0004-0601000</v>
          </cell>
          <cell r="C29" t="str">
            <v>E000</v>
          </cell>
          <cell r="D29" t="str">
            <v>03</v>
          </cell>
          <cell r="E29" t="str">
            <v>บานพับหน้าต่างมุ้ง ธรรมดา สีดำ</v>
          </cell>
          <cell r="F29">
            <v>5141</v>
          </cell>
          <cell r="G29">
            <v>3.26</v>
          </cell>
        </row>
        <row r="30">
          <cell r="A30" t="str">
            <v>E000090903I4000000</v>
          </cell>
          <cell r="B30" t="str">
            <v>NAN0004-0501000</v>
          </cell>
          <cell r="C30" t="str">
            <v>E000</v>
          </cell>
          <cell r="D30" t="str">
            <v>03</v>
          </cell>
          <cell r="E30" t="str">
            <v>ลูกบิดหางปลา สีดำ</v>
          </cell>
          <cell r="F30">
            <v>700</v>
          </cell>
          <cell r="G30">
            <v>13.308</v>
          </cell>
        </row>
        <row r="31">
          <cell r="A31" t="str">
            <v>E000090903I4000001</v>
          </cell>
          <cell r="B31" t="str">
            <v/>
          </cell>
          <cell r="C31" t="str">
            <v>E000</v>
          </cell>
          <cell r="D31" t="str">
            <v>03</v>
          </cell>
          <cell r="E31" t="str">
            <v xml:space="preserve">ลูกบิดหางปลา สีดำ 1000ตัว/ถุง (ซื้อ) </v>
          </cell>
          <cell r="F31">
            <v>0</v>
          </cell>
          <cell r="G31">
            <v>133.08420000000001</v>
          </cell>
        </row>
        <row r="32">
          <cell r="A32" t="str">
            <v>E000090903I8200000</v>
          </cell>
          <cell r="B32" t="str">
            <v>NAN0004-0203002</v>
          </cell>
          <cell r="C32" t="str">
            <v>E000</v>
          </cell>
          <cell r="D32" t="str">
            <v>03</v>
          </cell>
          <cell r="E32" t="str">
            <v>มือจับหน้าต่างมุ้ง สีดำ (คันธนู)</v>
          </cell>
          <cell r="F32">
            <v>1143</v>
          </cell>
          <cell r="G32">
            <v>5.6</v>
          </cell>
        </row>
        <row r="33">
          <cell r="A33" t="str">
            <v>E000090904I1120000</v>
          </cell>
          <cell r="B33" t="str">
            <v>NAN0011-0602000</v>
          </cell>
          <cell r="C33" t="str">
            <v>E000</v>
          </cell>
          <cell r="D33" t="str">
            <v>04</v>
          </cell>
          <cell r="E33" t="str">
            <v>บานพับประตูมุ้ง ธรรมดา สีอบขาว</v>
          </cell>
          <cell r="F33">
            <v>5780</v>
          </cell>
          <cell r="G33">
            <v>3.65</v>
          </cell>
        </row>
        <row r="34">
          <cell r="A34" t="str">
            <v>E000090904I1220000</v>
          </cell>
          <cell r="B34" t="str">
            <v>NAN0011-0601000</v>
          </cell>
          <cell r="C34" t="str">
            <v>E000</v>
          </cell>
          <cell r="D34" t="str">
            <v>04</v>
          </cell>
          <cell r="E34" t="str">
            <v>บานพับหน้าต่างมุ้ง ธรรมดา สีอบขาว</v>
          </cell>
          <cell r="F34">
            <v>5347</v>
          </cell>
          <cell r="G34">
            <v>3.18</v>
          </cell>
        </row>
        <row r="35">
          <cell r="A35" t="str">
            <v>E000090904I2100200</v>
          </cell>
          <cell r="B35" t="str">
            <v>NAN0011-0505000</v>
          </cell>
          <cell r="C35" t="str">
            <v>E000</v>
          </cell>
          <cell r="D35" t="str">
            <v>04</v>
          </cell>
          <cell r="E35" t="str">
            <v>กันชนแม่เหล็ก สีอบขาว (ใหญ่)</v>
          </cell>
          <cell r="F35">
            <v>544</v>
          </cell>
          <cell r="G35">
            <v>8.76</v>
          </cell>
        </row>
        <row r="36">
          <cell r="A36" t="str">
            <v>E000090904I8200000</v>
          </cell>
          <cell r="B36" t="str">
            <v>NAN0011-0203002</v>
          </cell>
          <cell r="C36" t="str">
            <v>E000</v>
          </cell>
          <cell r="D36" t="str">
            <v>04</v>
          </cell>
          <cell r="E36" t="str">
            <v>มือจับหน้าต่างมุ้ง สีอบขาว (คันธนู)</v>
          </cell>
          <cell r="F36">
            <v>1303</v>
          </cell>
          <cell r="G36">
            <v>5.6</v>
          </cell>
        </row>
        <row r="37">
          <cell r="A37" t="str">
            <v>E00010070000000000</v>
          </cell>
          <cell r="B37" t="str">
            <v>NFN0000</v>
          </cell>
          <cell r="C37" t="str">
            <v>E000</v>
          </cell>
          <cell r="D37" t="str">
            <v>00</v>
          </cell>
          <cell r="E37" t="str">
            <v>บานสำเร็จ (กลุ่ม)</v>
          </cell>
          <cell r="F37">
            <v>0</v>
          </cell>
          <cell r="G37">
            <v>0</v>
          </cell>
        </row>
        <row r="38">
          <cell r="A38" t="str">
            <v>E00011000000000000</v>
          </cell>
          <cell r="B38" t="str">
            <v>NAN0000</v>
          </cell>
          <cell r="C38" t="str">
            <v>E000</v>
          </cell>
          <cell r="D38" t="str">
            <v>00</v>
          </cell>
          <cell r="E38" t="str">
            <v>สแตนเลสไม่มียี่ห้อ (กลุ่ม)</v>
          </cell>
          <cell r="F38">
            <v>0</v>
          </cell>
          <cell r="G38">
            <v>0</v>
          </cell>
        </row>
        <row r="39">
          <cell r="A39" t="str">
            <v>E00012000000000000</v>
          </cell>
          <cell r="B39" t="str">
            <v>NAN0000</v>
          </cell>
          <cell r="C39" t="str">
            <v>E000</v>
          </cell>
          <cell r="D39" t="str">
            <v>00</v>
          </cell>
          <cell r="E39" t="str">
            <v>ACC ALU ไม่มียี่ห้อ (กลุ่ม)</v>
          </cell>
          <cell r="F39">
            <v>2</v>
          </cell>
          <cell r="G39">
            <v>0</v>
          </cell>
        </row>
        <row r="40">
          <cell r="A40" t="str">
            <v>E000120001L1000000</v>
          </cell>
          <cell r="B40" t="str">
            <v>NAN0001-1002010</v>
          </cell>
          <cell r="C40" t="str">
            <v>E000</v>
          </cell>
          <cell r="D40" t="str">
            <v>01</v>
          </cell>
          <cell r="E40" t="str">
            <v>ฉากรับชั้น 10 นิ้ว สีขาวอลู</v>
          </cell>
          <cell r="F40">
            <v>0</v>
          </cell>
          <cell r="G40">
            <v>0</v>
          </cell>
        </row>
        <row r="41">
          <cell r="A41" t="str">
            <v>E000120001L1200000</v>
          </cell>
          <cell r="B41" t="str">
            <v>NAN0001-1002012</v>
          </cell>
          <cell r="C41" t="str">
            <v>E000</v>
          </cell>
          <cell r="D41" t="str">
            <v>01</v>
          </cell>
          <cell r="E41" t="str">
            <v>ฉากรับชั้น 12 นิ้ว สีขาวอลู</v>
          </cell>
          <cell r="F41">
            <v>0</v>
          </cell>
          <cell r="G41">
            <v>0</v>
          </cell>
        </row>
        <row r="42">
          <cell r="A42" t="str">
            <v>E000120001L1400000</v>
          </cell>
          <cell r="B42" t="str">
            <v>NAN0001-1002014</v>
          </cell>
          <cell r="C42" t="str">
            <v>E000</v>
          </cell>
          <cell r="D42" t="str">
            <v>01</v>
          </cell>
          <cell r="E42" t="str">
            <v>ฉากรับชั้น 14 นิ้ว สีขาวอลู</v>
          </cell>
          <cell r="F42">
            <v>0</v>
          </cell>
          <cell r="G42">
            <v>0</v>
          </cell>
        </row>
        <row r="43">
          <cell r="A43" t="str">
            <v>E000120001L1600000</v>
          </cell>
          <cell r="B43" t="str">
            <v>NAN0001-1002016</v>
          </cell>
          <cell r="C43" t="str">
            <v>E000</v>
          </cell>
          <cell r="D43" t="str">
            <v>01</v>
          </cell>
          <cell r="E43" t="str">
            <v>ฉากรับชั้น 16 นิ้ว สีขาวอลู</v>
          </cell>
          <cell r="F43">
            <v>0</v>
          </cell>
          <cell r="G43">
            <v>0</v>
          </cell>
        </row>
        <row r="44">
          <cell r="A44" t="str">
            <v>E000120101L0100000</v>
          </cell>
          <cell r="B44" t="str">
            <v>NAN0001-0603000</v>
          </cell>
          <cell r="C44" t="str">
            <v>E000</v>
          </cell>
          <cell r="D44" t="str">
            <v>01</v>
          </cell>
          <cell r="E44" t="str">
            <v>บานพับยาว 2 เมตร สีขาว</v>
          </cell>
          <cell r="F44">
            <v>0</v>
          </cell>
          <cell r="G44">
            <v>0</v>
          </cell>
        </row>
        <row r="45">
          <cell r="A45" t="str">
            <v>E000120102L0100000</v>
          </cell>
          <cell r="B45" t="str">
            <v>NAN0002-0603000</v>
          </cell>
          <cell r="C45" t="str">
            <v>E000</v>
          </cell>
          <cell r="D45" t="str">
            <v>02</v>
          </cell>
          <cell r="E45" t="str">
            <v>บานพับยาว 2 เมตร สีชา</v>
          </cell>
          <cell r="F45">
            <v>0</v>
          </cell>
          <cell r="G45">
            <v>0</v>
          </cell>
        </row>
        <row r="46">
          <cell r="A46" t="str">
            <v>E000120104L0100000</v>
          </cell>
          <cell r="B46" t="str">
            <v>NAN0011-0603000</v>
          </cell>
          <cell r="C46" t="str">
            <v>E000</v>
          </cell>
          <cell r="D46" t="str">
            <v>04</v>
          </cell>
          <cell r="E46" t="str">
            <v>บานพับยาว 2 เมตร สีอบขาว</v>
          </cell>
          <cell r="F46">
            <v>0</v>
          </cell>
          <cell r="G46">
            <v>0</v>
          </cell>
        </row>
        <row r="47">
          <cell r="A47" t="str">
            <v>E000120300L0000100</v>
          </cell>
          <cell r="B47" t="str">
            <v>NAN0100-0402000</v>
          </cell>
          <cell r="C47" t="str">
            <v>E000</v>
          </cell>
          <cell r="D47" t="str">
            <v>00</v>
          </cell>
          <cell r="E47" t="str">
            <v>น็อต (เหล็กเส้น)</v>
          </cell>
          <cell r="F47">
            <v>2475</v>
          </cell>
          <cell r="G47">
            <v>0.55000000000000004</v>
          </cell>
        </row>
        <row r="48">
          <cell r="A48" t="str">
            <v>E000120300L0000101</v>
          </cell>
          <cell r="B48" t="str">
            <v>NAN0100-0402000</v>
          </cell>
          <cell r="C48" t="str">
            <v>E000</v>
          </cell>
          <cell r="D48" t="str">
            <v>00</v>
          </cell>
          <cell r="E48" t="str">
            <v>น็อต (เหล็กเส้น) 50กก./กระสอบ</v>
          </cell>
          <cell r="F48">
            <v>0</v>
          </cell>
          <cell r="G48">
            <v>0</v>
          </cell>
        </row>
        <row r="49">
          <cell r="A49" t="str">
            <v>E000120300L0000200</v>
          </cell>
          <cell r="B49" t="str">
            <v>NAN0100-0403000</v>
          </cell>
          <cell r="C49" t="str">
            <v>E000</v>
          </cell>
          <cell r="D49" t="str">
            <v>00</v>
          </cell>
          <cell r="E49" t="str">
            <v>แหวน (เหล็กเส้น)</v>
          </cell>
          <cell r="F49">
            <v>6760</v>
          </cell>
          <cell r="G49">
            <v>0.45</v>
          </cell>
        </row>
        <row r="50">
          <cell r="A50" t="str">
            <v>E000120300L0000201</v>
          </cell>
          <cell r="B50" t="str">
            <v>NAN0100-0403000</v>
          </cell>
          <cell r="C50" t="str">
            <v>E000</v>
          </cell>
          <cell r="D50" t="str">
            <v>00</v>
          </cell>
          <cell r="E50" t="str">
            <v>แหวน (เหล็กเส้น) 50กก./กระสอบ</v>
          </cell>
          <cell r="F50">
            <v>0</v>
          </cell>
          <cell r="G50">
            <v>0</v>
          </cell>
        </row>
        <row r="51">
          <cell r="A51" t="str">
            <v>E000120300L0007600</v>
          </cell>
          <cell r="B51" t="str">
            <v>NAN0100-0401076</v>
          </cell>
          <cell r="C51" t="str">
            <v>E000</v>
          </cell>
          <cell r="D51" t="str">
            <v>00</v>
          </cell>
          <cell r="E51" t="str">
            <v>เหล็กเส้นเกลียวตลอด (ชุบซิงค์) 76 ซม.</v>
          </cell>
          <cell r="F51">
            <v>0</v>
          </cell>
          <cell r="G51">
            <v>14.4</v>
          </cell>
        </row>
        <row r="52">
          <cell r="A52" t="str">
            <v>E000120300L0008600</v>
          </cell>
          <cell r="B52" t="str">
            <v>NAN0100-0401086</v>
          </cell>
          <cell r="C52" t="str">
            <v>E000</v>
          </cell>
          <cell r="D52" t="str">
            <v>00</v>
          </cell>
          <cell r="E52" t="str">
            <v xml:space="preserve">เหล็กเส้นเกลียวตลอด (ชุบซิงค์) 86 ซม. </v>
          </cell>
          <cell r="F52">
            <v>0</v>
          </cell>
          <cell r="G52">
            <v>16.556000000000001</v>
          </cell>
        </row>
        <row r="53">
          <cell r="A53" t="str">
            <v>E000120300L0009600</v>
          </cell>
          <cell r="B53" t="str">
            <v>NAN0100-0401096</v>
          </cell>
          <cell r="C53" t="str">
            <v>E000</v>
          </cell>
          <cell r="D53" t="str">
            <v>00</v>
          </cell>
          <cell r="E53" t="str">
            <v>เหล็กเส้นเกลียวตลอด (ชุบซิงค์) 96 ซม.</v>
          </cell>
          <cell r="F53">
            <v>0</v>
          </cell>
          <cell r="G53">
            <v>18</v>
          </cell>
        </row>
        <row r="54">
          <cell r="A54" t="str">
            <v>E000120300L0010600</v>
          </cell>
          <cell r="B54" t="str">
            <v>NAN0100-0401106</v>
          </cell>
          <cell r="C54" t="str">
            <v>E000</v>
          </cell>
          <cell r="D54" t="str">
            <v>00</v>
          </cell>
          <cell r="E54" t="str">
            <v>เหล็กเส้นเกลียวตลอด (ชุบซิงค์) 106 ซม.</v>
          </cell>
          <cell r="F54">
            <v>0</v>
          </cell>
          <cell r="G54">
            <v>20.16</v>
          </cell>
        </row>
        <row r="55">
          <cell r="A55" t="str">
            <v>E000120300L0011000</v>
          </cell>
          <cell r="B55" t="str">
            <v>NAN0100-0401110</v>
          </cell>
          <cell r="C55" t="str">
            <v>E000</v>
          </cell>
          <cell r="D55" t="str">
            <v>00</v>
          </cell>
          <cell r="E55" t="str">
            <v>เหล็กเส้นเกลียวตลอด (ชุบซิงค์) 110 ซม.</v>
          </cell>
          <cell r="F55">
            <v>0</v>
          </cell>
          <cell r="G55">
            <v>20.88</v>
          </cell>
        </row>
        <row r="56">
          <cell r="A56" t="str">
            <v>E000120300L0012000</v>
          </cell>
          <cell r="B56" t="str">
            <v>NAN0100-0401120</v>
          </cell>
          <cell r="C56" t="str">
            <v>E000</v>
          </cell>
          <cell r="D56" t="str">
            <v>00</v>
          </cell>
          <cell r="E56" t="str">
            <v>เหล็กเส้นเกลียวตลอด (ชุบซิงค์) 120 ซม.</v>
          </cell>
          <cell r="F56">
            <v>0</v>
          </cell>
          <cell r="G56">
            <v>23.04</v>
          </cell>
        </row>
        <row r="57">
          <cell r="A57" t="str">
            <v>E000120300L0013000</v>
          </cell>
          <cell r="B57" t="str">
            <v>NAN0100-0401130</v>
          </cell>
          <cell r="C57" t="str">
            <v>E000</v>
          </cell>
          <cell r="D57" t="str">
            <v>00</v>
          </cell>
          <cell r="E57" t="str">
            <v>เหล็กเส้นเกลียวตลอด (ชุบซิงค์) 130 ซม.</v>
          </cell>
          <cell r="F57">
            <v>0</v>
          </cell>
          <cell r="G57">
            <v>0</v>
          </cell>
        </row>
        <row r="58">
          <cell r="A58" t="str">
            <v>E000120300L0015000</v>
          </cell>
          <cell r="B58" t="str">
            <v>NAN0100-0401150</v>
          </cell>
          <cell r="C58" t="str">
            <v>E000</v>
          </cell>
          <cell r="D58" t="str">
            <v>00</v>
          </cell>
          <cell r="E58" t="str">
            <v>เหล็กเส้นเกลียวตลอด (ชุบซิงค์) 150 ซม.</v>
          </cell>
          <cell r="F58">
            <v>0</v>
          </cell>
          <cell r="G58">
            <v>28.8</v>
          </cell>
        </row>
        <row r="59">
          <cell r="A59" t="str">
            <v>E000120300L0020000</v>
          </cell>
          <cell r="B59" t="str">
            <v>NAN0100-0401200</v>
          </cell>
          <cell r="C59" t="str">
            <v>E000</v>
          </cell>
          <cell r="D59" t="str">
            <v>00</v>
          </cell>
          <cell r="E59" t="str">
            <v>เหล็กเส้นเกลียวตลอด (ชุบซิงค์) 200 ซม.</v>
          </cell>
          <cell r="F59">
            <v>0</v>
          </cell>
          <cell r="G59">
            <v>50.4</v>
          </cell>
        </row>
        <row r="60">
          <cell r="A60" t="str">
            <v>E000120300L0100000</v>
          </cell>
          <cell r="B60" t="str">
            <v>NAN0000-0402000</v>
          </cell>
          <cell r="C60" t="str">
            <v>E000</v>
          </cell>
          <cell r="D60" t="str">
            <v>00</v>
          </cell>
          <cell r="E60" t="str">
            <v>น็อต+แหวน (เหล็กเส้น)</v>
          </cell>
          <cell r="F60">
            <v>4595</v>
          </cell>
          <cell r="G60">
            <v>2.7</v>
          </cell>
        </row>
        <row r="61">
          <cell r="A61" t="str">
            <v>E000120300L0107600</v>
          </cell>
          <cell r="B61" t="str">
            <v>NAN0000-0401076</v>
          </cell>
          <cell r="C61" t="str">
            <v>E000</v>
          </cell>
          <cell r="D61" t="str">
            <v>00</v>
          </cell>
          <cell r="E61" t="str">
            <v>เหล็กเส้นเกลียวตลอด 76 ซม. (พร้อมน็อต)</v>
          </cell>
          <cell r="F61">
            <v>237</v>
          </cell>
          <cell r="G61">
            <v>17.100000000000001</v>
          </cell>
        </row>
        <row r="62">
          <cell r="A62" t="str">
            <v>E000120300L0108600</v>
          </cell>
          <cell r="B62" t="str">
            <v>NAN0000-0401086</v>
          </cell>
          <cell r="C62" t="str">
            <v>E000</v>
          </cell>
          <cell r="D62" t="str">
            <v>00</v>
          </cell>
          <cell r="E62" t="str">
            <v>เหล็กเส้นเกลียวตลอด 86 ซม. (พร้อมน็อต)</v>
          </cell>
          <cell r="F62">
            <v>1638</v>
          </cell>
          <cell r="G62">
            <v>19.260000000000002</v>
          </cell>
        </row>
        <row r="63">
          <cell r="A63" t="str">
            <v>E000120300L0109600</v>
          </cell>
          <cell r="B63" t="str">
            <v>NAN0000-0401096</v>
          </cell>
          <cell r="C63" t="str">
            <v>E000</v>
          </cell>
          <cell r="D63" t="str">
            <v>00</v>
          </cell>
          <cell r="E63" t="str">
            <v>เหล็กเส้นเกลียวตลอด 96 ซม. (พร้อมน็อต)</v>
          </cell>
          <cell r="F63">
            <v>4639</v>
          </cell>
          <cell r="G63">
            <v>20.7</v>
          </cell>
        </row>
        <row r="64">
          <cell r="A64" t="str">
            <v>E000120300L0110600</v>
          </cell>
          <cell r="B64" t="str">
            <v>NAN0000-0401106</v>
          </cell>
          <cell r="C64" t="str">
            <v>E000</v>
          </cell>
          <cell r="D64" t="str">
            <v>00</v>
          </cell>
          <cell r="E64" t="str">
            <v>เหล็กเส้นเกลียวตลอด 106 ซม. (พร้อมน็อต)</v>
          </cell>
          <cell r="F64">
            <v>329</v>
          </cell>
          <cell r="G64">
            <v>22.86</v>
          </cell>
        </row>
        <row r="65">
          <cell r="A65" t="str">
            <v>E000120300L0111000</v>
          </cell>
          <cell r="B65" t="str">
            <v>NAN0000-0401110</v>
          </cell>
          <cell r="C65" t="str">
            <v>E000</v>
          </cell>
          <cell r="D65" t="str">
            <v>00</v>
          </cell>
          <cell r="E65" t="str">
            <v>เหล็กเส้นเกลียวตลอด 110 ซม. (พร้อมน็อต)</v>
          </cell>
          <cell r="F65">
            <v>2121</v>
          </cell>
          <cell r="G65">
            <v>23.58</v>
          </cell>
        </row>
        <row r="66">
          <cell r="A66" t="str">
            <v>E000120300L0112000</v>
          </cell>
          <cell r="B66" t="str">
            <v>NAN0000-0401120</v>
          </cell>
          <cell r="C66" t="str">
            <v>E000</v>
          </cell>
          <cell r="D66" t="str">
            <v>00</v>
          </cell>
          <cell r="E66" t="str">
            <v>เหล็กเส้นเกลียวตลอด 120 ซม. (พร้อมน็อต)</v>
          </cell>
          <cell r="F66">
            <v>2553</v>
          </cell>
          <cell r="G66">
            <v>25.74</v>
          </cell>
        </row>
        <row r="67">
          <cell r="A67" t="str">
            <v>E000120300L0113000</v>
          </cell>
          <cell r="B67" t="str">
            <v>NAN0000-0401130</v>
          </cell>
          <cell r="C67" t="str">
            <v>E000</v>
          </cell>
          <cell r="D67" t="str">
            <v>00</v>
          </cell>
          <cell r="E67" t="str">
            <v>เหล็กเส้นเกลียวตลอด 130 ซม. (พร้อมน็อต)</v>
          </cell>
          <cell r="F67">
            <v>0</v>
          </cell>
          <cell r="G67">
            <v>0</v>
          </cell>
        </row>
        <row r="68">
          <cell r="A68" t="str">
            <v>E000120300L0115000</v>
          </cell>
          <cell r="B68" t="str">
            <v>NAN0000-0401150</v>
          </cell>
          <cell r="C68" t="str">
            <v>E000</v>
          </cell>
          <cell r="D68" t="str">
            <v>00</v>
          </cell>
          <cell r="E68" t="str">
            <v>เหล็กเส้นเกลียวตลอด 150 ซม. (พร้อมน็อต)</v>
          </cell>
          <cell r="F68">
            <v>1206</v>
          </cell>
          <cell r="G68">
            <v>31.5</v>
          </cell>
        </row>
        <row r="69">
          <cell r="A69" t="str">
            <v>E000120300L0120000</v>
          </cell>
          <cell r="B69" t="str">
            <v>NAN0000-0401200</v>
          </cell>
          <cell r="C69" t="str">
            <v>E000</v>
          </cell>
          <cell r="D69" t="str">
            <v>00</v>
          </cell>
          <cell r="E69" t="str">
            <v>เหล็กเส้นเกลียวตลอด 200 ซม. (พร้อมน็อต)</v>
          </cell>
          <cell r="F69">
            <v>628</v>
          </cell>
          <cell r="G69">
            <v>53.1</v>
          </cell>
        </row>
        <row r="70">
          <cell r="A70" t="str">
            <v>E00012100000000000</v>
          </cell>
          <cell r="B70" t="str">
            <v>NAN0000</v>
          </cell>
          <cell r="C70" t="str">
            <v>E000</v>
          </cell>
          <cell r="D70" t="str">
            <v>00</v>
          </cell>
          <cell r="E70" t="str">
            <v>อุปกรณ์อลูมิเนียมไม่มียี่ห้อ (กลุ่ม)</v>
          </cell>
          <cell r="F70">
            <v>9</v>
          </cell>
          <cell r="G70">
            <v>0</v>
          </cell>
        </row>
        <row r="71">
          <cell r="A71" t="str">
            <v>E00013000000000000</v>
          </cell>
          <cell r="B71" t="str">
            <v>NGH000-00000</v>
          </cell>
          <cell r="C71" t="str">
            <v>E000</v>
          </cell>
          <cell r="D71" t="str">
            <v>00</v>
          </cell>
          <cell r="E71" t="str">
            <v>อุปกรณ์กระจกไม่มียี่ห้อ (กลุ่ม)</v>
          </cell>
          <cell r="F71">
            <v>0</v>
          </cell>
          <cell r="G71">
            <v>0</v>
          </cell>
        </row>
        <row r="72">
          <cell r="A72" t="str">
            <v>E000130000M0000000</v>
          </cell>
          <cell r="B72" t="str">
            <v>NGH001-01000</v>
          </cell>
          <cell r="C72" t="str">
            <v>E000</v>
          </cell>
          <cell r="D72" t="str">
            <v>00</v>
          </cell>
          <cell r="E72" t="str">
            <v>ขาทองเหลือง</v>
          </cell>
          <cell r="F72">
            <v>78</v>
          </cell>
          <cell r="G72">
            <v>60</v>
          </cell>
        </row>
        <row r="73">
          <cell r="A73" t="str">
            <v>E000131100M0000000</v>
          </cell>
          <cell r="B73" t="str">
            <v>NGH001-01012</v>
          </cell>
          <cell r="C73" t="str">
            <v>E000</v>
          </cell>
          <cell r="D73" t="str">
            <v>00</v>
          </cell>
          <cell r="E73" t="str">
            <v>แป้นติดหลังกระจก (กะรัต)</v>
          </cell>
          <cell r="F73">
            <v>349</v>
          </cell>
          <cell r="G73">
            <v>80.3</v>
          </cell>
        </row>
        <row r="74">
          <cell r="A74" t="str">
            <v>E000131100M0000800</v>
          </cell>
          <cell r="B74" t="str">
            <v>NGH001-01021</v>
          </cell>
          <cell r="C74" t="str">
            <v>E000</v>
          </cell>
          <cell r="D74" t="str">
            <v>00</v>
          </cell>
          <cell r="E74" t="str">
            <v>หัวยางดูดกระจกแผ่น หัวเดียว 8 นิ้ว (ชนิดปั๊มลม) จีน</v>
          </cell>
          <cell r="F74">
            <v>2</v>
          </cell>
          <cell r="G74">
            <v>1338.95</v>
          </cell>
        </row>
        <row r="75">
          <cell r="A75" t="str">
            <v>E000131100M0200000</v>
          </cell>
          <cell r="B75" t="str">
            <v>NGH001-01220</v>
          </cell>
          <cell r="C75" t="str">
            <v>E000</v>
          </cell>
          <cell r="D75" t="str">
            <v>00</v>
          </cell>
          <cell r="E75" t="str">
            <v>หัวยางดูดกระจกแผ่น - สองหัว จีน</v>
          </cell>
          <cell r="F75">
            <v>10</v>
          </cell>
          <cell r="G75">
            <v>200</v>
          </cell>
        </row>
        <row r="76">
          <cell r="A76" t="str">
            <v>E000131100M0317000</v>
          </cell>
          <cell r="B76" t="str">
            <v>NGH001-01020</v>
          </cell>
          <cell r="C76" t="str">
            <v>E000</v>
          </cell>
          <cell r="D76" t="str">
            <v>00</v>
          </cell>
          <cell r="E76" t="str">
            <v>หัวยางดูดกระจกแผ่น สามหัว-จีน PBM #013-B-2 (รับนน.170 kg.)</v>
          </cell>
          <cell r="F76">
            <v>271</v>
          </cell>
          <cell r="G76">
            <v>420.56079999999997</v>
          </cell>
        </row>
        <row r="77">
          <cell r="A77" t="str">
            <v>E000131100Z0000500</v>
          </cell>
          <cell r="B77" t="str">
            <v>NGH002-03005</v>
          </cell>
          <cell r="C77" t="str">
            <v>E000</v>
          </cell>
          <cell r="D77" t="str">
            <v>00</v>
          </cell>
          <cell r="E77" t="str">
            <v>ไม้ตัดกระจก 5 ฟุต</v>
          </cell>
          <cell r="F77">
            <v>0</v>
          </cell>
          <cell r="G77">
            <v>800</v>
          </cell>
        </row>
        <row r="78">
          <cell r="A78" t="str">
            <v>E000131100Z0000800</v>
          </cell>
          <cell r="B78" t="str">
            <v>NGH002-03008</v>
          </cell>
          <cell r="C78" t="str">
            <v>E000</v>
          </cell>
          <cell r="D78" t="str">
            <v>00</v>
          </cell>
          <cell r="E78" t="str">
            <v>ไม้ตัดกระจก 8 ฟุต</v>
          </cell>
          <cell r="F78">
            <v>0</v>
          </cell>
          <cell r="G78">
            <v>1600</v>
          </cell>
        </row>
        <row r="79">
          <cell r="A79" t="str">
            <v>E000131116M0000000</v>
          </cell>
          <cell r="B79" t="str">
            <v>NGH001-01007</v>
          </cell>
          <cell r="C79" t="str">
            <v>E000</v>
          </cell>
          <cell r="D79">
            <v>16</v>
          </cell>
          <cell r="E79" t="str">
            <v xml:space="preserve">ตัวหนีบกระจกสีส้ม หน้ากว้างครีบ Body 10" (ใช้กับเครน) </v>
          </cell>
          <cell r="F79">
            <v>12</v>
          </cell>
          <cell r="G79">
            <v>8500</v>
          </cell>
        </row>
        <row r="80">
          <cell r="A80" t="str">
            <v>E000131117M0000000</v>
          </cell>
          <cell r="B80" t="str">
            <v>NGH001-01010</v>
          </cell>
          <cell r="C80" t="str">
            <v>E000</v>
          </cell>
          <cell r="D80">
            <v>17</v>
          </cell>
          <cell r="E80" t="str">
            <v>หมุดติดกระจกสีทอง #NP000 (1ชุด-4ชิ้น)</v>
          </cell>
          <cell r="F80">
            <v>104</v>
          </cell>
          <cell r="G80">
            <v>156</v>
          </cell>
        </row>
        <row r="81">
          <cell r="A81" t="str">
            <v>E000131118M0000000</v>
          </cell>
          <cell r="B81" t="str">
            <v>NGH001-01011</v>
          </cell>
          <cell r="C81" t="str">
            <v>E000</v>
          </cell>
          <cell r="D81">
            <v>18</v>
          </cell>
          <cell r="E81" t="str">
            <v>หมุดติดกระจกสีเงิน #NP000 (1ชุด-4ชิ้น)</v>
          </cell>
          <cell r="F81">
            <v>118</v>
          </cell>
          <cell r="G81">
            <v>156</v>
          </cell>
        </row>
        <row r="82">
          <cell r="A82" t="str">
            <v>E00014000000000000</v>
          </cell>
          <cell r="B82" t="str">
            <v>NAN0000</v>
          </cell>
          <cell r="C82" t="str">
            <v>E000</v>
          </cell>
          <cell r="D82" t="str">
            <v>00</v>
          </cell>
          <cell r="E82" t="str">
            <v>Tools ไม่มียี่ห้อ (กลุ่ม)</v>
          </cell>
          <cell r="F82">
            <v>0</v>
          </cell>
          <cell r="G82">
            <v>0</v>
          </cell>
        </row>
        <row r="83">
          <cell r="A83" t="str">
            <v>E000140000Z0000000</v>
          </cell>
          <cell r="B83" t="str">
            <v>NTN0000-0910000</v>
          </cell>
          <cell r="C83" t="str">
            <v>E000</v>
          </cell>
          <cell r="D83" t="str">
            <v>00</v>
          </cell>
          <cell r="E83" t="str">
            <v>ปากกระบอกคีมย้ำรีเวท แบบยาว 3.2 มม.</v>
          </cell>
          <cell r="F83">
            <v>63</v>
          </cell>
          <cell r="G83">
            <v>16.93</v>
          </cell>
        </row>
        <row r="84">
          <cell r="A84" t="str">
            <v>E000140005N0610000</v>
          </cell>
          <cell r="B84" t="str">
            <v>NTN0000-2902006</v>
          </cell>
          <cell r="C84" t="str">
            <v>E000</v>
          </cell>
          <cell r="D84" t="str">
            <v>05</v>
          </cell>
          <cell r="E84" t="str">
            <v>โฟมเส้น 6 มม. (100 ม.) สีเทา</v>
          </cell>
          <cell r="F84">
            <v>18</v>
          </cell>
          <cell r="G84">
            <v>68.224299999999999</v>
          </cell>
        </row>
        <row r="85">
          <cell r="A85" t="str">
            <v>E000140005N0810000</v>
          </cell>
          <cell r="B85" t="str">
            <v>NTN0000-2902008</v>
          </cell>
          <cell r="C85" t="str">
            <v>E000</v>
          </cell>
          <cell r="D85" t="str">
            <v>05</v>
          </cell>
          <cell r="E85" t="str">
            <v>โฟมเส้น 8 มม. (100 ม.) สีเทา</v>
          </cell>
          <cell r="F85">
            <v>30</v>
          </cell>
          <cell r="G85">
            <v>101.86920000000001</v>
          </cell>
        </row>
        <row r="86">
          <cell r="A86" t="str">
            <v>E000140005N1010000</v>
          </cell>
          <cell r="B86" t="str">
            <v>NTN0000-2902010</v>
          </cell>
          <cell r="C86" t="str">
            <v>E000</v>
          </cell>
          <cell r="D86" t="str">
            <v>05</v>
          </cell>
          <cell r="E86" t="str">
            <v>โฟมเส้น 10 มม. (100 ม.) สีเทา</v>
          </cell>
          <cell r="F86">
            <v>48</v>
          </cell>
          <cell r="G86">
            <v>162.61689999999999</v>
          </cell>
        </row>
        <row r="87">
          <cell r="A87" t="str">
            <v>E000140005N1310000</v>
          </cell>
          <cell r="B87" t="str">
            <v>NTN0000-2902100</v>
          </cell>
          <cell r="C87" t="str">
            <v>E000</v>
          </cell>
          <cell r="D87" t="str">
            <v>05</v>
          </cell>
          <cell r="E87" t="str">
            <v>โฟมเส้น 13 มม. (100 ม.) สีเทา</v>
          </cell>
          <cell r="F87">
            <v>66</v>
          </cell>
          <cell r="G87">
            <v>245.7944</v>
          </cell>
        </row>
        <row r="88">
          <cell r="A88" t="str">
            <v>E000140005N1510000</v>
          </cell>
          <cell r="B88" t="str">
            <v>NTN0000-2902015</v>
          </cell>
          <cell r="C88" t="str">
            <v>E000</v>
          </cell>
          <cell r="D88" t="str">
            <v>05</v>
          </cell>
          <cell r="E88" t="str">
            <v>โฟมเส้น 15 มม. (100 ม.) สีเทา</v>
          </cell>
          <cell r="F88">
            <v>20</v>
          </cell>
          <cell r="G88">
            <v>373.31799999999998</v>
          </cell>
        </row>
        <row r="89">
          <cell r="A89" t="str">
            <v>E000140300Z0000000</v>
          </cell>
          <cell r="B89" t="str">
            <v>NTH001-01005</v>
          </cell>
          <cell r="C89" t="str">
            <v>E000</v>
          </cell>
          <cell r="D89" t="str">
            <v>00</v>
          </cell>
          <cell r="E89" t="str">
            <v>น๊อตมือจับสแตนเลส</v>
          </cell>
          <cell r="F89">
            <v>38</v>
          </cell>
          <cell r="G89">
            <v>365.31</v>
          </cell>
        </row>
        <row r="90">
          <cell r="A90" t="str">
            <v>E000141303N0000700</v>
          </cell>
          <cell r="B90" t="str">
            <v>NTN0000-1202700</v>
          </cell>
          <cell r="C90" t="str">
            <v>E000</v>
          </cell>
          <cell r="D90" t="str">
            <v>03</v>
          </cell>
          <cell r="E90" t="str">
            <v>พุกพลาสติก สีดำ No.7 (100ตัว/ถุง)</v>
          </cell>
          <cell r="F90">
            <v>2250</v>
          </cell>
          <cell r="G90">
            <v>8.8000000000000007</v>
          </cell>
        </row>
        <row r="91">
          <cell r="A91" t="str">
            <v>E000141303N0000701</v>
          </cell>
          <cell r="B91" t="str">
            <v>NTN0004-1202700</v>
          </cell>
          <cell r="C91" t="str">
            <v>E000</v>
          </cell>
          <cell r="D91" t="str">
            <v>03</v>
          </cell>
          <cell r="E91" t="str">
            <v>พุกพลาสติก สีดำ No.7 TTP (100ตัว/ถุง)</v>
          </cell>
          <cell r="F91">
            <v>353</v>
          </cell>
          <cell r="G91">
            <v>84.11</v>
          </cell>
        </row>
        <row r="92">
          <cell r="A92" t="str">
            <v>E000141303N0000702</v>
          </cell>
          <cell r="B92" t="str">
            <v>NTN0000-1202700</v>
          </cell>
          <cell r="C92" t="str">
            <v>E000</v>
          </cell>
          <cell r="D92" t="str">
            <v>03</v>
          </cell>
          <cell r="E92" t="str">
            <v>พุกพลาสติก สีดำ No.7 (1กก./ถุง) รหัสเพื่อซื้อ</v>
          </cell>
          <cell r="F92">
            <v>10</v>
          </cell>
          <cell r="G92">
            <v>88</v>
          </cell>
        </row>
        <row r="93">
          <cell r="A93" t="str">
            <v>E000141303N0000703</v>
          </cell>
          <cell r="B93" t="str">
            <v>NTN0004-1202700</v>
          </cell>
          <cell r="C93" t="str">
            <v>E000</v>
          </cell>
          <cell r="D93" t="str">
            <v>03</v>
          </cell>
          <cell r="E93" t="str">
            <v>พุกพลาสติก สีดำ No.7 TTP (20กก./กระสอบ)</v>
          </cell>
          <cell r="F93">
            <v>0</v>
          </cell>
          <cell r="G93">
            <v>1682.242</v>
          </cell>
        </row>
        <row r="94">
          <cell r="A94" t="str">
            <v>E00015000000000000</v>
          </cell>
          <cell r="B94" t="str">
            <v>NAN0000</v>
          </cell>
          <cell r="C94" t="str">
            <v>E000</v>
          </cell>
          <cell r="D94" t="str">
            <v>00</v>
          </cell>
          <cell r="E94" t="str">
            <v>TNG PRO (กลุ่ม)</v>
          </cell>
          <cell r="F94">
            <v>0</v>
          </cell>
          <cell r="G94">
            <v>0</v>
          </cell>
        </row>
        <row r="95">
          <cell r="A95" t="str">
            <v>E00102000000000000</v>
          </cell>
          <cell r="B95" t="str">
            <v>NAN0000</v>
          </cell>
          <cell r="C95" t="str">
            <v>E001</v>
          </cell>
          <cell r="D95" t="str">
            <v>00</v>
          </cell>
          <cell r="E95" t="str">
            <v>โช้ค ยี่ห้อ Diamond (กลุ่ม)</v>
          </cell>
          <cell r="F95">
            <v>0</v>
          </cell>
          <cell r="G95">
            <v>0</v>
          </cell>
        </row>
        <row r="96">
          <cell r="A96" t="str">
            <v>E001020100B0600100</v>
          </cell>
          <cell r="B96" t="str">
            <v>NAN0000-0801060</v>
          </cell>
          <cell r="C96" t="str">
            <v>E001</v>
          </cell>
          <cell r="D96" t="str">
            <v>00</v>
          </cell>
          <cell r="E96" t="str">
            <v>โช้คอัพบานสวิง 1V No.600  DIAMOND</v>
          </cell>
          <cell r="F96">
            <v>3</v>
          </cell>
          <cell r="G96">
            <v>1056.0748000000001</v>
          </cell>
        </row>
        <row r="97">
          <cell r="A97" t="str">
            <v>E001020300B0000100</v>
          </cell>
          <cell r="B97" t="e">
            <v>#N/A</v>
          </cell>
          <cell r="C97" t="str">
            <v>E001</v>
          </cell>
          <cell r="D97" t="e">
            <v>#N/A</v>
          </cell>
          <cell r="E97" t="str">
            <v>ADM001 ชุดหางปลา (Diamond)</v>
          </cell>
          <cell r="F97">
            <v>5</v>
          </cell>
          <cell r="G97">
            <v>420.56</v>
          </cell>
        </row>
        <row r="98">
          <cell r="A98" t="str">
            <v>E001020300B0000200</v>
          </cell>
          <cell r="B98" t="e">
            <v>#N/A</v>
          </cell>
          <cell r="C98" t="str">
            <v>E001</v>
          </cell>
          <cell r="D98" t="e">
            <v>#N/A</v>
          </cell>
          <cell r="E98" t="str">
            <v>ADM002 ชุดเดือยล่าง (Diamond)</v>
          </cell>
          <cell r="F98">
            <v>5</v>
          </cell>
          <cell r="G98">
            <v>214.95330000000001</v>
          </cell>
        </row>
        <row r="99">
          <cell r="A99" t="str">
            <v>E001020300B0000300</v>
          </cell>
          <cell r="B99" t="e">
            <v>#N/A</v>
          </cell>
          <cell r="C99" t="str">
            <v>E001</v>
          </cell>
          <cell r="D99" t="e">
            <v>#N/A</v>
          </cell>
          <cell r="E99" t="str">
            <v>ADM003 ชุดฉาก (Diamond)</v>
          </cell>
          <cell r="F99">
            <v>4</v>
          </cell>
          <cell r="G99">
            <v>214.95330000000001</v>
          </cell>
        </row>
        <row r="100">
          <cell r="A100" t="str">
            <v>E001020300B0000400</v>
          </cell>
          <cell r="B100" t="e">
            <v>#N/A</v>
          </cell>
          <cell r="C100" t="str">
            <v>E001</v>
          </cell>
          <cell r="D100" t="e">
            <v>#N/A</v>
          </cell>
          <cell r="E100" t="str">
            <v>ADM004 จุดหมุนยึดพื้นแบบขาเรียวสี่เหลี่ยม ไม่ใช้ธรณี(Diamond)</v>
          </cell>
          <cell r="F100">
            <v>8</v>
          </cell>
          <cell r="G100">
            <v>369.15890000000002</v>
          </cell>
        </row>
        <row r="101">
          <cell r="A101" t="str">
            <v>E001020300B0000500</v>
          </cell>
          <cell r="B101" t="e">
            <v>#N/A</v>
          </cell>
          <cell r="C101" t="str">
            <v>E001</v>
          </cell>
          <cell r="D101" t="e">
            <v>#N/A</v>
          </cell>
          <cell r="E101" t="str">
            <v>ADM005  จุดหมุนยึดพื้น ทรงสามเหลี่ยม ไม่ใช้ธรณี (Diamond)</v>
          </cell>
          <cell r="F101">
            <v>9</v>
          </cell>
          <cell r="G101">
            <v>369.15890000000002</v>
          </cell>
        </row>
        <row r="102">
          <cell r="A102" t="str">
            <v>E001020300B0800100</v>
          </cell>
          <cell r="B102" t="str">
            <v>NAN0000-0801100</v>
          </cell>
          <cell r="C102" t="str">
            <v>E001</v>
          </cell>
          <cell r="D102" t="str">
            <v>00</v>
          </cell>
          <cell r="E102" t="str">
            <v>โช้คอัพบานสวิง 1V No.800  DIAMOND</v>
          </cell>
          <cell r="F102">
            <v>496</v>
          </cell>
          <cell r="G102">
            <v>1056.0748000000001</v>
          </cell>
        </row>
        <row r="103">
          <cell r="A103" t="str">
            <v>E001020300B1000100</v>
          </cell>
          <cell r="B103" t="str">
            <v>NAN0000-0801150</v>
          </cell>
          <cell r="C103" t="str">
            <v>E001</v>
          </cell>
          <cell r="D103" t="str">
            <v>00</v>
          </cell>
          <cell r="E103" t="str">
            <v>โช้คอัพบานสวิง 1V No.1000  DIAMOND</v>
          </cell>
          <cell r="F103">
            <v>1954</v>
          </cell>
          <cell r="G103">
            <v>1056.0748000000001</v>
          </cell>
        </row>
        <row r="104">
          <cell r="A104" t="str">
            <v>E001020300B1200100</v>
          </cell>
          <cell r="B104" t="str">
            <v>NAN0000-0801200</v>
          </cell>
          <cell r="C104" t="str">
            <v>E001</v>
          </cell>
          <cell r="D104" t="str">
            <v>00</v>
          </cell>
          <cell r="E104" t="str">
            <v>โช้คอัพบานสวิง 1V No.1200  DIAMOND</v>
          </cell>
          <cell r="F104">
            <v>494</v>
          </cell>
          <cell r="G104">
            <v>1056.0748000000001</v>
          </cell>
        </row>
        <row r="105">
          <cell r="A105" t="str">
            <v>E001020300B1500100</v>
          </cell>
          <cell r="B105" t="str">
            <v>NAN0000-0801250</v>
          </cell>
          <cell r="C105" t="str">
            <v>E001</v>
          </cell>
          <cell r="D105" t="str">
            <v>00</v>
          </cell>
          <cell r="E105" t="str">
            <v>โช้คอัพบานสวิง 1V No.1500  DIAMOND</v>
          </cell>
          <cell r="F105">
            <v>125</v>
          </cell>
          <cell r="G105">
            <v>1056.0748000000001</v>
          </cell>
        </row>
        <row r="106">
          <cell r="A106" t="str">
            <v>E001020303B0020200</v>
          </cell>
          <cell r="B106" t="e">
            <v>#N/A</v>
          </cell>
          <cell r="C106" t="str">
            <v>E001</v>
          </cell>
          <cell r="D106" t="e">
            <v>#N/A</v>
          </cell>
          <cell r="E106" t="str">
            <v>โช๊คอัพประตูแขนสไลด์ 2ระบบ Diamond รุ่น TDM-DC202 รับน้ำหนักไม่เกิน 80-90kg. (ไม่ตั้งค้าง) สีดำด้าน</v>
          </cell>
          <cell r="F106">
            <v>4</v>
          </cell>
          <cell r="G106">
            <v>2196.2617</v>
          </cell>
        </row>
        <row r="107">
          <cell r="A107" t="str">
            <v>E00113000000000000</v>
          </cell>
          <cell r="B107" t="str">
            <v>NGHV000</v>
          </cell>
          <cell r="C107" t="str">
            <v>E001</v>
          </cell>
          <cell r="D107" t="str">
            <v>00</v>
          </cell>
          <cell r="E107" t="str">
            <v>อุปกรณ์กระจกยี่ห้อ Diamond (กลุ่ม)</v>
          </cell>
          <cell r="F107">
            <v>0</v>
          </cell>
          <cell r="G107">
            <v>0</v>
          </cell>
        </row>
        <row r="108">
          <cell r="A108" t="str">
            <v>E002010002Z0403002</v>
          </cell>
          <cell r="B108" t="str">
            <v>NAN0002-0104000</v>
          </cell>
          <cell r="C108" t="str">
            <v>E002</v>
          </cell>
          <cell r="D108" t="str">
            <v>02</v>
          </cell>
          <cell r="E108" t="str">
            <v>ยางเดิน สีชา #04 TOP (ญ)</v>
          </cell>
          <cell r="F108">
            <v>4</v>
          </cell>
          <cell r="G108">
            <v>90</v>
          </cell>
        </row>
        <row r="109">
          <cell r="A109" t="str">
            <v>E002010002Z0503002</v>
          </cell>
          <cell r="B109" t="str">
            <v>NAN0002-0105000</v>
          </cell>
          <cell r="C109" t="str">
            <v>E002</v>
          </cell>
          <cell r="D109" t="str">
            <v>02</v>
          </cell>
          <cell r="E109" t="str">
            <v>ยางอัดใหญ่ 05 สีชา TOP (ญ)</v>
          </cell>
          <cell r="F109">
            <v>30</v>
          </cell>
          <cell r="G109">
            <v>84</v>
          </cell>
        </row>
        <row r="110">
          <cell r="A110" t="str">
            <v>E002010002Z0603002</v>
          </cell>
          <cell r="B110" t="str">
            <v>NAN0002-0106000</v>
          </cell>
          <cell r="C110" t="str">
            <v>E002</v>
          </cell>
          <cell r="D110" t="str">
            <v>02</v>
          </cell>
          <cell r="E110" t="str">
            <v>ยางอัดเล็ก 06 สีชา TOP (ญ)</v>
          </cell>
          <cell r="F110">
            <v>25</v>
          </cell>
          <cell r="G110">
            <v>66</v>
          </cell>
        </row>
        <row r="111">
          <cell r="A111" t="str">
            <v>E002010003A0402501</v>
          </cell>
          <cell r="B111" t="str">
            <v>NAN0004-0134000</v>
          </cell>
          <cell r="C111" t="str">
            <v>E002</v>
          </cell>
          <cell r="D111" t="str">
            <v>03</v>
          </cell>
          <cell r="E111" t="str">
            <v>ยางเดิน 04 สีดำ TOP</v>
          </cell>
          <cell r="F111">
            <v>3139</v>
          </cell>
          <cell r="G111">
            <v>84</v>
          </cell>
        </row>
        <row r="112">
          <cell r="A112" t="str">
            <v>E002010003A0502501</v>
          </cell>
          <cell r="B112" t="str">
            <v>NAN0004-0135000</v>
          </cell>
          <cell r="C112" t="str">
            <v>E002</v>
          </cell>
          <cell r="D112" t="str">
            <v>03</v>
          </cell>
          <cell r="E112" t="str">
            <v>ยางอัดใหญ่ 05 สีดำ TOP</v>
          </cell>
          <cell r="F112">
            <v>2028</v>
          </cell>
          <cell r="G112">
            <v>78.400000000000006</v>
          </cell>
        </row>
        <row r="113">
          <cell r="A113" t="str">
            <v>E002010003A0602501</v>
          </cell>
          <cell r="B113" t="str">
            <v>NAN0004-0136000</v>
          </cell>
          <cell r="C113" t="str">
            <v>E002</v>
          </cell>
          <cell r="D113" t="str">
            <v>03</v>
          </cell>
          <cell r="E113" t="str">
            <v>ยางอัดเล็ก 06 สีดำ TOP</v>
          </cell>
          <cell r="F113">
            <v>2633</v>
          </cell>
          <cell r="G113">
            <v>61.6</v>
          </cell>
        </row>
        <row r="114">
          <cell r="A114" t="str">
            <v>E002010003A1302501</v>
          </cell>
          <cell r="B114" t="str">
            <v>NAN0004-0138000</v>
          </cell>
          <cell r="C114" t="str">
            <v>E002</v>
          </cell>
          <cell r="D114" t="str">
            <v>03</v>
          </cell>
          <cell r="E114" t="str">
            <v xml:space="preserve">ยางอัดจิ๋ว 13 สีดำ TOP </v>
          </cell>
          <cell r="F114">
            <v>577</v>
          </cell>
          <cell r="G114">
            <v>56</v>
          </cell>
        </row>
        <row r="115">
          <cell r="A115" t="str">
            <v>E002010003A1502501</v>
          </cell>
          <cell r="B115" t="str">
            <v>NAN0004-0140000</v>
          </cell>
          <cell r="C115" t="str">
            <v>E002</v>
          </cell>
          <cell r="D115" t="str">
            <v>03</v>
          </cell>
          <cell r="E115" t="str">
            <v>ยางอัดใหญ่ 1.25 หุน สีดำ TOP</v>
          </cell>
          <cell r="F115">
            <v>649</v>
          </cell>
          <cell r="G115">
            <v>112</v>
          </cell>
        </row>
        <row r="116">
          <cell r="A116" t="str">
            <v>E002010003Z0503002</v>
          </cell>
          <cell r="B116" t="str">
            <v>NAN0004-0105000</v>
          </cell>
          <cell r="C116" t="str">
            <v>E002</v>
          </cell>
          <cell r="D116" t="str">
            <v>03</v>
          </cell>
          <cell r="E116" t="str">
            <v>ยางอัดใหญ่ 05 สีดำ TOP (ญ)</v>
          </cell>
          <cell r="F116">
            <v>0</v>
          </cell>
          <cell r="G116">
            <v>84</v>
          </cell>
        </row>
        <row r="117">
          <cell r="A117" t="str">
            <v>E002010003Z1303002</v>
          </cell>
          <cell r="B117" t="str">
            <v>NAN0004-0114000</v>
          </cell>
          <cell r="C117" t="str">
            <v>E002</v>
          </cell>
          <cell r="D117" t="str">
            <v>03</v>
          </cell>
          <cell r="E117" t="str">
            <v>ยางอัดจิ๋ว 13 สีดำ TOP (ญ)</v>
          </cell>
          <cell r="F117">
            <v>0</v>
          </cell>
          <cell r="G117">
            <v>60</v>
          </cell>
        </row>
        <row r="118">
          <cell r="A118" t="str">
            <v>E002010003Z1503002</v>
          </cell>
          <cell r="B118" t="str">
            <v>NAN0004-0116000</v>
          </cell>
          <cell r="C118" t="str">
            <v>E002</v>
          </cell>
          <cell r="D118" t="str">
            <v>03</v>
          </cell>
          <cell r="E118" t="str">
            <v>ยางอัดใหญ่ 1.25 หุน สีดำ TOP (ญ)</v>
          </cell>
          <cell r="F118">
            <v>0</v>
          </cell>
          <cell r="G118">
            <v>120</v>
          </cell>
        </row>
        <row r="119">
          <cell r="A119" t="str">
            <v>E002010004A0402501</v>
          </cell>
          <cell r="B119" t="str">
            <v>NAN0011-0134000</v>
          </cell>
          <cell r="C119" t="str">
            <v>E002</v>
          </cell>
          <cell r="D119" t="str">
            <v>04</v>
          </cell>
          <cell r="E119" t="str">
            <v>ยางเดิน 04 สีอบขาว TOP</v>
          </cell>
          <cell r="F119">
            <v>4</v>
          </cell>
          <cell r="G119">
            <v>84</v>
          </cell>
        </row>
        <row r="120">
          <cell r="A120" t="str">
            <v>E002010004A0502501</v>
          </cell>
          <cell r="B120" t="str">
            <v>NAN0011-0135000</v>
          </cell>
          <cell r="C120" t="str">
            <v>E002</v>
          </cell>
          <cell r="D120" t="str">
            <v>04</v>
          </cell>
          <cell r="E120" t="str">
            <v>ยางอัดใหญ่ 05 สีอบขาว TOP</v>
          </cell>
          <cell r="F120">
            <v>12</v>
          </cell>
          <cell r="G120">
            <v>78.400000000000006</v>
          </cell>
        </row>
        <row r="121">
          <cell r="A121" t="str">
            <v>E002010004A0602501</v>
          </cell>
          <cell r="B121" t="str">
            <v>NAN0011-0136000</v>
          </cell>
          <cell r="C121" t="str">
            <v>E002</v>
          </cell>
          <cell r="D121" t="str">
            <v>04</v>
          </cell>
          <cell r="E121" t="str">
            <v>ยางอัดเล็ก 06 สีอบขาว TOP</v>
          </cell>
          <cell r="F121">
            <v>3</v>
          </cell>
          <cell r="G121">
            <v>61.6</v>
          </cell>
        </row>
        <row r="122">
          <cell r="A122" t="str">
            <v>E002010004A1302501</v>
          </cell>
          <cell r="B122" t="str">
            <v>NAN0011-0138000</v>
          </cell>
          <cell r="C122" t="str">
            <v>E002</v>
          </cell>
          <cell r="D122" t="str">
            <v>04</v>
          </cell>
          <cell r="E122" t="str">
            <v>ยางอัดจิ๋ว 13 สีอบขาว TOP</v>
          </cell>
          <cell r="F122">
            <v>1</v>
          </cell>
          <cell r="G122">
            <v>56</v>
          </cell>
        </row>
        <row r="123">
          <cell r="A123" t="str">
            <v>E002010004A1502501</v>
          </cell>
          <cell r="B123" t="str">
            <v>NAN0011-0140000</v>
          </cell>
          <cell r="C123" t="str">
            <v>E002</v>
          </cell>
          <cell r="D123" t="str">
            <v>04</v>
          </cell>
          <cell r="E123" t="str">
            <v>ยางอัดใหญ่ 1.25 หุน สีอบขาว TOP</v>
          </cell>
          <cell r="F123">
            <v>0</v>
          </cell>
          <cell r="G123">
            <v>112</v>
          </cell>
        </row>
        <row r="124">
          <cell r="A124" t="str">
            <v>E002010004Z0503002</v>
          </cell>
          <cell r="B124" t="str">
            <v>NAN0011-0105000</v>
          </cell>
          <cell r="C124" t="str">
            <v>E002</v>
          </cell>
          <cell r="D124" t="str">
            <v>04</v>
          </cell>
          <cell r="E124" t="str">
            <v>ยางอัดใหญ่ 05 สีอบขาว TOP (ญ)</v>
          </cell>
          <cell r="F124">
            <v>0</v>
          </cell>
          <cell r="G124">
            <v>84</v>
          </cell>
        </row>
        <row r="125">
          <cell r="A125" t="str">
            <v>E002010004Z0603002</v>
          </cell>
          <cell r="B125" t="str">
            <v>NAN0011-0106000</v>
          </cell>
          <cell r="C125" t="str">
            <v>E002</v>
          </cell>
          <cell r="D125" t="str">
            <v>04</v>
          </cell>
          <cell r="E125" t="str">
            <v>ยางอัดเล็ก 06 สีอบขาว TOP (ญ)</v>
          </cell>
          <cell r="F125">
            <v>96</v>
          </cell>
          <cell r="G125">
            <v>66</v>
          </cell>
        </row>
        <row r="126">
          <cell r="A126" t="str">
            <v>E002010004Z1303002</v>
          </cell>
          <cell r="B126" t="str">
            <v>NAN0011-0114000</v>
          </cell>
          <cell r="C126" t="str">
            <v>E002</v>
          </cell>
          <cell r="D126" t="str">
            <v>04</v>
          </cell>
          <cell r="E126" t="str">
            <v>ยางอัดจิ๋ว สีอบขาว TOP (ญ)</v>
          </cell>
          <cell r="F126">
            <v>13</v>
          </cell>
          <cell r="G126">
            <v>60</v>
          </cell>
        </row>
        <row r="127">
          <cell r="A127" t="str">
            <v>E002010004Z1503002</v>
          </cell>
          <cell r="B127" t="str">
            <v>NAN0011-0116000</v>
          </cell>
          <cell r="C127" t="str">
            <v>E002</v>
          </cell>
          <cell r="D127" t="str">
            <v>04</v>
          </cell>
          <cell r="E127" t="str">
            <v>ยางอัดใหญ่ 1.25 หุน สีอบขาว TOP (ญ)</v>
          </cell>
          <cell r="F127">
            <v>10</v>
          </cell>
          <cell r="G127">
            <v>120</v>
          </cell>
        </row>
        <row r="128">
          <cell r="A128" t="str">
            <v>E002010005A0402501</v>
          </cell>
          <cell r="B128" t="str">
            <v>NAN0006-0134000</v>
          </cell>
          <cell r="C128" t="str">
            <v>E002</v>
          </cell>
          <cell r="D128" t="str">
            <v>05</v>
          </cell>
          <cell r="E128" t="str">
            <v>ยางเดิน 04 สีเทา TOP</v>
          </cell>
          <cell r="F128">
            <v>0</v>
          </cell>
          <cell r="G128">
            <v>84</v>
          </cell>
        </row>
        <row r="129">
          <cell r="A129" t="str">
            <v>E002010005A0502501</v>
          </cell>
          <cell r="B129" t="str">
            <v>NAN0006-0135000</v>
          </cell>
          <cell r="C129" t="str">
            <v>E002</v>
          </cell>
          <cell r="D129" t="str">
            <v>05</v>
          </cell>
          <cell r="E129" t="str">
            <v>ยางอัดใหญ่ 05 สีเทา TOP</v>
          </cell>
          <cell r="F129">
            <v>31</v>
          </cell>
          <cell r="G129">
            <v>78.400000000000006</v>
          </cell>
        </row>
        <row r="130">
          <cell r="A130" t="str">
            <v>E002010005A0602501</v>
          </cell>
          <cell r="B130" t="str">
            <v>NAN0006-0136000</v>
          </cell>
          <cell r="C130" t="str">
            <v>E002</v>
          </cell>
          <cell r="D130" t="str">
            <v>05</v>
          </cell>
          <cell r="E130" t="str">
            <v>ยางอัดเล็ก 06 สีเทา TOP</v>
          </cell>
          <cell r="F130">
            <v>156</v>
          </cell>
          <cell r="G130">
            <v>61.6</v>
          </cell>
        </row>
        <row r="131">
          <cell r="A131" t="str">
            <v>E002010005A1302501</v>
          </cell>
          <cell r="B131" t="str">
            <v>NAN0006-0138000</v>
          </cell>
          <cell r="C131" t="str">
            <v>E002</v>
          </cell>
          <cell r="D131" t="str">
            <v>05</v>
          </cell>
          <cell r="E131" t="str">
            <v>ยางอัดจิ๋ว 13 สีเทา TOP</v>
          </cell>
          <cell r="F131">
            <v>30</v>
          </cell>
          <cell r="G131">
            <v>56</v>
          </cell>
        </row>
        <row r="132">
          <cell r="A132" t="str">
            <v>E002010005A1502501</v>
          </cell>
          <cell r="B132" t="str">
            <v>NAN0006-0140000</v>
          </cell>
          <cell r="C132" t="str">
            <v>E002</v>
          </cell>
          <cell r="D132" t="str">
            <v>05</v>
          </cell>
          <cell r="E132" t="str">
            <v>ยางอัดใหญ่ 1.25 หุน สีเทา TOP</v>
          </cell>
          <cell r="F132">
            <v>2</v>
          </cell>
          <cell r="G132">
            <v>112</v>
          </cell>
        </row>
        <row r="133">
          <cell r="A133" t="str">
            <v>E002010005Z0503002</v>
          </cell>
          <cell r="B133" t="str">
            <v>NAN0006-0105000</v>
          </cell>
          <cell r="C133" t="str">
            <v>E002</v>
          </cell>
          <cell r="D133" t="str">
            <v>05</v>
          </cell>
          <cell r="E133" t="str">
            <v>ยางอัดใหญ่ 05 สีเทา TOP (ญ)</v>
          </cell>
          <cell r="F133">
            <v>45</v>
          </cell>
          <cell r="G133">
            <v>84</v>
          </cell>
        </row>
        <row r="134">
          <cell r="A134" t="str">
            <v>E002010005Z0603002</v>
          </cell>
          <cell r="B134" t="str">
            <v>NAN0006-0106000</v>
          </cell>
          <cell r="C134" t="str">
            <v>E002</v>
          </cell>
          <cell r="D134" t="str">
            <v>05</v>
          </cell>
          <cell r="E134" t="str">
            <v>ยางอัดเล็ก 06 สีเทา TOP (ญ)</v>
          </cell>
          <cell r="F134">
            <v>36</v>
          </cell>
          <cell r="G134">
            <v>66</v>
          </cell>
        </row>
        <row r="135">
          <cell r="A135" t="str">
            <v>E002010005Z1303002</v>
          </cell>
          <cell r="B135" t="str">
            <v>NAN0006-0114000</v>
          </cell>
          <cell r="C135" t="str">
            <v>E002</v>
          </cell>
          <cell r="D135" t="str">
            <v>05</v>
          </cell>
          <cell r="E135" t="str">
            <v>ยางอัดจิ๋ว 13 สีเทา TOP (ญ)</v>
          </cell>
          <cell r="F135">
            <v>81</v>
          </cell>
          <cell r="G135">
            <v>60</v>
          </cell>
        </row>
        <row r="136">
          <cell r="A136" t="str">
            <v>E002010005Z1503002</v>
          </cell>
          <cell r="B136" t="str">
            <v>NAN0006-0116000</v>
          </cell>
          <cell r="C136" t="str">
            <v>E002</v>
          </cell>
          <cell r="D136" t="str">
            <v>05</v>
          </cell>
          <cell r="E136" t="str">
            <v>ยางอัดใหญ่ 1.25 หุน สีเทา TOP (ญ)</v>
          </cell>
          <cell r="F136">
            <v>0</v>
          </cell>
          <cell r="G136">
            <v>120</v>
          </cell>
        </row>
        <row r="137">
          <cell r="A137" t="str">
            <v>E002010203A0102201</v>
          </cell>
          <cell r="B137" t="str">
            <v>NAN0004-0131000</v>
          </cell>
          <cell r="C137" t="str">
            <v>E002</v>
          </cell>
          <cell r="D137" t="str">
            <v>03</v>
          </cell>
          <cell r="E137" t="str">
            <v>ยางบานเลื่อน 2 หุน 01 สีดำ TOP</v>
          </cell>
          <cell r="F137">
            <v>3302</v>
          </cell>
          <cell r="G137">
            <v>89.6</v>
          </cell>
        </row>
        <row r="138">
          <cell r="A138" t="str">
            <v>E002010203A0202201</v>
          </cell>
          <cell r="B138" t="str">
            <v>NAN0004-0132000</v>
          </cell>
          <cell r="C138" t="str">
            <v>E002</v>
          </cell>
          <cell r="D138" t="str">
            <v>03</v>
          </cell>
          <cell r="E138" t="str">
            <v>ยางบานเลื่อน 1 1/2 หุน 02 สีดำ TOP</v>
          </cell>
          <cell r="F138">
            <v>2843</v>
          </cell>
          <cell r="G138">
            <v>89.6</v>
          </cell>
        </row>
        <row r="139">
          <cell r="A139" t="str">
            <v>E002010204A0102201</v>
          </cell>
          <cell r="B139" t="str">
            <v>NAN0011-0131000</v>
          </cell>
          <cell r="C139" t="str">
            <v>E002</v>
          </cell>
          <cell r="D139" t="str">
            <v>04</v>
          </cell>
          <cell r="E139" t="str">
            <v>ยางบานเลื่อน 2 หุน 01 สีอบขาว TOP</v>
          </cell>
          <cell r="F139">
            <v>7</v>
          </cell>
          <cell r="G139">
            <v>89.6</v>
          </cell>
        </row>
        <row r="140">
          <cell r="A140" t="str">
            <v>E002010204A0202201</v>
          </cell>
          <cell r="B140" t="str">
            <v>NAN0011-0132000</v>
          </cell>
          <cell r="C140" t="str">
            <v>E002</v>
          </cell>
          <cell r="D140" t="str">
            <v>04</v>
          </cell>
          <cell r="E140" t="str">
            <v>ยางบานเลื่อน 1 1/2 หุน 02 สีอบขาว TOP</v>
          </cell>
          <cell r="F140">
            <v>23</v>
          </cell>
          <cell r="G140">
            <v>89.6</v>
          </cell>
        </row>
        <row r="141">
          <cell r="A141" t="str">
            <v>E002010204Z0102502</v>
          </cell>
          <cell r="B141" t="str">
            <v>NAN0011-0101000</v>
          </cell>
          <cell r="C141" t="str">
            <v>E002</v>
          </cell>
          <cell r="D141" t="str">
            <v>04</v>
          </cell>
          <cell r="E141" t="str">
            <v>ยางบานเลื่อน 2 หุน 01 สีอบขาว TOP (ญ)</v>
          </cell>
          <cell r="F141">
            <v>5</v>
          </cell>
          <cell r="G141">
            <v>96</v>
          </cell>
        </row>
        <row r="142">
          <cell r="A142" t="str">
            <v>E002010204Z0202502</v>
          </cell>
          <cell r="B142" t="str">
            <v>NAN0011-0102000</v>
          </cell>
          <cell r="C142" t="str">
            <v>E002</v>
          </cell>
          <cell r="D142" t="str">
            <v>04</v>
          </cell>
          <cell r="E142" t="str">
            <v>ยางบานเลื่อน 1 1/2 หุน 02 สีอบขาว TOP (ญ)</v>
          </cell>
          <cell r="F142">
            <v>22</v>
          </cell>
          <cell r="G142">
            <v>96</v>
          </cell>
        </row>
        <row r="143">
          <cell r="A143" t="str">
            <v>E002010205A0102201</v>
          </cell>
          <cell r="B143" t="str">
            <v>NAN0006-0131000</v>
          </cell>
          <cell r="C143" t="str">
            <v>E002</v>
          </cell>
          <cell r="D143" t="str">
            <v>05</v>
          </cell>
          <cell r="E143" t="str">
            <v>ยางบานเลื่อน 2 หุน 01 สีเทา TOP</v>
          </cell>
          <cell r="F143">
            <v>2</v>
          </cell>
          <cell r="G143">
            <v>89.6</v>
          </cell>
        </row>
        <row r="144">
          <cell r="A144" t="str">
            <v>E002010205A0202201</v>
          </cell>
          <cell r="B144" t="str">
            <v>NAN0006-0132000</v>
          </cell>
          <cell r="C144" t="str">
            <v>E002</v>
          </cell>
          <cell r="D144" t="str">
            <v>05</v>
          </cell>
          <cell r="E144" t="str">
            <v>ยางบานเลื่อน 1 1/2 หุน 02 สีเทา TOP</v>
          </cell>
          <cell r="F144">
            <v>13</v>
          </cell>
          <cell r="G144">
            <v>89.6</v>
          </cell>
        </row>
        <row r="145">
          <cell r="A145" t="str">
            <v>E002010205Z0202502</v>
          </cell>
          <cell r="B145" t="str">
            <v>NAN0006-0102000</v>
          </cell>
          <cell r="C145" t="str">
            <v>E002</v>
          </cell>
          <cell r="D145" t="str">
            <v>05</v>
          </cell>
          <cell r="E145" t="str">
            <v>ยางบานเลื่อน 1 1/2 หุน 02 สีเทา TOP (ญ)</v>
          </cell>
          <cell r="F145">
            <v>0</v>
          </cell>
          <cell r="G145">
            <v>96</v>
          </cell>
        </row>
        <row r="146">
          <cell r="A146" t="str">
            <v>E002010603A1202500</v>
          </cell>
          <cell r="B146" t="str">
            <v>NAN0004-0117100</v>
          </cell>
          <cell r="C146" t="str">
            <v>E002</v>
          </cell>
          <cell r="D146" t="str">
            <v>03</v>
          </cell>
          <cell r="E146" t="str">
            <v>ยางอัดลูกโป่งฐานแข็ง 12P (ปีกส้ม) สีดำ TOP</v>
          </cell>
          <cell r="F146">
            <v>392</v>
          </cell>
          <cell r="G146">
            <v>105</v>
          </cell>
        </row>
        <row r="147">
          <cell r="A147" t="str">
            <v>E002010603A1202501</v>
          </cell>
          <cell r="B147" t="str">
            <v>NAN0004-0137012</v>
          </cell>
          <cell r="C147" t="str">
            <v>E002</v>
          </cell>
          <cell r="D147" t="str">
            <v>03</v>
          </cell>
          <cell r="E147" t="str">
            <v>ยางอัดลูกโป่งฐานนิ่ม 12 สีดำ TOP</v>
          </cell>
          <cell r="F147">
            <v>803</v>
          </cell>
          <cell r="G147">
            <v>95</v>
          </cell>
        </row>
        <row r="148">
          <cell r="A148" t="str">
            <v>E002010603A1205002</v>
          </cell>
          <cell r="B148" t="str">
            <v>NAN0004-0117000</v>
          </cell>
          <cell r="C148" t="str">
            <v>E002</v>
          </cell>
          <cell r="D148" t="str">
            <v>03</v>
          </cell>
          <cell r="E148" t="str">
            <v>ยางอัดลูกโป่งฐานนิ่ม 12 สีดำ TOP (50ม.)</v>
          </cell>
          <cell r="F148">
            <v>0</v>
          </cell>
          <cell r="G148">
            <v>0</v>
          </cell>
        </row>
        <row r="149">
          <cell r="A149" t="str">
            <v>E002010604Z1205002</v>
          </cell>
          <cell r="B149" t="str">
            <v>NAN0011-0117000</v>
          </cell>
          <cell r="C149" t="str">
            <v>E002</v>
          </cell>
          <cell r="D149" t="str">
            <v>04</v>
          </cell>
          <cell r="E149" t="str">
            <v>ยางอัดลูกโป่ง 12 สีอบขาว TOP (ญ)</v>
          </cell>
          <cell r="F149">
            <v>16</v>
          </cell>
          <cell r="G149">
            <v>178</v>
          </cell>
        </row>
        <row r="150">
          <cell r="A150" t="str">
            <v>E002010902Z1001502</v>
          </cell>
          <cell r="B150" t="str">
            <v>NAN0002-0111000</v>
          </cell>
          <cell r="C150" t="str">
            <v>E002</v>
          </cell>
          <cell r="D150" t="str">
            <v>02</v>
          </cell>
          <cell r="E150" t="str">
            <v>ยางกันยุง 10 สีชา TOP (ญ)</v>
          </cell>
          <cell r="F150">
            <v>12</v>
          </cell>
          <cell r="G150">
            <v>75</v>
          </cell>
        </row>
        <row r="151">
          <cell r="A151" t="str">
            <v>E002010903A0702501</v>
          </cell>
          <cell r="B151" t="str">
            <v>NAN0004-0137000</v>
          </cell>
          <cell r="C151" t="str">
            <v>E002</v>
          </cell>
          <cell r="D151" t="str">
            <v>03</v>
          </cell>
          <cell r="E151" t="str">
            <v>ยางอัดมุ้งไฟเบอร์ 07 สีดำ TOP</v>
          </cell>
          <cell r="F151">
            <v>680</v>
          </cell>
          <cell r="G151">
            <v>28</v>
          </cell>
        </row>
        <row r="152">
          <cell r="A152" t="str">
            <v>E002010903A1001201</v>
          </cell>
          <cell r="B152" t="str">
            <v>NAN0004-0139000</v>
          </cell>
          <cell r="C152" t="str">
            <v>E002</v>
          </cell>
          <cell r="D152" t="str">
            <v>03</v>
          </cell>
          <cell r="E152" t="str">
            <v>ยางกันยุง 10 สีดำ TOP</v>
          </cell>
          <cell r="F152">
            <v>717</v>
          </cell>
          <cell r="G152">
            <v>70</v>
          </cell>
        </row>
        <row r="153">
          <cell r="A153" t="str">
            <v>E002010904A0702501</v>
          </cell>
          <cell r="B153" t="str">
            <v>NAN0011-0137000</v>
          </cell>
          <cell r="C153" t="str">
            <v>E002</v>
          </cell>
          <cell r="D153" t="str">
            <v>04</v>
          </cell>
          <cell r="E153" t="str">
            <v>ยางอัดมุ้งไฟเบอร์ 07 สีอบขาว TOP</v>
          </cell>
          <cell r="F153">
            <v>9</v>
          </cell>
          <cell r="G153">
            <v>28</v>
          </cell>
        </row>
        <row r="154">
          <cell r="A154" t="str">
            <v>E002010904A1001201</v>
          </cell>
          <cell r="B154" t="str">
            <v>NAN0011-0139000</v>
          </cell>
          <cell r="C154" t="str">
            <v>E002</v>
          </cell>
          <cell r="D154" t="str">
            <v>04</v>
          </cell>
          <cell r="E154" t="str">
            <v>ยางกันยุง 10 สีอบขาว TOP</v>
          </cell>
          <cell r="F154">
            <v>0</v>
          </cell>
          <cell r="G154">
            <v>70</v>
          </cell>
        </row>
        <row r="155">
          <cell r="A155" t="str">
            <v>E002010904Z0703002</v>
          </cell>
          <cell r="B155" t="str">
            <v>NAN0011-0107000</v>
          </cell>
          <cell r="C155" t="str">
            <v>E002</v>
          </cell>
          <cell r="D155" t="str">
            <v>04</v>
          </cell>
          <cell r="E155" t="str">
            <v>ยางอัดมุ้งไฟเบอร์ 07 สีอบขาว TOP (ญ)</v>
          </cell>
          <cell r="F155">
            <v>0</v>
          </cell>
          <cell r="G155">
            <v>30</v>
          </cell>
        </row>
        <row r="156">
          <cell r="A156" t="str">
            <v>E002010905A0702501</v>
          </cell>
          <cell r="B156" t="str">
            <v>NAN0006-0137000</v>
          </cell>
          <cell r="C156" t="str">
            <v>E002</v>
          </cell>
          <cell r="D156" t="str">
            <v>05</v>
          </cell>
          <cell r="E156" t="str">
            <v>ยางอัดมุ้งไฟเบอร์ 07 สีเทา TOP</v>
          </cell>
          <cell r="F156">
            <v>8</v>
          </cell>
          <cell r="G156">
            <v>28</v>
          </cell>
        </row>
        <row r="157">
          <cell r="A157" t="str">
            <v>E002010905A1001201</v>
          </cell>
          <cell r="B157" t="str">
            <v>NAN0006-0139000</v>
          </cell>
          <cell r="C157" t="str">
            <v>E002</v>
          </cell>
          <cell r="D157" t="str">
            <v>05</v>
          </cell>
          <cell r="E157" t="str">
            <v>ยางกันยุง 10 สีเทา TOP</v>
          </cell>
          <cell r="F157">
            <v>24</v>
          </cell>
          <cell r="G157">
            <v>70</v>
          </cell>
        </row>
        <row r="158">
          <cell r="A158" t="str">
            <v>E002020300B0800101</v>
          </cell>
          <cell r="B158" t="str">
            <v>NAN0000-0807100</v>
          </cell>
          <cell r="C158" t="str">
            <v>E002</v>
          </cell>
          <cell r="D158" t="str">
            <v>00</v>
          </cell>
          <cell r="E158" t="str">
            <v>โช้คอัพบานสวิง 1V No.800 TOP (H)</v>
          </cell>
          <cell r="F158">
            <v>116</v>
          </cell>
          <cell r="G158">
            <v>717.6</v>
          </cell>
        </row>
        <row r="159">
          <cell r="A159" t="str">
            <v>E002020300B1000101</v>
          </cell>
          <cell r="B159" t="str">
            <v>NAN0000-0807150</v>
          </cell>
          <cell r="C159" t="str">
            <v>E002</v>
          </cell>
          <cell r="D159" t="str">
            <v>00</v>
          </cell>
          <cell r="E159" t="str">
            <v>โช้คอัพบานสวิง 1V No.1000 TOP (H)</v>
          </cell>
          <cell r="F159">
            <v>321</v>
          </cell>
          <cell r="G159">
            <v>717.6</v>
          </cell>
        </row>
        <row r="160">
          <cell r="A160" t="str">
            <v>E002020300B1000200</v>
          </cell>
          <cell r="B160" t="str">
            <v>NAN0000-0817150</v>
          </cell>
          <cell r="C160" t="str">
            <v>E002</v>
          </cell>
          <cell r="D160" t="str">
            <v>00</v>
          </cell>
          <cell r="E160" t="str">
            <v>โช้คอัพบานสวิง 2V No.1000  TOP (H)</v>
          </cell>
          <cell r="F160">
            <v>9</v>
          </cell>
          <cell r="G160">
            <v>744</v>
          </cell>
        </row>
        <row r="161">
          <cell r="A161" t="str">
            <v>E002020300B1200101</v>
          </cell>
          <cell r="B161" t="str">
            <v>NAN0000-0807200</v>
          </cell>
          <cell r="C161" t="str">
            <v>E002</v>
          </cell>
          <cell r="D161" t="str">
            <v>00</v>
          </cell>
          <cell r="E161" t="str">
            <v>โช้คอัพบานสวิง 1V No.1200 TOP (H)</v>
          </cell>
          <cell r="F161">
            <v>128</v>
          </cell>
          <cell r="G161">
            <v>717.6</v>
          </cell>
        </row>
        <row r="162">
          <cell r="A162" t="str">
            <v>E002020300Z0800100</v>
          </cell>
          <cell r="B162" t="str">
            <v>NAN0000-0805100</v>
          </cell>
          <cell r="C162" t="str">
            <v>E002</v>
          </cell>
          <cell r="D162" t="str">
            <v>00</v>
          </cell>
          <cell r="E162" t="str">
            <v>โช้คอัพบานสวิง 1V No.800 TOP</v>
          </cell>
          <cell r="F162">
            <v>0</v>
          </cell>
          <cell r="G162">
            <v>700.93</v>
          </cell>
        </row>
        <row r="163">
          <cell r="A163" t="str">
            <v>E002020300Z1000100</v>
          </cell>
          <cell r="B163" t="str">
            <v>NAN0000-0805150</v>
          </cell>
          <cell r="C163" t="str">
            <v>E002</v>
          </cell>
          <cell r="D163" t="str">
            <v>00</v>
          </cell>
          <cell r="E163" t="str">
            <v>โช้คอัพบานสวิง 1V No.1000  TOP</v>
          </cell>
          <cell r="F163">
            <v>4</v>
          </cell>
          <cell r="G163">
            <v>700.93</v>
          </cell>
        </row>
        <row r="164">
          <cell r="A164" t="str">
            <v>E002020300Z1200100</v>
          </cell>
          <cell r="B164" t="str">
            <v>NAN0000-0805200</v>
          </cell>
          <cell r="C164" t="str">
            <v>E002</v>
          </cell>
          <cell r="D164" t="str">
            <v>00</v>
          </cell>
          <cell r="E164" t="str">
            <v>โช้คอัพบานสวิง 1V No.1200 TOP</v>
          </cell>
          <cell r="F164">
            <v>9</v>
          </cell>
          <cell r="G164">
            <v>700.93</v>
          </cell>
        </row>
        <row r="165">
          <cell r="A165" t="str">
            <v>E002020400B1000100</v>
          </cell>
          <cell r="B165" t="str">
            <v/>
          </cell>
          <cell r="C165" t="str">
            <v>E002</v>
          </cell>
          <cell r="D165" t="str">
            <v>00</v>
          </cell>
          <cell r="E165" t="str">
            <v>โช้คอัพฝังพื้นไม่มีอุปกรณ์ 2V No.1000 TOP (H)</v>
          </cell>
          <cell r="F165">
            <v>25</v>
          </cell>
          <cell r="G165">
            <v>955.5</v>
          </cell>
        </row>
        <row r="166">
          <cell r="A166" t="str">
            <v>E002020400B1200100</v>
          </cell>
          <cell r="B166" t="str">
            <v/>
          </cell>
          <cell r="C166" t="str">
            <v>E002</v>
          </cell>
          <cell r="D166" t="str">
            <v>00</v>
          </cell>
          <cell r="E166" t="str">
            <v>โช้คอัพฝังพื้นไม่มีอุปกรณ์ 2V No.1200 TOP (H)</v>
          </cell>
          <cell r="F166">
            <v>5</v>
          </cell>
          <cell r="G166">
            <v>955.5</v>
          </cell>
        </row>
        <row r="167">
          <cell r="A167" t="str">
            <v>E002030210C0010100</v>
          </cell>
          <cell r="B167" t="str">
            <v>NAN0000-0750444</v>
          </cell>
          <cell r="C167" t="str">
            <v>E002</v>
          </cell>
          <cell r="D167">
            <v>10</v>
          </cell>
          <cell r="E167" t="str">
            <v>ลูกล้อบานเลื่อนเดี่ยว (เขียว) TOP (รับนน. 25Kg.)</v>
          </cell>
          <cell r="F167">
            <v>3232</v>
          </cell>
          <cell r="G167">
            <v>13.5</v>
          </cell>
        </row>
        <row r="168">
          <cell r="A168" t="str">
            <v>E002030211C0010100</v>
          </cell>
          <cell r="B168" t="str">
            <v>NAN0000-0750333</v>
          </cell>
          <cell r="C168" t="str">
            <v>E002</v>
          </cell>
          <cell r="D168">
            <v>11</v>
          </cell>
          <cell r="E168" t="str">
            <v>ลูกล้อบานเลื่อนเดี่ยว (แดง) TOP (รับนน. 35Kg.)</v>
          </cell>
          <cell r="F168">
            <v>1173</v>
          </cell>
          <cell r="G168">
            <v>19</v>
          </cell>
        </row>
        <row r="169">
          <cell r="A169" t="str">
            <v>E002030211C0010200</v>
          </cell>
          <cell r="B169" t="str">
            <v>NAN0000-0751000</v>
          </cell>
          <cell r="C169" t="str">
            <v>E002</v>
          </cell>
          <cell r="D169">
            <v>11</v>
          </cell>
          <cell r="E169" t="str">
            <v>ลูกล้อบานเลื่อนคู่ TOP (รับนน. 50Kg.)</v>
          </cell>
          <cell r="F169">
            <v>1538</v>
          </cell>
          <cell r="G169">
            <v>31</v>
          </cell>
        </row>
        <row r="170">
          <cell r="A170" t="str">
            <v>E002030800C0010400</v>
          </cell>
          <cell r="B170" t="str">
            <v>NAN0000-0752000</v>
          </cell>
          <cell r="C170" t="str">
            <v>E002</v>
          </cell>
          <cell r="D170" t="str">
            <v>00</v>
          </cell>
          <cell r="E170" t="str">
            <v>ลูกล้อรางแขวน 4 ล้อ (เดี่ยว) TOP (รับนน. 60Kg.)</v>
          </cell>
          <cell r="F170">
            <v>1079</v>
          </cell>
          <cell r="G170">
            <v>44</v>
          </cell>
        </row>
        <row r="171">
          <cell r="A171" t="str">
            <v>E002030900C0000100</v>
          </cell>
          <cell r="B171" t="str">
            <v>NAN0000-0754000</v>
          </cell>
          <cell r="C171" t="str">
            <v>E002</v>
          </cell>
          <cell r="D171" t="str">
            <v>00</v>
          </cell>
          <cell r="E171" t="str">
            <v>ลูกล้อมุ้งพลาสติก (มีลูกปืน) TOP</v>
          </cell>
          <cell r="F171">
            <v>14192</v>
          </cell>
          <cell r="G171">
            <v>7.3</v>
          </cell>
        </row>
        <row r="172">
          <cell r="A172" t="str">
            <v>E002040101D1000010</v>
          </cell>
          <cell r="B172" t="str">
            <v>NAN0001-0264300</v>
          </cell>
          <cell r="C172" t="str">
            <v>E002</v>
          </cell>
          <cell r="D172" t="str">
            <v>01</v>
          </cell>
          <cell r="E172" t="str">
            <v>มือจับกระทุ้งซ้าย (แปะ) สีขาวอลู TOP</v>
          </cell>
          <cell r="F172">
            <v>957</v>
          </cell>
          <cell r="G172">
            <v>44</v>
          </cell>
        </row>
        <row r="173">
          <cell r="A173" t="str">
            <v>E002040101D1000020</v>
          </cell>
          <cell r="B173" t="str">
            <v>NAN0001-0264400</v>
          </cell>
          <cell r="C173" t="str">
            <v>E002</v>
          </cell>
          <cell r="D173" t="str">
            <v>01</v>
          </cell>
          <cell r="E173" t="str">
            <v>มือจับกระทุ้งขวา (แปะ) สีขาวอลู TOP</v>
          </cell>
          <cell r="F173">
            <v>567</v>
          </cell>
          <cell r="G173">
            <v>44</v>
          </cell>
        </row>
        <row r="174">
          <cell r="A174" t="str">
            <v>E002040102D1000010</v>
          </cell>
          <cell r="B174" t="str">
            <v>NAN0002-0264300</v>
          </cell>
          <cell r="C174" t="str">
            <v>E002</v>
          </cell>
          <cell r="D174" t="str">
            <v>02</v>
          </cell>
          <cell r="E174" t="str">
            <v>มือจับกระทุ้งซ้าย (แปะ) สีชา TOP</v>
          </cell>
          <cell r="F174">
            <v>719</v>
          </cell>
          <cell r="G174">
            <v>44</v>
          </cell>
        </row>
        <row r="175">
          <cell r="A175" t="str">
            <v>E002040102D1000020</v>
          </cell>
          <cell r="B175" t="str">
            <v>NAN0002-0264400</v>
          </cell>
          <cell r="C175" t="str">
            <v>E002</v>
          </cell>
          <cell r="D175" t="str">
            <v>02</v>
          </cell>
          <cell r="E175" t="str">
            <v>มือจับกระทุ้งขวา (แปะ) สีชา TOP</v>
          </cell>
          <cell r="F175">
            <v>716</v>
          </cell>
          <cell r="G175">
            <v>44</v>
          </cell>
        </row>
        <row r="176">
          <cell r="A176" t="str">
            <v>E002040103D1000010</v>
          </cell>
          <cell r="B176" t="str">
            <v>NAN0004-0264300</v>
          </cell>
          <cell r="C176" t="str">
            <v>E002</v>
          </cell>
          <cell r="D176" t="str">
            <v>03</v>
          </cell>
          <cell r="E176" t="str">
            <v>มือจับกระทุ้งซ้าย (แปะ) สีดำ TOP</v>
          </cell>
          <cell r="F176">
            <v>1661</v>
          </cell>
          <cell r="G176">
            <v>44</v>
          </cell>
        </row>
        <row r="177">
          <cell r="A177" t="str">
            <v>E002040103D1000020</v>
          </cell>
          <cell r="B177" t="str">
            <v>NAN0004-0264400</v>
          </cell>
          <cell r="C177" t="str">
            <v>E002</v>
          </cell>
          <cell r="D177" t="str">
            <v>03</v>
          </cell>
          <cell r="E177" t="str">
            <v>มือจับกระทุ้งขวา (แปะ) สีดำ TOP</v>
          </cell>
          <cell r="F177">
            <v>2033</v>
          </cell>
          <cell r="G177">
            <v>44</v>
          </cell>
        </row>
        <row r="178">
          <cell r="A178" t="str">
            <v>E002040104D1000010</v>
          </cell>
          <cell r="B178" t="str">
            <v>NAN0011-0264300</v>
          </cell>
          <cell r="C178" t="str">
            <v>E002</v>
          </cell>
          <cell r="D178" t="str">
            <v>04</v>
          </cell>
          <cell r="E178" t="str">
            <v>มือจับกระทุ้งซ้าย (แปะ) สีอบขาว TOP</v>
          </cell>
          <cell r="F178">
            <v>1189</v>
          </cell>
          <cell r="G178">
            <v>44</v>
          </cell>
        </row>
        <row r="179">
          <cell r="A179" t="str">
            <v>E002040104D1000020</v>
          </cell>
          <cell r="B179" t="str">
            <v>NAN0011-0264400</v>
          </cell>
          <cell r="C179" t="str">
            <v>E002</v>
          </cell>
          <cell r="D179" t="str">
            <v>04</v>
          </cell>
          <cell r="E179" t="str">
            <v>มือจับกระทุ้งขวา (แปะ) สีอบขาว TOP</v>
          </cell>
          <cell r="F179">
            <v>1636</v>
          </cell>
          <cell r="G179">
            <v>44</v>
          </cell>
        </row>
        <row r="180">
          <cell r="A180" t="str">
            <v>E002040201D2100010</v>
          </cell>
          <cell r="B180" t="str">
            <v>NAN0001-0265100</v>
          </cell>
          <cell r="C180" t="str">
            <v>E002</v>
          </cell>
          <cell r="D180" t="str">
            <v>01</v>
          </cell>
          <cell r="E180" t="str">
            <v>มือจับล็อคเสาเกี่ยวซ้าย สีขาวอลุ TOP</v>
          </cell>
          <cell r="F180">
            <v>1391</v>
          </cell>
          <cell r="G180">
            <v>49</v>
          </cell>
        </row>
        <row r="181">
          <cell r="A181" t="str">
            <v>E002040201D2100020</v>
          </cell>
          <cell r="B181" t="str">
            <v>NAN0001-0265200</v>
          </cell>
          <cell r="C181" t="str">
            <v>E002</v>
          </cell>
          <cell r="D181" t="str">
            <v>01</v>
          </cell>
          <cell r="E181" t="str">
            <v>มือจับล็อคเสาเกี่ยวขวา สีขาวอลู TOP</v>
          </cell>
          <cell r="F181">
            <v>1470</v>
          </cell>
          <cell r="G181">
            <v>49</v>
          </cell>
        </row>
        <row r="182">
          <cell r="A182" t="str">
            <v>E002040201D2100200</v>
          </cell>
          <cell r="B182" t="str">
            <v>NAN0001-026A000</v>
          </cell>
          <cell r="C182" t="str">
            <v>E002</v>
          </cell>
          <cell r="D182" t="str">
            <v>01</v>
          </cell>
          <cell r="E182" t="str">
            <v>มือจับล็อค A2 สีขาวอลู TOP (S)</v>
          </cell>
          <cell r="F182">
            <v>405</v>
          </cell>
          <cell r="G182">
            <v>21.45</v>
          </cell>
        </row>
        <row r="183">
          <cell r="A183" t="str">
            <v>E002040201D2109800</v>
          </cell>
          <cell r="B183" t="str">
            <v>NAN0001-026A400</v>
          </cell>
          <cell r="C183" t="str">
            <v>E002</v>
          </cell>
          <cell r="D183" t="str">
            <v>01</v>
          </cell>
          <cell r="E183" t="str">
            <v>มือจับล็อค รุ่นใหญ่ สีขาวอลู TOP (s)</v>
          </cell>
          <cell r="F183">
            <v>702</v>
          </cell>
          <cell r="G183">
            <v>47</v>
          </cell>
        </row>
        <row r="184">
          <cell r="A184" t="str">
            <v>E002040201D2200000</v>
          </cell>
          <cell r="B184" t="str">
            <v>NAN0001-026A100</v>
          </cell>
          <cell r="C184" t="str">
            <v>E002</v>
          </cell>
          <cell r="D184" t="str">
            <v>01</v>
          </cell>
          <cell r="E184" t="str">
            <v>มือจับล็อคกุญแจ A4 สีขาวอลู TOP (s)</v>
          </cell>
          <cell r="F184">
            <v>1440</v>
          </cell>
          <cell r="G184">
            <v>34.65</v>
          </cell>
        </row>
        <row r="185">
          <cell r="A185" t="str">
            <v>E002040201D2209800</v>
          </cell>
          <cell r="B185" t="str">
            <v>NAN0001-026A500</v>
          </cell>
          <cell r="C185" t="str">
            <v>E002</v>
          </cell>
          <cell r="D185" t="str">
            <v>01</v>
          </cell>
          <cell r="E185" t="str">
            <v>มือจับล็อคกุญแจ รุ่นใหญ่ สีขาวอลู TOP (s)</v>
          </cell>
          <cell r="F185">
            <v>1133</v>
          </cell>
          <cell r="G185">
            <v>126</v>
          </cell>
        </row>
        <row r="186">
          <cell r="A186" t="str">
            <v>E002040201D2301000</v>
          </cell>
          <cell r="B186" t="str">
            <v>NAN0001-026A200</v>
          </cell>
          <cell r="C186" t="str">
            <v>E002</v>
          </cell>
          <cell r="D186" t="str">
            <v>01</v>
          </cell>
          <cell r="E186" t="str">
            <v>มือจับเรียบมีรู A10 สีขาวอลู TOP (s)</v>
          </cell>
          <cell r="F186">
            <v>1055</v>
          </cell>
          <cell r="G186">
            <v>14</v>
          </cell>
        </row>
        <row r="187">
          <cell r="A187" t="str">
            <v>E002040201D2309800</v>
          </cell>
          <cell r="B187" t="str">
            <v>NAN0001-026A600</v>
          </cell>
          <cell r="C187" t="str">
            <v>E002</v>
          </cell>
          <cell r="D187" t="str">
            <v>01</v>
          </cell>
          <cell r="E187" t="str">
            <v>มือจับเรียบมีรู รุ่นใหญ่ สีขาวอลู TOP (s)</v>
          </cell>
          <cell r="F187">
            <v>1259</v>
          </cell>
          <cell r="G187">
            <v>25</v>
          </cell>
        </row>
        <row r="188">
          <cell r="A188" t="str">
            <v>E002040201D2401100</v>
          </cell>
          <cell r="B188" t="str">
            <v>NAN0001-026A300</v>
          </cell>
          <cell r="C188" t="str">
            <v>E002</v>
          </cell>
          <cell r="D188" t="str">
            <v>01</v>
          </cell>
          <cell r="E188" t="str">
            <v>มือจับเรียบไม่มีรู A11 สีขาวอลู TOP (s)</v>
          </cell>
          <cell r="F188">
            <v>1084</v>
          </cell>
          <cell r="G188">
            <v>14</v>
          </cell>
        </row>
        <row r="189">
          <cell r="A189" t="str">
            <v>E002040201D2409800</v>
          </cell>
          <cell r="B189" t="str">
            <v>NAN0001-026A700</v>
          </cell>
          <cell r="C189" t="str">
            <v>E002</v>
          </cell>
          <cell r="D189" t="str">
            <v>01</v>
          </cell>
          <cell r="E189" t="str">
            <v>มือจับเรียบไม่มีรู รุ่นใหญ่ สีขาวอลู TOP (s)</v>
          </cell>
          <cell r="F189">
            <v>1572</v>
          </cell>
          <cell r="G189">
            <v>24</v>
          </cell>
        </row>
        <row r="190">
          <cell r="A190" t="str">
            <v>E002040201Z2000000</v>
          </cell>
          <cell r="B190" t="str">
            <v>NAN0001-0267000</v>
          </cell>
          <cell r="C190" t="str">
            <v>E002</v>
          </cell>
          <cell r="D190" t="str">
            <v>01</v>
          </cell>
          <cell r="E190" t="str">
            <v>มือจับดับเบิ้ลล็อค สีขาวอลู TOP</v>
          </cell>
          <cell r="F190">
            <v>150</v>
          </cell>
          <cell r="G190">
            <v>119</v>
          </cell>
        </row>
        <row r="191">
          <cell r="A191" t="str">
            <v>E002040201Z2109800</v>
          </cell>
          <cell r="B191" t="str">
            <v>NAN0001-0265010</v>
          </cell>
          <cell r="C191" t="str">
            <v>E002</v>
          </cell>
          <cell r="D191" t="str">
            <v>01</v>
          </cell>
          <cell r="E191" t="str">
            <v>มือจับล็อค รุ่นใหญ่ สีขาวอลู TOP</v>
          </cell>
          <cell r="F191">
            <v>72</v>
          </cell>
          <cell r="G191">
            <v>42.06</v>
          </cell>
        </row>
        <row r="192">
          <cell r="A192" t="str">
            <v>E002040202D2100000</v>
          </cell>
          <cell r="B192" t="str">
            <v>NAN0002-026A000</v>
          </cell>
          <cell r="C192" t="str">
            <v>E002</v>
          </cell>
          <cell r="D192" t="str">
            <v>02</v>
          </cell>
          <cell r="E192" t="str">
            <v>มือจับล็อค A2 สีชา TOP (s)</v>
          </cell>
          <cell r="F192">
            <v>741</v>
          </cell>
          <cell r="G192">
            <v>21.45</v>
          </cell>
        </row>
        <row r="193">
          <cell r="A193" t="str">
            <v>E002040202D2100010</v>
          </cell>
          <cell r="B193" t="str">
            <v>NAN0002-0265100</v>
          </cell>
          <cell r="C193" t="str">
            <v>E002</v>
          </cell>
          <cell r="D193" t="str">
            <v>02</v>
          </cell>
          <cell r="E193" t="str">
            <v>มือจับล็อคเสาเกี่ยวซ้าย สีชา TOP</v>
          </cell>
          <cell r="F193">
            <v>127</v>
          </cell>
          <cell r="G193">
            <v>49</v>
          </cell>
        </row>
        <row r="194">
          <cell r="A194" t="str">
            <v>E002040202D2100020</v>
          </cell>
          <cell r="B194" t="str">
            <v>NAN0002-0265200</v>
          </cell>
          <cell r="C194" t="str">
            <v>E002</v>
          </cell>
          <cell r="D194" t="str">
            <v>02</v>
          </cell>
          <cell r="E194" t="str">
            <v>มือจับล็อคเสาเกี่ยวขวา สีชา TOP</v>
          </cell>
          <cell r="F194">
            <v>1415</v>
          </cell>
          <cell r="G194">
            <v>49</v>
          </cell>
        </row>
        <row r="195">
          <cell r="A195" t="str">
            <v>E002040202D2109800</v>
          </cell>
          <cell r="B195" t="str">
            <v>NAN0002-026A400</v>
          </cell>
          <cell r="C195" t="str">
            <v>E002</v>
          </cell>
          <cell r="D195" t="str">
            <v>02</v>
          </cell>
          <cell r="E195" t="str">
            <v>มือจับล็อค รุ่นใหญ่ สีชา TOP (s)</v>
          </cell>
          <cell r="F195">
            <v>291</v>
          </cell>
          <cell r="G195">
            <v>47</v>
          </cell>
        </row>
        <row r="196">
          <cell r="A196" t="str">
            <v>E002040202D2200000</v>
          </cell>
          <cell r="B196" t="str">
            <v>NAN0002-026A100</v>
          </cell>
          <cell r="C196" t="str">
            <v>E002</v>
          </cell>
          <cell r="D196" t="str">
            <v>02</v>
          </cell>
          <cell r="E196" t="str">
            <v>มือจับล็อคกุญแจ A4 สีชา TOP (s)</v>
          </cell>
          <cell r="F196">
            <v>709</v>
          </cell>
          <cell r="G196">
            <v>34.65</v>
          </cell>
        </row>
        <row r="197">
          <cell r="A197" t="str">
            <v>E002040202D2209800</v>
          </cell>
          <cell r="B197" t="str">
            <v>NAN0002-026A500</v>
          </cell>
          <cell r="C197" t="str">
            <v>E002</v>
          </cell>
          <cell r="D197" t="str">
            <v>02</v>
          </cell>
          <cell r="E197" t="str">
            <v>มือจับล็อคกุญแจ รุ่นใหญ่ สีชา TOP (s)</v>
          </cell>
          <cell r="F197">
            <v>723</v>
          </cell>
          <cell r="G197">
            <v>126</v>
          </cell>
        </row>
        <row r="198">
          <cell r="A198" t="str">
            <v>E002040202D2301000</v>
          </cell>
          <cell r="B198" t="str">
            <v>NAN0002-026A200</v>
          </cell>
          <cell r="C198" t="str">
            <v>E002</v>
          </cell>
          <cell r="D198" t="str">
            <v>02</v>
          </cell>
          <cell r="E198" t="str">
            <v>มือจับเรียบมีรู A10 สีชา TOP (s)</v>
          </cell>
          <cell r="F198">
            <v>509</v>
          </cell>
          <cell r="G198">
            <v>14</v>
          </cell>
        </row>
        <row r="199">
          <cell r="A199" t="str">
            <v>E002040202D2309800</v>
          </cell>
          <cell r="B199" t="str">
            <v>NAN0002-026A600</v>
          </cell>
          <cell r="C199" t="str">
            <v>E002</v>
          </cell>
          <cell r="D199" t="str">
            <v>02</v>
          </cell>
          <cell r="E199" t="str">
            <v>มือจับเรียบมีรู รุ่นใหญ่ สีชา TOP (s)</v>
          </cell>
          <cell r="F199">
            <v>940</v>
          </cell>
          <cell r="G199">
            <v>25</v>
          </cell>
        </row>
        <row r="200">
          <cell r="A200" t="str">
            <v>E002040202D2401100</v>
          </cell>
          <cell r="B200" t="str">
            <v>NAN0002-026A300</v>
          </cell>
          <cell r="C200" t="str">
            <v>E002</v>
          </cell>
          <cell r="D200" t="str">
            <v>02</v>
          </cell>
          <cell r="E200" t="str">
            <v>มือจับเรียบไม่มีรู A11 สีชา TOP (s)</v>
          </cell>
          <cell r="F200">
            <v>1114</v>
          </cell>
          <cell r="G200">
            <v>14</v>
          </cell>
        </row>
        <row r="201">
          <cell r="A201" t="str">
            <v>E002040202D2409800</v>
          </cell>
          <cell r="B201" t="str">
            <v>NAN0002-026A700</v>
          </cell>
          <cell r="C201" t="str">
            <v>E002</v>
          </cell>
          <cell r="D201" t="str">
            <v>02</v>
          </cell>
          <cell r="E201" t="str">
            <v>มือจับเรียบไม่มีรู รุ่นใหญ่ สีชา TOP (s)</v>
          </cell>
          <cell r="F201">
            <v>1499</v>
          </cell>
          <cell r="G201">
            <v>24</v>
          </cell>
        </row>
        <row r="202">
          <cell r="A202" t="str">
            <v>E002040202Z0000020</v>
          </cell>
          <cell r="B202" t="str">
            <v>NAN0002-0267000</v>
          </cell>
          <cell r="C202" t="str">
            <v>E002</v>
          </cell>
          <cell r="D202" t="str">
            <v>02</v>
          </cell>
          <cell r="E202" t="str">
            <v>มือจับดับเบิ้ลล็อค สีชา TOP</v>
          </cell>
          <cell r="F202">
            <v>102</v>
          </cell>
          <cell r="G202">
            <v>119</v>
          </cell>
        </row>
        <row r="203">
          <cell r="A203" t="str">
            <v>E002040202Z2109800</v>
          </cell>
          <cell r="B203" t="str">
            <v>NAN0002-0265010</v>
          </cell>
          <cell r="C203" t="str">
            <v>E002</v>
          </cell>
          <cell r="D203" t="str">
            <v>02</v>
          </cell>
          <cell r="E203" t="str">
            <v>มือจับล็อค รุ่นใหญ่ สีชา TOP</v>
          </cell>
          <cell r="F203">
            <v>0</v>
          </cell>
          <cell r="G203">
            <v>42.06</v>
          </cell>
        </row>
        <row r="204">
          <cell r="A204" t="str">
            <v>E002040202Z2409800</v>
          </cell>
          <cell r="B204" t="str">
            <v>NAN0002-0265040</v>
          </cell>
          <cell r="C204" t="str">
            <v>E002</v>
          </cell>
          <cell r="D204" t="str">
            <v>02</v>
          </cell>
          <cell r="E204" t="str">
            <v>มือจับเรียบไม่มีรู รุ่นใหญ่ สีชา TOP</v>
          </cell>
          <cell r="F204">
            <v>87</v>
          </cell>
          <cell r="G204">
            <v>28.04</v>
          </cell>
        </row>
        <row r="205">
          <cell r="A205" t="str">
            <v>E002040202Z2600000</v>
          </cell>
          <cell r="B205" t="str">
            <v>NAN0002-0266000</v>
          </cell>
          <cell r="C205" t="str">
            <v>E002</v>
          </cell>
          <cell r="D205" t="str">
            <v>02</v>
          </cell>
          <cell r="E205" t="str">
            <v>มือจับบานเลื่อนออโตล็อค สีชา TOP</v>
          </cell>
          <cell r="F205">
            <v>136</v>
          </cell>
          <cell r="G205">
            <v>60</v>
          </cell>
        </row>
        <row r="206">
          <cell r="A206" t="str">
            <v>E002040203D2100010</v>
          </cell>
          <cell r="B206" t="str">
            <v>NAN0004-0265100</v>
          </cell>
          <cell r="C206" t="str">
            <v>E002</v>
          </cell>
          <cell r="D206" t="str">
            <v>03</v>
          </cell>
          <cell r="E206" t="str">
            <v>มือจับล็อคเสาเกี่ยวซ้าย สีดำ TOP</v>
          </cell>
          <cell r="F206">
            <v>412</v>
          </cell>
          <cell r="G206">
            <v>49</v>
          </cell>
        </row>
        <row r="207">
          <cell r="A207" t="str">
            <v>E002040203D2100020</v>
          </cell>
          <cell r="B207" t="str">
            <v>NAN0004-0265200</v>
          </cell>
          <cell r="C207" t="str">
            <v>E002</v>
          </cell>
          <cell r="D207" t="str">
            <v>03</v>
          </cell>
          <cell r="E207" t="str">
            <v>มือจับล็อคเสาเกี่ยวขวา สีดำ TOP</v>
          </cell>
          <cell r="F207">
            <v>408</v>
          </cell>
          <cell r="G207">
            <v>49</v>
          </cell>
        </row>
        <row r="208">
          <cell r="A208" t="str">
            <v>E002040203D2100200</v>
          </cell>
          <cell r="B208" t="str">
            <v>NAN0004-026A000</v>
          </cell>
          <cell r="C208" t="str">
            <v>E002</v>
          </cell>
          <cell r="D208" t="str">
            <v>03</v>
          </cell>
          <cell r="E208" t="str">
            <v>มือจับล็อค A2 สีดำ TOP (s)</v>
          </cell>
          <cell r="F208">
            <v>903</v>
          </cell>
          <cell r="G208">
            <v>21.45</v>
          </cell>
        </row>
        <row r="209">
          <cell r="A209" t="str">
            <v>E002040203D2109800</v>
          </cell>
          <cell r="B209" t="str">
            <v>NAN0004-026A400</v>
          </cell>
          <cell r="C209" t="str">
            <v>E002</v>
          </cell>
          <cell r="D209" t="str">
            <v>03</v>
          </cell>
          <cell r="E209" t="str">
            <v>มือจับล็อค รุ่นใหญ่ สีดำ TOP (s)</v>
          </cell>
          <cell r="F209">
            <v>1224</v>
          </cell>
          <cell r="G209">
            <v>47</v>
          </cell>
        </row>
        <row r="210">
          <cell r="A210" t="str">
            <v>E002040203D2200400</v>
          </cell>
          <cell r="B210" t="str">
            <v>NAN0004-026A100</v>
          </cell>
          <cell r="C210" t="str">
            <v>E002</v>
          </cell>
          <cell r="D210" t="str">
            <v>03</v>
          </cell>
          <cell r="E210" t="str">
            <v>มือจับล็อคกุญแจ A4 สีดำ TOP (s)</v>
          </cell>
          <cell r="F210">
            <v>1216</v>
          </cell>
          <cell r="G210">
            <v>34.65</v>
          </cell>
        </row>
        <row r="211">
          <cell r="A211" t="str">
            <v>E002040203D2209800</v>
          </cell>
          <cell r="B211" t="str">
            <v>NAN0004-026A500</v>
          </cell>
          <cell r="C211" t="str">
            <v>E002</v>
          </cell>
          <cell r="D211" t="str">
            <v>03</v>
          </cell>
          <cell r="E211" t="str">
            <v>มือจับล็อคกุญแจ รุ่นใหญ่ สีดำ TOP (s)</v>
          </cell>
          <cell r="F211">
            <v>1093</v>
          </cell>
          <cell r="G211">
            <v>126</v>
          </cell>
        </row>
        <row r="212">
          <cell r="A212" t="str">
            <v>E002040203D2301000</v>
          </cell>
          <cell r="B212" t="str">
            <v>NAN0004-026A200</v>
          </cell>
          <cell r="C212" t="str">
            <v>E002</v>
          </cell>
          <cell r="D212" t="str">
            <v>03</v>
          </cell>
          <cell r="E212" t="str">
            <v>มือจับเรียบมีรู A10 สีดำ TOP (s)</v>
          </cell>
          <cell r="F212">
            <v>468</v>
          </cell>
          <cell r="G212">
            <v>14</v>
          </cell>
        </row>
        <row r="213">
          <cell r="A213" t="str">
            <v>E002040203D2309800</v>
          </cell>
          <cell r="B213" t="str">
            <v>NAN0004-026A600</v>
          </cell>
          <cell r="C213" t="str">
            <v>E002</v>
          </cell>
          <cell r="D213" t="str">
            <v>03</v>
          </cell>
          <cell r="E213" t="str">
            <v>มือจับเรียบมีรู รุ่นใหญ่ สีดำ TOP (s)</v>
          </cell>
          <cell r="F213">
            <v>783</v>
          </cell>
          <cell r="G213">
            <v>25</v>
          </cell>
        </row>
        <row r="214">
          <cell r="A214" t="str">
            <v>E002040203D2401100</v>
          </cell>
          <cell r="B214" t="str">
            <v>NAN0004-026A300</v>
          </cell>
          <cell r="C214" t="str">
            <v>E002</v>
          </cell>
          <cell r="D214" t="str">
            <v>03</v>
          </cell>
          <cell r="E214" t="str">
            <v>มือจับเรียบไม่มีรู A11 สีดำ TOP (s)</v>
          </cell>
          <cell r="F214">
            <v>1066</v>
          </cell>
          <cell r="G214">
            <v>14</v>
          </cell>
        </row>
        <row r="215">
          <cell r="A215" t="str">
            <v>E002040203D2409800</v>
          </cell>
          <cell r="B215" t="str">
            <v>NAN0004-026A700</v>
          </cell>
          <cell r="C215" t="str">
            <v>E002</v>
          </cell>
          <cell r="D215" t="str">
            <v>03</v>
          </cell>
          <cell r="E215" t="str">
            <v>มือจับเรียบไม่มีรู รุ่นใหญ่ สีดำ TOP (s)</v>
          </cell>
          <cell r="F215">
            <v>640</v>
          </cell>
          <cell r="G215">
            <v>24</v>
          </cell>
        </row>
        <row r="216">
          <cell r="A216" t="str">
            <v>E002040203Z0000020</v>
          </cell>
          <cell r="B216" t="str">
            <v>NAN0004-0267000</v>
          </cell>
          <cell r="C216" t="str">
            <v>E002</v>
          </cell>
          <cell r="D216" t="str">
            <v>03</v>
          </cell>
          <cell r="E216" t="str">
            <v>มือจับดับเบิ้ลล็อค สีดำ TOP</v>
          </cell>
          <cell r="F216">
            <v>47</v>
          </cell>
          <cell r="G216">
            <v>119</v>
          </cell>
        </row>
        <row r="217">
          <cell r="A217" t="str">
            <v>E002040203Z2209800</v>
          </cell>
          <cell r="B217" t="str">
            <v>NAN0004-0265020</v>
          </cell>
          <cell r="C217" t="str">
            <v>E002</v>
          </cell>
          <cell r="D217" t="str">
            <v>03</v>
          </cell>
          <cell r="E217" t="str">
            <v>มือจับล็อคกุญแจ รุ่นใหญ่ สีดำ TOP</v>
          </cell>
          <cell r="F217">
            <v>66</v>
          </cell>
          <cell r="G217">
            <v>144.86000000000001</v>
          </cell>
        </row>
        <row r="218">
          <cell r="A218" t="str">
            <v>E002040203Z2301000</v>
          </cell>
          <cell r="B218" t="str">
            <v>NAN0004-0262000</v>
          </cell>
          <cell r="C218" t="str">
            <v>E002</v>
          </cell>
          <cell r="D218" t="str">
            <v>03</v>
          </cell>
          <cell r="E218" t="str">
            <v>มือจับเรียบมีรู A10 สีดำ TOP</v>
          </cell>
          <cell r="F218">
            <v>0</v>
          </cell>
          <cell r="G218">
            <v>0</v>
          </cell>
        </row>
        <row r="219">
          <cell r="A219" t="str">
            <v>E002040203Z2309800</v>
          </cell>
          <cell r="B219" t="str">
            <v>NAN0004-0265030</v>
          </cell>
          <cell r="C219" t="str">
            <v>E002</v>
          </cell>
          <cell r="D219" t="str">
            <v>03</v>
          </cell>
          <cell r="E219" t="str">
            <v>มือจับเรียบมีรู รุ่นใหญ่ สีดำ TOP</v>
          </cell>
          <cell r="F219">
            <v>207</v>
          </cell>
          <cell r="G219">
            <v>28.04</v>
          </cell>
        </row>
        <row r="220">
          <cell r="A220" t="str">
            <v>E002040203Z2409800</v>
          </cell>
          <cell r="B220" t="str">
            <v>NAN0004-0265040</v>
          </cell>
          <cell r="C220" t="str">
            <v>E002</v>
          </cell>
          <cell r="D220" t="str">
            <v>03</v>
          </cell>
          <cell r="E220" t="str">
            <v>มือจับเรียบไม่มีรู รุ่นใหญ่ สีดำ TOP</v>
          </cell>
          <cell r="F220">
            <v>8</v>
          </cell>
          <cell r="G220">
            <v>28.04</v>
          </cell>
        </row>
        <row r="221">
          <cell r="A221" t="str">
            <v>E002040203Z2600000</v>
          </cell>
          <cell r="B221" t="str">
            <v>NAN0004-0266000</v>
          </cell>
          <cell r="C221" t="str">
            <v>E002</v>
          </cell>
          <cell r="D221" t="str">
            <v>03</v>
          </cell>
          <cell r="E221" t="str">
            <v>มือจับบานเลื่อนออโตล็อค สีดำ TOP</v>
          </cell>
          <cell r="F221">
            <v>46</v>
          </cell>
          <cell r="G221">
            <v>60</v>
          </cell>
        </row>
        <row r="222">
          <cell r="A222" t="str">
            <v>E002040204D2100010</v>
          </cell>
          <cell r="B222" t="str">
            <v>NAN0011-0265100</v>
          </cell>
          <cell r="C222" t="str">
            <v>E002</v>
          </cell>
          <cell r="D222" t="str">
            <v>04</v>
          </cell>
          <cell r="E222" t="str">
            <v>มือจับล็อคเสาเกี่ยวซ้าย สีอบขาว TOP</v>
          </cell>
          <cell r="F222">
            <v>622</v>
          </cell>
          <cell r="G222">
            <v>49</v>
          </cell>
        </row>
        <row r="223">
          <cell r="A223" t="str">
            <v>E002040204D2100020</v>
          </cell>
          <cell r="B223" t="str">
            <v>NAN0011-0265200</v>
          </cell>
          <cell r="C223" t="str">
            <v>E002</v>
          </cell>
          <cell r="D223" t="str">
            <v>04</v>
          </cell>
          <cell r="E223" t="str">
            <v>มือจับล็อคเสาเกี่ยวขวา สีอบขาว TOP</v>
          </cell>
          <cell r="F223">
            <v>355</v>
          </cell>
          <cell r="G223">
            <v>49</v>
          </cell>
        </row>
        <row r="224">
          <cell r="A224" t="str">
            <v>E002040204D2100200</v>
          </cell>
          <cell r="B224" t="str">
            <v>NAN0011-026A000</v>
          </cell>
          <cell r="C224" t="str">
            <v>E002</v>
          </cell>
          <cell r="D224" t="str">
            <v>04</v>
          </cell>
          <cell r="E224" t="str">
            <v>มือจับล็อค A2 สีอบขาว TOP (s)</v>
          </cell>
          <cell r="F224">
            <v>1956</v>
          </cell>
          <cell r="G224">
            <v>21.45</v>
          </cell>
        </row>
        <row r="225">
          <cell r="A225" t="str">
            <v>E002040204D2109800</v>
          </cell>
          <cell r="B225" t="str">
            <v>NAN0011-026A400</v>
          </cell>
          <cell r="C225" t="str">
            <v>E002</v>
          </cell>
          <cell r="D225" t="str">
            <v>04</v>
          </cell>
          <cell r="E225" t="str">
            <v>มือจับล็อค รุ่นใหญ่ สีอบขาว TOP (s)</v>
          </cell>
          <cell r="F225">
            <v>1192</v>
          </cell>
          <cell r="G225">
            <v>47</v>
          </cell>
        </row>
        <row r="226">
          <cell r="A226" t="str">
            <v>E002040204D2200400</v>
          </cell>
          <cell r="B226" t="str">
            <v>NAN0011-026A100</v>
          </cell>
          <cell r="C226" t="str">
            <v>E002</v>
          </cell>
          <cell r="D226" t="str">
            <v>04</v>
          </cell>
          <cell r="E226" t="str">
            <v>มือจับล็อคกุญแจ A4 สีอบขาว TOP (s)</v>
          </cell>
          <cell r="F226">
            <v>876</v>
          </cell>
          <cell r="G226">
            <v>34.65</v>
          </cell>
        </row>
        <row r="227">
          <cell r="A227" t="str">
            <v>E002040204D2209800</v>
          </cell>
          <cell r="B227" t="str">
            <v>NAN0011-026A500</v>
          </cell>
          <cell r="C227" t="str">
            <v>E002</v>
          </cell>
          <cell r="D227" t="str">
            <v>04</v>
          </cell>
          <cell r="E227" t="str">
            <v>มือจับล็อคกุญแจ รุ่นใหญ่ สีอบขาว TOP (s)</v>
          </cell>
          <cell r="F227">
            <v>521</v>
          </cell>
          <cell r="G227">
            <v>126</v>
          </cell>
        </row>
        <row r="228">
          <cell r="A228" t="str">
            <v>E002040204D2301000</v>
          </cell>
          <cell r="B228" t="str">
            <v>NAN0011-026A200</v>
          </cell>
          <cell r="C228" t="str">
            <v>E002</v>
          </cell>
          <cell r="D228" t="str">
            <v>04</v>
          </cell>
          <cell r="E228" t="str">
            <v>มือจับเรียบมีรู A10 สีอบขาว TOP (s)</v>
          </cell>
          <cell r="F228">
            <v>435</v>
          </cell>
          <cell r="G228">
            <v>14</v>
          </cell>
        </row>
        <row r="229">
          <cell r="A229" t="str">
            <v>E002040204D2309800</v>
          </cell>
          <cell r="B229" t="str">
            <v>NAN0011-026A600</v>
          </cell>
          <cell r="C229" t="str">
            <v>E002</v>
          </cell>
          <cell r="D229" t="str">
            <v>04</v>
          </cell>
          <cell r="E229" t="str">
            <v>มือจับเรียบมีรู รุ่นใหญ่ สีอบขาว TOP (s)</v>
          </cell>
          <cell r="F229">
            <v>783</v>
          </cell>
          <cell r="G229">
            <v>25</v>
          </cell>
        </row>
        <row r="230">
          <cell r="A230" t="str">
            <v>E002040204D2401100</v>
          </cell>
          <cell r="B230" t="str">
            <v>NAN0011-026A300</v>
          </cell>
          <cell r="C230" t="str">
            <v>E002</v>
          </cell>
          <cell r="D230" t="str">
            <v>04</v>
          </cell>
          <cell r="E230" t="str">
            <v>มือจับเรียบไม่มีรู A11 สีอบขาว TOP (s)</v>
          </cell>
          <cell r="F230">
            <v>1095</v>
          </cell>
          <cell r="G230">
            <v>14</v>
          </cell>
        </row>
        <row r="231">
          <cell r="A231" t="str">
            <v>E002040204D2409800</v>
          </cell>
          <cell r="B231" t="str">
            <v>NAN0011-026A700</v>
          </cell>
          <cell r="C231" t="str">
            <v>E002</v>
          </cell>
          <cell r="D231" t="str">
            <v>04</v>
          </cell>
          <cell r="E231" t="str">
            <v>มือจับเรียบไม่มีรู รุ่นใหญ่ สีอบขาว TOP (s)</v>
          </cell>
          <cell r="F231">
            <v>645</v>
          </cell>
          <cell r="G231">
            <v>24</v>
          </cell>
        </row>
        <row r="232">
          <cell r="A232" t="str">
            <v>E002040204Z0000020</v>
          </cell>
          <cell r="B232" t="str">
            <v>NAN0011-0267000</v>
          </cell>
          <cell r="C232" t="str">
            <v>E002</v>
          </cell>
          <cell r="D232" t="str">
            <v>04</v>
          </cell>
          <cell r="E232" t="str">
            <v>มือจับดับเบิ้ลล็อค สีอบขาว TOP</v>
          </cell>
          <cell r="F232">
            <v>360</v>
          </cell>
          <cell r="G232">
            <v>119</v>
          </cell>
        </row>
        <row r="233">
          <cell r="A233" t="str">
            <v>E002040204Z2209800</v>
          </cell>
          <cell r="B233" t="str">
            <v>NAN0011-0265020</v>
          </cell>
          <cell r="C233" t="str">
            <v>E002</v>
          </cell>
          <cell r="D233" t="str">
            <v>04</v>
          </cell>
          <cell r="E233" t="str">
            <v>มือจับล็อคกุญแจ รุ่นใหญ่ สีอบขาว TOP</v>
          </cell>
          <cell r="F233">
            <v>0</v>
          </cell>
          <cell r="G233">
            <v>0</v>
          </cell>
        </row>
        <row r="234">
          <cell r="A234" t="str">
            <v>E002040204Z2301000</v>
          </cell>
          <cell r="B234" t="str">
            <v>NAN0011-0262000</v>
          </cell>
          <cell r="C234" t="str">
            <v>E002</v>
          </cell>
          <cell r="D234" t="str">
            <v>04</v>
          </cell>
          <cell r="E234" t="str">
            <v>มือจับเรียบมีรู A10 สีอบขาว TOP</v>
          </cell>
          <cell r="F234">
            <v>34</v>
          </cell>
          <cell r="G234">
            <v>13.08</v>
          </cell>
        </row>
        <row r="235">
          <cell r="A235" t="str">
            <v>E002040204Z2309800</v>
          </cell>
          <cell r="B235" t="str">
            <v>NAN0011-0265030</v>
          </cell>
          <cell r="C235" t="str">
            <v>E002</v>
          </cell>
          <cell r="D235" t="str">
            <v>04</v>
          </cell>
          <cell r="E235" t="str">
            <v>มือจับเรียบมีรู รุ่นใหญ่ สีอบขาว TOP</v>
          </cell>
          <cell r="F235">
            <v>201</v>
          </cell>
          <cell r="G235">
            <v>28.04</v>
          </cell>
        </row>
        <row r="236">
          <cell r="A236" t="str">
            <v>E002040204Z2409800</v>
          </cell>
          <cell r="B236" t="str">
            <v>NAN0011-0265040</v>
          </cell>
          <cell r="C236" t="str">
            <v>E002</v>
          </cell>
          <cell r="D236" t="str">
            <v>04</v>
          </cell>
          <cell r="E236" t="str">
            <v>มือจับเรียบไม่มีรู รุ่นใหญ่ สีอบขาว TOP</v>
          </cell>
          <cell r="F236">
            <v>113</v>
          </cell>
          <cell r="G236">
            <v>28.04</v>
          </cell>
        </row>
        <row r="237">
          <cell r="A237" t="str">
            <v>E002040204Z2600000</v>
          </cell>
          <cell r="B237" t="str">
            <v>NAN0011-0266001</v>
          </cell>
          <cell r="C237" t="str">
            <v>E002</v>
          </cell>
          <cell r="D237" t="str">
            <v>04</v>
          </cell>
          <cell r="E237" t="str">
            <v>มือจับบานเลื่อนออโตล็อคแบบเรียบ สีอบขาว TOP</v>
          </cell>
          <cell r="F237">
            <v>0</v>
          </cell>
          <cell r="G237">
            <v>0</v>
          </cell>
        </row>
        <row r="238">
          <cell r="A238" t="str">
            <v>E002040314D3010100</v>
          </cell>
          <cell r="B238" t="str">
            <v>NAN0000-0268101</v>
          </cell>
          <cell r="C238" t="str">
            <v>E002</v>
          </cell>
          <cell r="D238">
            <v>14</v>
          </cell>
          <cell r="E238" t="str">
            <v>มือจับสแตนเลส TOP รุ่น 101 PS ขนาด 305x25x75</v>
          </cell>
          <cell r="F238">
            <v>0</v>
          </cell>
          <cell r="G238">
            <v>0</v>
          </cell>
        </row>
        <row r="239">
          <cell r="A239" t="str">
            <v>E002040314D3011700</v>
          </cell>
          <cell r="B239" t="str">
            <v>NAN0000-0268117</v>
          </cell>
          <cell r="C239" t="str">
            <v>E002</v>
          </cell>
          <cell r="D239">
            <v>14</v>
          </cell>
          <cell r="E239" t="str">
            <v>มือจับสแตนเลส TOP รุ่น 117 PS ขนาด 305x25x75</v>
          </cell>
          <cell r="F239">
            <v>5589</v>
          </cell>
          <cell r="G239">
            <v>102.8</v>
          </cell>
        </row>
        <row r="240">
          <cell r="A240" t="str">
            <v>E002040314E1011000</v>
          </cell>
          <cell r="B240" t="str">
            <v/>
          </cell>
          <cell r="C240" t="str">
            <v>E002</v>
          </cell>
          <cell r="D240">
            <v>14</v>
          </cell>
          <cell r="E240" t="str">
            <v>มือจับสแตนเลส HD-110 #2011 ขนาด 25x305x450 ผิวเงา</v>
          </cell>
          <cell r="F240">
            <v>12</v>
          </cell>
          <cell r="G240">
            <v>960</v>
          </cell>
        </row>
        <row r="241">
          <cell r="A241" t="str">
            <v>E002050201E0100000</v>
          </cell>
          <cell r="B241" t="str">
            <v>NAN0001-0344000</v>
          </cell>
          <cell r="C241" t="str">
            <v>E002</v>
          </cell>
          <cell r="D241" t="str">
            <v>01</v>
          </cell>
          <cell r="E241" t="str">
            <v>กุญแจเกี่ยวลูกบิด สีขาวอลู TOP</v>
          </cell>
          <cell r="F241">
            <v>29</v>
          </cell>
          <cell r="G241">
            <v>233.64</v>
          </cell>
        </row>
        <row r="242">
          <cell r="A242" t="str">
            <v>E002050202E0100000</v>
          </cell>
          <cell r="B242" t="str">
            <v>NAN0002-0344000</v>
          </cell>
          <cell r="C242" t="str">
            <v>E002</v>
          </cell>
          <cell r="D242" t="str">
            <v>02</v>
          </cell>
          <cell r="E242" t="str">
            <v>กุญแจเกี่ยวลูกบิด สีชา TOP</v>
          </cell>
          <cell r="F242">
            <v>15</v>
          </cell>
          <cell r="G242">
            <v>233.64</v>
          </cell>
        </row>
        <row r="243">
          <cell r="A243" t="str">
            <v>E002050202Z0000000</v>
          </cell>
          <cell r="B243" t="str">
            <v>NAN0002-0343000</v>
          </cell>
          <cell r="C243" t="str">
            <v>E002</v>
          </cell>
          <cell r="D243" t="str">
            <v>02</v>
          </cell>
          <cell r="E243" t="str">
            <v>กุญแจเกี่ยวสองหน้า สีชา TOP</v>
          </cell>
          <cell r="F243">
            <v>3</v>
          </cell>
          <cell r="G243">
            <v>233.64</v>
          </cell>
        </row>
        <row r="244">
          <cell r="A244" t="str">
            <v>E002050203E0100000</v>
          </cell>
          <cell r="B244" t="str">
            <v>NAN0004-0344000</v>
          </cell>
          <cell r="C244" t="str">
            <v>E002</v>
          </cell>
          <cell r="D244" t="str">
            <v>03</v>
          </cell>
          <cell r="E244" t="str">
            <v>กุญแจเกี่ยวลูกบิด สีดำ TOP</v>
          </cell>
          <cell r="F244">
            <v>28</v>
          </cell>
          <cell r="G244">
            <v>233.64</v>
          </cell>
        </row>
        <row r="245">
          <cell r="A245" t="str">
            <v>E002050204E0100000</v>
          </cell>
          <cell r="B245" t="str">
            <v>NAN0011-0344000</v>
          </cell>
          <cell r="C245" t="str">
            <v>E002</v>
          </cell>
          <cell r="D245" t="str">
            <v>04</v>
          </cell>
          <cell r="E245" t="str">
            <v>กุญแจเกี่ยวลูกบิด สีอบขาว TOP</v>
          </cell>
          <cell r="F245">
            <v>31</v>
          </cell>
          <cell r="G245">
            <v>233.64</v>
          </cell>
        </row>
        <row r="246">
          <cell r="A246" t="str">
            <v>E002050206E0100000</v>
          </cell>
          <cell r="B246" t="str">
            <v>NAN0531-0344000</v>
          </cell>
          <cell r="C246" t="str">
            <v>E002</v>
          </cell>
          <cell r="D246" t="str">
            <v>06</v>
          </cell>
          <cell r="E246" t="str">
            <v>กุญแจเกี่ยวลูกบิด สีเทาซาฮาร่า TOP</v>
          </cell>
          <cell r="F246">
            <v>2</v>
          </cell>
          <cell r="G246">
            <v>250</v>
          </cell>
        </row>
        <row r="247">
          <cell r="A247" t="str">
            <v>E002050301E0000100</v>
          </cell>
          <cell r="B247" t="str">
            <v>NAN0001-0340000</v>
          </cell>
          <cell r="C247" t="str">
            <v>E002</v>
          </cell>
          <cell r="D247" t="str">
            <v>01</v>
          </cell>
          <cell r="E247" t="str">
            <v>กลอนประตูสวิง สีขาวอลู TOP</v>
          </cell>
          <cell r="F247">
            <v>291</v>
          </cell>
          <cell r="G247">
            <v>55</v>
          </cell>
        </row>
        <row r="248">
          <cell r="A248" t="str">
            <v>E002050301E0200000</v>
          </cell>
          <cell r="B248" t="str">
            <v>NAN0001-0342000</v>
          </cell>
          <cell r="C248" t="str">
            <v>E002</v>
          </cell>
          <cell r="D248" t="str">
            <v>01</v>
          </cell>
          <cell r="E248" t="str">
            <v>กุญแจสวิงลูกบิด สีขาวอลู TOP</v>
          </cell>
          <cell r="F248">
            <v>28</v>
          </cell>
          <cell r="G248">
            <v>233.64</v>
          </cell>
        </row>
        <row r="249">
          <cell r="A249" t="str">
            <v>E002050302E0000100</v>
          </cell>
          <cell r="B249" t="str">
            <v>NAN0002-0340000</v>
          </cell>
          <cell r="C249" t="str">
            <v>E002</v>
          </cell>
          <cell r="D249" t="str">
            <v>02</v>
          </cell>
          <cell r="E249" t="str">
            <v>กลอนประตูสวิง สีชา TOP</v>
          </cell>
          <cell r="F249">
            <v>486</v>
          </cell>
          <cell r="G249">
            <v>55</v>
          </cell>
        </row>
        <row r="250">
          <cell r="A250" t="str">
            <v>E002050302E0200000</v>
          </cell>
          <cell r="B250" t="str">
            <v>NAN0002-0342000</v>
          </cell>
          <cell r="C250" t="str">
            <v>E002</v>
          </cell>
          <cell r="D250" t="str">
            <v>02</v>
          </cell>
          <cell r="E250" t="str">
            <v>กุญแจสวิงลูกบิด สีชา TOP</v>
          </cell>
          <cell r="F250">
            <v>56</v>
          </cell>
          <cell r="G250">
            <v>233.64</v>
          </cell>
        </row>
        <row r="251">
          <cell r="A251" t="str">
            <v>E002050303E0000100</v>
          </cell>
          <cell r="B251" t="str">
            <v>NAN0004-0340000</v>
          </cell>
          <cell r="C251" t="str">
            <v>E002</v>
          </cell>
          <cell r="D251" t="str">
            <v>03</v>
          </cell>
          <cell r="E251" t="str">
            <v>กลอนประตูสวิง สีดำ TOP</v>
          </cell>
          <cell r="F251">
            <v>728</v>
          </cell>
          <cell r="G251">
            <v>55</v>
          </cell>
        </row>
        <row r="252">
          <cell r="A252" t="str">
            <v>E002050303E0200000</v>
          </cell>
          <cell r="B252" t="str">
            <v>NAN0004-0342000</v>
          </cell>
          <cell r="C252" t="str">
            <v>E002</v>
          </cell>
          <cell r="D252" t="str">
            <v>03</v>
          </cell>
          <cell r="E252" t="str">
            <v>กุญแจสวิงลูกบิด สีดำ TOP</v>
          </cell>
          <cell r="F252">
            <v>31</v>
          </cell>
          <cell r="G252">
            <v>233.64</v>
          </cell>
        </row>
        <row r="253">
          <cell r="A253" t="str">
            <v>E002050304E0000100</v>
          </cell>
          <cell r="B253" t="str">
            <v>NAN0011-0340000</v>
          </cell>
          <cell r="C253" t="str">
            <v>E002</v>
          </cell>
          <cell r="D253" t="str">
            <v>04</v>
          </cell>
          <cell r="E253" t="str">
            <v>กลอนประตูสวิง สีอบขาว TOP</v>
          </cell>
          <cell r="F253">
            <v>551</v>
          </cell>
          <cell r="G253">
            <v>55</v>
          </cell>
        </row>
        <row r="254">
          <cell r="A254" t="str">
            <v>E002050304E0200000</v>
          </cell>
          <cell r="B254" t="str">
            <v>NAN0011-0342000</v>
          </cell>
          <cell r="C254" t="str">
            <v>E002</v>
          </cell>
          <cell r="D254" t="str">
            <v>04</v>
          </cell>
          <cell r="E254" t="str">
            <v>กุญแจสวิงลูกบิด สีอบขาว TOP</v>
          </cell>
          <cell r="F254">
            <v>16</v>
          </cell>
          <cell r="G254">
            <v>233.64</v>
          </cell>
        </row>
        <row r="255">
          <cell r="A255" t="str">
            <v>E002050306E0200000</v>
          </cell>
          <cell r="B255" t="str">
            <v>NAN0531-0342000</v>
          </cell>
          <cell r="C255" t="str">
            <v>E002</v>
          </cell>
          <cell r="D255" t="str">
            <v>06</v>
          </cell>
          <cell r="E255" t="str">
            <v>กุญแจสวิงลูกบิด สีเทาซาฮาร่า TOP</v>
          </cell>
          <cell r="F255">
            <v>4</v>
          </cell>
          <cell r="G255">
            <v>250</v>
          </cell>
        </row>
        <row r="256">
          <cell r="A256" t="str">
            <v>E002090900I9000000</v>
          </cell>
          <cell r="B256" t="str">
            <v>NAN0000-1010000</v>
          </cell>
          <cell r="C256" t="str">
            <v>E002</v>
          </cell>
          <cell r="D256" t="str">
            <v>00</v>
          </cell>
          <cell r="E256" t="str">
            <v>ฉากข้อต่อมุ้ง TOP</v>
          </cell>
          <cell r="F256">
            <v>23776</v>
          </cell>
          <cell r="G256">
            <v>6</v>
          </cell>
        </row>
        <row r="257">
          <cell r="A257" t="str">
            <v>E00213000000000000</v>
          </cell>
          <cell r="B257" t="str">
            <v>NGH000-00000</v>
          </cell>
          <cell r="C257" t="str">
            <v>E002</v>
          </cell>
          <cell r="D257" t="str">
            <v>00</v>
          </cell>
          <cell r="E257" t="str">
            <v>อุปกรณ์กระจกยี่ห้อ TOP (กลุ่ม)</v>
          </cell>
          <cell r="F257">
            <v>0</v>
          </cell>
          <cell r="G257">
            <v>0</v>
          </cell>
        </row>
        <row r="258">
          <cell r="A258" t="str">
            <v>E002131100M0000100</v>
          </cell>
          <cell r="B258" t="str">
            <v>NGTS-01090060</v>
          </cell>
          <cell r="C258" t="str">
            <v>E002</v>
          </cell>
          <cell r="D258" t="str">
            <v>00</v>
          </cell>
          <cell r="E258" t="str">
            <v>ฉากกั้นกระจกเทมเปอร์ TOP Shield แบบไม่มีช่อง รุ่น TS01 STD.</v>
          </cell>
          <cell r="F258">
            <v>4</v>
          </cell>
          <cell r="G258">
            <v>831.78</v>
          </cell>
        </row>
        <row r="259">
          <cell r="A259" t="str">
            <v>E002131100M0000101</v>
          </cell>
          <cell r="B259" t="str">
            <v>NGTS-01000000</v>
          </cell>
          <cell r="C259" t="str">
            <v>E002</v>
          </cell>
          <cell r="D259" t="str">
            <v>00</v>
          </cell>
          <cell r="E259" t="str">
            <v>ฉากกั้นกระจกเทมเปอร์ TOP Shield แบบไม่มีช่อง รุ่น TS01</v>
          </cell>
          <cell r="F259">
            <v>0</v>
          </cell>
          <cell r="G259">
            <v>0</v>
          </cell>
        </row>
        <row r="260">
          <cell r="A260" t="str">
            <v>E002131100M0000200</v>
          </cell>
          <cell r="B260" t="str">
            <v>NGTS-02090060</v>
          </cell>
          <cell r="C260" t="str">
            <v>E002</v>
          </cell>
          <cell r="D260" t="str">
            <v>00</v>
          </cell>
          <cell r="E260" t="str">
            <v>ฉากกั้นกระจกเทมเปอร์ TOP Shield แบบมีช่อง รุ่น TS02 STD.</v>
          </cell>
          <cell r="F260">
            <v>9</v>
          </cell>
          <cell r="G260">
            <v>841.12149532710271</v>
          </cell>
        </row>
        <row r="261">
          <cell r="A261" t="str">
            <v>E002131100M0000201</v>
          </cell>
          <cell r="B261" t="str">
            <v>NGTS-02000000</v>
          </cell>
          <cell r="C261" t="str">
            <v>E002</v>
          </cell>
          <cell r="D261" t="str">
            <v>00</v>
          </cell>
          <cell r="E261" t="str">
            <v>ฉากกั้นกระจกเทมเปอร์ TOP Shield แบบมีช่อง รุ่น TS02</v>
          </cell>
          <cell r="F261">
            <v>1</v>
          </cell>
          <cell r="G261">
            <v>0</v>
          </cell>
        </row>
        <row r="262">
          <cell r="A262" t="str">
            <v>E002131114M0050600</v>
          </cell>
          <cell r="B262" t="str">
            <v/>
          </cell>
          <cell r="C262" t="str">
            <v>E002</v>
          </cell>
          <cell r="D262">
            <v>14</v>
          </cell>
          <cell r="E262" t="str">
            <v>ตัวหนีบกระจกห้องน้ำรุ่นเล็ก TOP #GC-506 PS (ไม่เจาะ)</v>
          </cell>
          <cell r="F262">
            <v>46</v>
          </cell>
          <cell r="G262">
            <v>60</v>
          </cell>
        </row>
        <row r="263">
          <cell r="A263" t="str">
            <v>E002131114M0050700</v>
          </cell>
          <cell r="B263" t="str">
            <v/>
          </cell>
          <cell r="C263" t="str">
            <v>E002</v>
          </cell>
          <cell r="D263">
            <v>14</v>
          </cell>
          <cell r="E263" t="str">
            <v>ตัวหนีบกระจกห้องน้ำรุ่นเล็ก TOP #GC-507 PS (ไม่เจาะ)</v>
          </cell>
          <cell r="F263">
            <v>59</v>
          </cell>
          <cell r="G263">
            <v>60</v>
          </cell>
        </row>
        <row r="264">
          <cell r="A264" t="str">
            <v>E003040201D2109800</v>
          </cell>
          <cell r="B264" t="str">
            <v>NAN0001-0285010</v>
          </cell>
          <cell r="C264" t="str">
            <v>E003</v>
          </cell>
          <cell r="D264" t="str">
            <v>01</v>
          </cell>
          <cell r="E264" t="str">
            <v>มือจับล็อค รุ่นใหญ่ สีขาวอลู TOP X TRA</v>
          </cell>
          <cell r="F264">
            <v>72</v>
          </cell>
          <cell r="G264">
            <v>51.4</v>
          </cell>
        </row>
        <row r="265">
          <cell r="A265" t="str">
            <v>E003040201D2209800</v>
          </cell>
          <cell r="B265" t="str">
            <v>NAN0001-0285020</v>
          </cell>
          <cell r="C265" t="str">
            <v>E003</v>
          </cell>
          <cell r="D265" t="str">
            <v>01</v>
          </cell>
          <cell r="E265" t="str">
            <v>มือจับล็อคกุญแจ รุ่นใหญ่ สีขาวอลู TOP X TRA</v>
          </cell>
          <cell r="F265">
            <v>485</v>
          </cell>
          <cell r="G265">
            <v>154.2056</v>
          </cell>
        </row>
        <row r="266">
          <cell r="A266" t="str">
            <v>E003040201D2309800</v>
          </cell>
          <cell r="B266" t="str">
            <v>NAN0001-0285030</v>
          </cell>
          <cell r="C266" t="str">
            <v>E003</v>
          </cell>
          <cell r="D266" t="str">
            <v>01</v>
          </cell>
          <cell r="E266" t="str">
            <v>มือจับเรียบมีรู รุ่นใหญ่ สีขาวอลู TOP X TRA</v>
          </cell>
          <cell r="F266">
            <v>96</v>
          </cell>
          <cell r="G266">
            <v>28.97</v>
          </cell>
        </row>
        <row r="267">
          <cell r="A267" t="str">
            <v>E003040201D2409800</v>
          </cell>
          <cell r="B267" t="str">
            <v>NAN0001-0285040</v>
          </cell>
          <cell r="C267" t="str">
            <v>E003</v>
          </cell>
          <cell r="D267" t="str">
            <v>01</v>
          </cell>
          <cell r="E267" t="str">
            <v>มือจับเรียบไม่มีรู รุ่นใหญ่ สีขาวอลู TOP X TRA</v>
          </cell>
          <cell r="F267">
            <v>777</v>
          </cell>
          <cell r="G267">
            <v>28.97</v>
          </cell>
        </row>
        <row r="268">
          <cell r="A268" t="str">
            <v>E003040202D2109800</v>
          </cell>
          <cell r="B268" t="str">
            <v>NAN0002-0285010</v>
          </cell>
          <cell r="C268" t="str">
            <v>E003</v>
          </cell>
          <cell r="D268" t="str">
            <v>02</v>
          </cell>
          <cell r="E268" t="str">
            <v>มือจับล็อค รุ่นใหญ่ สีชา TOP X TRA</v>
          </cell>
          <cell r="F268">
            <v>278</v>
          </cell>
          <cell r="G268">
            <v>51.4</v>
          </cell>
        </row>
        <row r="269">
          <cell r="A269" t="str">
            <v>E003040202D2209800</v>
          </cell>
          <cell r="B269" t="str">
            <v>NAN0002-0285020</v>
          </cell>
          <cell r="C269" t="str">
            <v>E003</v>
          </cell>
          <cell r="D269" t="str">
            <v>02</v>
          </cell>
          <cell r="E269" t="str">
            <v>มือจับล็อคกุญแจ รุ่นใหญ่ สีชา TOP X TRA</v>
          </cell>
          <cell r="F269">
            <v>141</v>
          </cell>
          <cell r="G269">
            <v>154.2056</v>
          </cell>
        </row>
        <row r="270">
          <cell r="A270" t="str">
            <v>E003040202D2309800</v>
          </cell>
          <cell r="B270" t="str">
            <v>NAN0002-0285030</v>
          </cell>
          <cell r="C270" t="str">
            <v>E003</v>
          </cell>
          <cell r="D270" t="str">
            <v>02</v>
          </cell>
          <cell r="E270" t="str">
            <v>มือจับเรียบมีรู รุ่นใหญ่ สีชา TOP X TRA</v>
          </cell>
          <cell r="F270">
            <v>281</v>
          </cell>
          <cell r="G270">
            <v>28.97</v>
          </cell>
        </row>
        <row r="271">
          <cell r="A271" t="str">
            <v>E003040202D2409800</v>
          </cell>
          <cell r="B271" t="str">
            <v>NAN0002-0285040</v>
          </cell>
          <cell r="C271" t="str">
            <v>E003</v>
          </cell>
          <cell r="D271" t="str">
            <v>02</v>
          </cell>
          <cell r="E271" t="str">
            <v>มือจับเรียบไม่มีรู รุ่นใหญ่ สีชา TOP X TRA</v>
          </cell>
          <cell r="F271">
            <v>470</v>
          </cell>
          <cell r="G271">
            <v>28.97</v>
          </cell>
        </row>
        <row r="272">
          <cell r="A272" t="str">
            <v>E003040202Z0020100</v>
          </cell>
          <cell r="B272" t="str">
            <v>NAN0002-0280000</v>
          </cell>
          <cell r="C272" t="str">
            <v>E003</v>
          </cell>
          <cell r="D272" t="str">
            <v>02</v>
          </cell>
          <cell r="E272" t="str">
            <v>มือจับล็อค รุ่นเล็ก สีชา TOP X TRA</v>
          </cell>
          <cell r="F272">
            <v>0</v>
          </cell>
          <cell r="G272">
            <v>0</v>
          </cell>
        </row>
        <row r="273">
          <cell r="A273" t="str">
            <v>E003040203D2109800</v>
          </cell>
          <cell r="B273" t="str">
            <v>NAN0004-0285010</v>
          </cell>
          <cell r="C273" t="str">
            <v>E003</v>
          </cell>
          <cell r="D273" t="str">
            <v>03</v>
          </cell>
          <cell r="E273" t="str">
            <v>มือจับล็อค รุ่นใหญ่ สีดำ TOP X TRA</v>
          </cell>
          <cell r="F273">
            <v>719</v>
          </cell>
          <cell r="G273">
            <v>51.4</v>
          </cell>
        </row>
        <row r="274">
          <cell r="A274" t="str">
            <v>E003040203D2209800</v>
          </cell>
          <cell r="B274" t="str">
            <v>NAN0004-0285020</v>
          </cell>
          <cell r="C274" t="str">
            <v>E003</v>
          </cell>
          <cell r="D274" t="str">
            <v>03</v>
          </cell>
          <cell r="E274" t="str">
            <v>มือจับล็อคกุญแจ รุ่นใหญ่ สีดำ TOP X TRA</v>
          </cell>
          <cell r="F274">
            <v>247</v>
          </cell>
          <cell r="G274">
            <v>154.2056</v>
          </cell>
        </row>
        <row r="275">
          <cell r="A275" t="str">
            <v>E003040203D2309800</v>
          </cell>
          <cell r="B275" t="str">
            <v>NAN0004-0285030</v>
          </cell>
          <cell r="C275" t="str">
            <v>E003</v>
          </cell>
          <cell r="D275" t="str">
            <v>03</v>
          </cell>
          <cell r="E275" t="str">
            <v>มือจับเรียบมีรู รุ่นใหญ่ สีดำ TOP X TRA</v>
          </cell>
          <cell r="F275">
            <v>367</v>
          </cell>
          <cell r="G275">
            <v>28.97</v>
          </cell>
        </row>
        <row r="276">
          <cell r="A276" t="str">
            <v>E003040203D2409800</v>
          </cell>
          <cell r="B276" t="str">
            <v>NAN0004-0285040</v>
          </cell>
          <cell r="C276" t="str">
            <v>E003</v>
          </cell>
          <cell r="D276" t="str">
            <v>03</v>
          </cell>
          <cell r="E276" t="str">
            <v>มือจับเรียบไม่มีรู รุ่นใหญ่ สีดำ TOP X TRA</v>
          </cell>
          <cell r="F276">
            <v>184</v>
          </cell>
          <cell r="G276">
            <v>28.97</v>
          </cell>
        </row>
        <row r="277">
          <cell r="A277" t="str">
            <v>E003040204D2109800</v>
          </cell>
          <cell r="B277" t="str">
            <v>NAN0011-0285010</v>
          </cell>
          <cell r="C277" t="str">
            <v>E003</v>
          </cell>
          <cell r="D277" t="str">
            <v>04</v>
          </cell>
          <cell r="E277" t="str">
            <v>มือจับล็อค รุ่นใหญ่ สีอบขาว TOP X TRA</v>
          </cell>
          <cell r="F277">
            <v>148</v>
          </cell>
          <cell r="G277">
            <v>51.4</v>
          </cell>
        </row>
        <row r="278">
          <cell r="A278" t="str">
            <v>E003040204D2209800</v>
          </cell>
          <cell r="B278" t="str">
            <v>NAN0011-0285020</v>
          </cell>
          <cell r="C278" t="str">
            <v>E003</v>
          </cell>
          <cell r="D278" t="str">
            <v>04</v>
          </cell>
          <cell r="E278" t="str">
            <v>มือจับล็อคกุญแจ รุ่นใหญ่ สีอบขาว TOP X TRA</v>
          </cell>
          <cell r="F278">
            <v>145</v>
          </cell>
          <cell r="G278">
            <v>154.2056</v>
          </cell>
        </row>
        <row r="279">
          <cell r="A279" t="str">
            <v>E003040204D2309800</v>
          </cell>
          <cell r="B279" t="str">
            <v>NAN0011-0285030</v>
          </cell>
          <cell r="C279" t="str">
            <v>E003</v>
          </cell>
          <cell r="D279" t="str">
            <v>04</v>
          </cell>
          <cell r="E279" t="str">
            <v>มือจับเรียบมีรู รุ่นใหญ่ สีอบขาว TOP X TRA</v>
          </cell>
          <cell r="F279">
            <v>220</v>
          </cell>
          <cell r="G279">
            <v>28.97</v>
          </cell>
        </row>
        <row r="280">
          <cell r="A280" t="str">
            <v>E003040204D2409800</v>
          </cell>
          <cell r="B280" t="str">
            <v>NAN0011-0285040</v>
          </cell>
          <cell r="C280" t="str">
            <v>E003</v>
          </cell>
          <cell r="D280" t="str">
            <v>04</v>
          </cell>
          <cell r="E280" t="str">
            <v>มือจับเรียบไม่มีรู รุ่นใหญ่ สีอบขาว TOP X TRA</v>
          </cell>
          <cell r="F280">
            <v>349</v>
          </cell>
          <cell r="G280">
            <v>28.97</v>
          </cell>
        </row>
        <row r="281">
          <cell r="A281" t="str">
            <v>E004020100B0800100</v>
          </cell>
          <cell r="B281" t="str">
            <v>NAN0000-0806180</v>
          </cell>
          <cell r="C281" t="str">
            <v>E004</v>
          </cell>
          <cell r="D281" t="str">
            <v>00</v>
          </cell>
          <cell r="E281" t="str">
            <v>โช้คอัพบานสวิง 1V No.800 HYDA (Model.85)</v>
          </cell>
          <cell r="F281">
            <v>0</v>
          </cell>
          <cell r="G281">
            <v>0</v>
          </cell>
        </row>
        <row r="282">
          <cell r="A282" t="str">
            <v>E004020100B1000100</v>
          </cell>
          <cell r="B282" t="str">
            <v>NAN0000-0806110</v>
          </cell>
          <cell r="C282" t="str">
            <v>E004</v>
          </cell>
          <cell r="D282" t="str">
            <v>00</v>
          </cell>
          <cell r="E282" t="str">
            <v>โช้คอัพบานสวิง 1V No.1000 HYDA (Model.85)</v>
          </cell>
          <cell r="F282">
            <v>0</v>
          </cell>
          <cell r="G282">
            <v>0</v>
          </cell>
        </row>
        <row r="283">
          <cell r="A283" t="str">
            <v>E004020300B1000200</v>
          </cell>
          <cell r="B283" t="str">
            <v>NAN0000-0806210</v>
          </cell>
          <cell r="C283" t="str">
            <v>E004</v>
          </cell>
          <cell r="D283" t="str">
            <v>00</v>
          </cell>
          <cell r="E283" t="str">
            <v>โช้คอัพบานสวิง 2V No.1000 HYDA (Model.85)</v>
          </cell>
          <cell r="F283">
            <v>83</v>
          </cell>
          <cell r="G283">
            <v>744</v>
          </cell>
        </row>
        <row r="284">
          <cell r="A284" t="str">
            <v>E00403000000000000</v>
          </cell>
          <cell r="B284" t="str">
            <v/>
          </cell>
          <cell r="C284" t="str">
            <v>E004</v>
          </cell>
          <cell r="D284" t="str">
            <v>00</v>
          </cell>
          <cell r="E284" t="str">
            <v>ลูกล้อ ยี่ห้อ HYDA (กลุ่ม)</v>
          </cell>
          <cell r="F284">
            <v>0</v>
          </cell>
          <cell r="G284">
            <v>0</v>
          </cell>
        </row>
        <row r="285">
          <cell r="A285" t="str">
            <v>E004030200C0090400</v>
          </cell>
          <cell r="B285" t="str">
            <v>NAN0000-0741000</v>
          </cell>
          <cell r="C285" t="str">
            <v>E004</v>
          </cell>
          <cell r="D285" t="str">
            <v>00</v>
          </cell>
          <cell r="E285" t="str">
            <v>ลูกล้อบานเลื่อนคู่ HYDA #HD-904 (รับนน. 50 kg)</v>
          </cell>
          <cell r="F285">
            <v>0</v>
          </cell>
          <cell r="G285">
            <v>0</v>
          </cell>
        </row>
        <row r="286">
          <cell r="A286" t="str">
            <v>E004030200C0923100</v>
          </cell>
          <cell r="B286" t="str">
            <v>NAN1700-0702100</v>
          </cell>
          <cell r="C286" t="str">
            <v>E004</v>
          </cell>
          <cell r="D286" t="str">
            <v>00</v>
          </cell>
          <cell r="E286" t="str">
            <v>ล้อตลับบานเลื่อนเดี่ยว HD-923-1 (รับนน. 50 kg)</v>
          </cell>
          <cell r="F286">
            <v>0</v>
          </cell>
          <cell r="G286">
            <v>0</v>
          </cell>
        </row>
        <row r="287">
          <cell r="A287" t="str">
            <v>E004030200C0923200</v>
          </cell>
          <cell r="B287" t="str">
            <v>NAN1700-0702200</v>
          </cell>
          <cell r="C287" t="str">
            <v>E004</v>
          </cell>
          <cell r="D287" t="str">
            <v>00</v>
          </cell>
          <cell r="E287" t="str">
            <v>ล้อตลับบานเลื่อนคู่ HD-923-2 (รับนน. 100 kg)</v>
          </cell>
          <cell r="F287">
            <v>0</v>
          </cell>
          <cell r="G287">
            <v>0</v>
          </cell>
        </row>
        <row r="288">
          <cell r="A288" t="str">
            <v>E004030200C0924100</v>
          </cell>
          <cell r="B288" t="str">
            <v>NAN1700-0701100</v>
          </cell>
          <cell r="C288" t="str">
            <v>E004</v>
          </cell>
          <cell r="D288" t="str">
            <v>00</v>
          </cell>
          <cell r="E288" t="str">
            <v>ล้อตลับบานเลื่อนเดี่ยว HD-924-1 (รับนน. 50 kg)</v>
          </cell>
          <cell r="F288">
            <v>427</v>
          </cell>
          <cell r="G288">
            <v>38.25</v>
          </cell>
        </row>
        <row r="289">
          <cell r="A289" t="str">
            <v>E004030200C0924200</v>
          </cell>
          <cell r="B289" t="str">
            <v>NAN1700-0701200</v>
          </cell>
          <cell r="C289" t="str">
            <v>E004</v>
          </cell>
          <cell r="D289" t="str">
            <v>00</v>
          </cell>
          <cell r="E289" t="str">
            <v>ล้อตลับบานเลื่อนคู่ HD-924-2 (รับนน. 100 kg)</v>
          </cell>
          <cell r="F289">
            <v>322</v>
          </cell>
          <cell r="G289">
            <v>47.36</v>
          </cell>
        </row>
        <row r="290">
          <cell r="A290" t="str">
            <v>E004030200C0924400</v>
          </cell>
          <cell r="B290" t="str">
            <v>NAN1700-0701300</v>
          </cell>
          <cell r="C290" t="str">
            <v>E004</v>
          </cell>
          <cell r="D290" t="str">
            <v>00</v>
          </cell>
          <cell r="E290" t="str">
            <v>ล้อตลับบานเลื่อน 4 ล้อ HD-924-4 (รับนน. 200 kg)</v>
          </cell>
          <cell r="F290">
            <v>0</v>
          </cell>
          <cell r="G290">
            <v>100.8</v>
          </cell>
        </row>
        <row r="291">
          <cell r="A291" t="str">
            <v>E004030210C0090000</v>
          </cell>
          <cell r="B291" t="str">
            <v>NAN0000-0740444</v>
          </cell>
          <cell r="C291" t="str">
            <v>E004</v>
          </cell>
          <cell r="D291">
            <v>10</v>
          </cell>
          <cell r="E291" t="str">
            <v>ลูกล้อบานเลื่อนเดี่ยว (เขียว) HYDA #HD-900 (รับนน. 15 kg)</v>
          </cell>
          <cell r="F291">
            <v>0</v>
          </cell>
          <cell r="G291">
            <v>0</v>
          </cell>
        </row>
        <row r="292">
          <cell r="A292" t="str">
            <v>E004030800C0091200</v>
          </cell>
          <cell r="B292" t="str">
            <v>NAN0000-0742912</v>
          </cell>
          <cell r="C292" t="str">
            <v>E004</v>
          </cell>
          <cell r="D292" t="str">
            <v>00</v>
          </cell>
          <cell r="E292" t="str">
            <v>ล้อรางแขวนใหญ่ 4 ล้อ HD-912 (รับนน. 120 kg)</v>
          </cell>
          <cell r="F292">
            <v>280</v>
          </cell>
          <cell r="G292">
            <v>44.16</v>
          </cell>
        </row>
        <row r="293">
          <cell r="A293" t="str">
            <v>E00404000000000000</v>
          </cell>
          <cell r="B293" t="str">
            <v>NAN0000</v>
          </cell>
          <cell r="C293" t="str">
            <v>E004</v>
          </cell>
          <cell r="D293" t="str">
            <v>00</v>
          </cell>
          <cell r="E293" t="str">
            <v>มือจับ ยี่ห้อ HYDA (กลุ่ม)</v>
          </cell>
          <cell r="F293">
            <v>0</v>
          </cell>
          <cell r="G293">
            <v>0</v>
          </cell>
        </row>
        <row r="294">
          <cell r="A294" t="str">
            <v>E004040101D0045100</v>
          </cell>
          <cell r="B294" t="str">
            <v>NAN1800-0203100</v>
          </cell>
          <cell r="C294" t="str">
            <v>E004</v>
          </cell>
          <cell r="D294" t="str">
            <v>01</v>
          </cell>
          <cell r="E294" t="str">
            <v>EURO มือจับบานเปิดมัลติล็อค สีขาวอลู HD-451A</v>
          </cell>
          <cell r="F294">
            <v>0</v>
          </cell>
          <cell r="G294">
            <v>56</v>
          </cell>
        </row>
        <row r="295">
          <cell r="A295" t="str">
            <v>E004040103D0045000</v>
          </cell>
          <cell r="B295" t="str">
            <v/>
          </cell>
          <cell r="C295" t="str">
            <v>E004</v>
          </cell>
          <cell r="D295" t="str">
            <v>03</v>
          </cell>
          <cell r="E295" t="str">
            <v>EURO มือจับหลบมุ้ง HD-450A สีดำ (แกนฟ็อก)</v>
          </cell>
          <cell r="F295">
            <v>7</v>
          </cell>
          <cell r="G295">
            <v>92.8</v>
          </cell>
        </row>
        <row r="296">
          <cell r="A296" t="str">
            <v>E004040103D0048100</v>
          </cell>
          <cell r="B296" t="str">
            <v>NAN1614-0201000</v>
          </cell>
          <cell r="C296" t="str">
            <v>E004</v>
          </cell>
          <cell r="D296" t="str">
            <v>03</v>
          </cell>
          <cell r="E296" t="str">
            <v>BI-FOLD มือจับก้านโยกกุญแจ สีดำ HD-481A (MZS11)</v>
          </cell>
          <cell r="F296">
            <v>1</v>
          </cell>
          <cell r="G296">
            <v>160</v>
          </cell>
        </row>
        <row r="297">
          <cell r="A297" t="str">
            <v>E004040103D0054100</v>
          </cell>
          <cell r="B297" t="str">
            <v>NAN1814-0203000</v>
          </cell>
          <cell r="C297" t="str">
            <v>E004</v>
          </cell>
          <cell r="D297" t="str">
            <v>03</v>
          </cell>
          <cell r="E297" t="str">
            <v>EURO มือจับบานเปิดมัลติล็อค สีดำ HD-451A</v>
          </cell>
          <cell r="F297">
            <v>0</v>
          </cell>
          <cell r="G297">
            <v>0</v>
          </cell>
        </row>
        <row r="298">
          <cell r="A298" t="str">
            <v>E004040104D0045000</v>
          </cell>
          <cell r="B298" t="str">
            <v/>
          </cell>
          <cell r="C298" t="str">
            <v>E004</v>
          </cell>
          <cell r="D298" t="str">
            <v>04</v>
          </cell>
          <cell r="E298" t="str">
            <v>EURO มือจับหลบมุ้ง HD-450A สีอบขาว (แกนฟ็อก)</v>
          </cell>
          <cell r="F298">
            <v>0</v>
          </cell>
          <cell r="G298">
            <v>0</v>
          </cell>
        </row>
        <row r="299">
          <cell r="A299" t="str">
            <v>E004040104D0048100</v>
          </cell>
          <cell r="B299" t="str">
            <v>NAN1611-0201000</v>
          </cell>
          <cell r="C299" t="str">
            <v>E004</v>
          </cell>
          <cell r="D299" t="str">
            <v>04</v>
          </cell>
          <cell r="E299" t="str">
            <v>BI-FOLD มือจับก้านโยกกุญแจ สีอบขาว HD-481A (MZS11)</v>
          </cell>
          <cell r="F299">
            <v>0</v>
          </cell>
          <cell r="G299">
            <v>0</v>
          </cell>
        </row>
        <row r="300">
          <cell r="A300" t="str">
            <v>E004040104D0054100</v>
          </cell>
          <cell r="B300" t="str">
            <v>NAN1811-0203000</v>
          </cell>
          <cell r="C300" t="str">
            <v>E004</v>
          </cell>
          <cell r="D300" t="str">
            <v>04</v>
          </cell>
          <cell r="E300" t="str">
            <v>EURO มือจับบานเปิดมัลติล็อค สีอบขาว HD-451A</v>
          </cell>
          <cell r="F300">
            <v>0</v>
          </cell>
          <cell r="G300">
            <v>0</v>
          </cell>
        </row>
        <row r="301">
          <cell r="A301" t="str">
            <v>E004040203D7640713</v>
          </cell>
          <cell r="B301" t="str">
            <v>NAN1814-0204010</v>
          </cell>
          <cell r="C301" t="str">
            <v>E004</v>
          </cell>
          <cell r="D301" t="str">
            <v>03</v>
          </cell>
          <cell r="E301" t="str">
            <v>EURO มือจับบานเลื่อนมัลติล็อคหัวตัด (ดัมมี่+ดัมมี่) สีดำ HD-407A</v>
          </cell>
          <cell r="F301">
            <v>0</v>
          </cell>
          <cell r="G301">
            <v>0</v>
          </cell>
        </row>
        <row r="302">
          <cell r="A302" t="str">
            <v>E004040203D7640723</v>
          </cell>
          <cell r="B302" t="str">
            <v>NAN1814-0204020</v>
          </cell>
          <cell r="C302" t="str">
            <v>E004</v>
          </cell>
          <cell r="D302" t="str">
            <v>03</v>
          </cell>
          <cell r="E302" t="str">
            <v>EURO มือจับบานเลื่อนมัลติล็อคหัวตัด (ดัมมี่+ล็อค) สีดำ  HD-407B</v>
          </cell>
          <cell r="F302">
            <v>0</v>
          </cell>
          <cell r="G302">
            <v>0</v>
          </cell>
        </row>
        <row r="303">
          <cell r="A303" t="str">
            <v>E004040203D7640733</v>
          </cell>
          <cell r="B303" t="str">
            <v>NAN1814-0204030</v>
          </cell>
          <cell r="C303" t="str">
            <v>E004</v>
          </cell>
          <cell r="D303" t="str">
            <v>03</v>
          </cell>
          <cell r="E303" t="str">
            <v>EURO มือจับบานเลื่อนมัลติล็อคหัวตัด (ล็อค+กุญแจ) สีดำ HD-407C</v>
          </cell>
          <cell r="F303">
            <v>0</v>
          </cell>
          <cell r="G303">
            <v>0</v>
          </cell>
        </row>
        <row r="304">
          <cell r="A304" t="str">
            <v>E004040204D7640713</v>
          </cell>
          <cell r="B304" t="str">
            <v>NAN1811-0204010</v>
          </cell>
          <cell r="C304" t="str">
            <v>E004</v>
          </cell>
          <cell r="D304" t="str">
            <v>04</v>
          </cell>
          <cell r="E304" t="str">
            <v>EURO มือจับบานเลื่อนมัลติล็อคหัวตัด (ดัมมี่+ดัมมี่) สีอบขาว HD-407A</v>
          </cell>
          <cell r="F304">
            <v>0</v>
          </cell>
          <cell r="G304">
            <v>0</v>
          </cell>
        </row>
        <row r="305">
          <cell r="A305" t="str">
            <v>E004040204D7640723</v>
          </cell>
          <cell r="B305" t="str">
            <v>NAN1811-0204020</v>
          </cell>
          <cell r="C305" t="str">
            <v>E004</v>
          </cell>
          <cell r="D305" t="str">
            <v>04</v>
          </cell>
          <cell r="E305" t="str">
            <v>EURO มือจับบานเลื่อนมัลติล็อคหัวตัด (ดัมมี่+ล็อค) สีอบขาว HD-407B</v>
          </cell>
          <cell r="F305">
            <v>0</v>
          </cell>
          <cell r="G305">
            <v>0</v>
          </cell>
        </row>
        <row r="306">
          <cell r="A306" t="str">
            <v>E004040204D7640733</v>
          </cell>
          <cell r="B306" t="str">
            <v>NAN1811-0204030</v>
          </cell>
          <cell r="C306" t="str">
            <v>E004</v>
          </cell>
          <cell r="D306" t="str">
            <v>04</v>
          </cell>
          <cell r="E306" t="str">
            <v>EURO มือจับบานเลื่อนมัลติล็อคหัวตัด (ล็อค+กุญแจ) สีอบขาว  HD-407C</v>
          </cell>
          <cell r="F306">
            <v>0</v>
          </cell>
          <cell r="G306">
            <v>0</v>
          </cell>
        </row>
        <row r="307">
          <cell r="A307" t="str">
            <v>E004040404D0047400</v>
          </cell>
          <cell r="B307" t="str">
            <v>NAN1600-0204000</v>
          </cell>
          <cell r="C307" t="str">
            <v>E004</v>
          </cell>
          <cell r="D307" t="str">
            <v>04</v>
          </cell>
          <cell r="E307" t="str">
            <v>BI-FOLD มือจับ Multi Lock สีอบขาว HD-474 (T28A)</v>
          </cell>
          <cell r="F307">
            <v>9</v>
          </cell>
          <cell r="G307">
            <v>70.400000000000006</v>
          </cell>
        </row>
        <row r="308">
          <cell r="A308" t="str">
            <v>E004040603D0047401</v>
          </cell>
          <cell r="B308" t="str">
            <v>NAN1604-0204001</v>
          </cell>
          <cell r="C308" t="str">
            <v>E004</v>
          </cell>
          <cell r="D308" t="str">
            <v>03</v>
          </cell>
          <cell r="E308" t="str">
            <v>BI-FOLD มือจับ Multi Lock HD-474 สีดำ (T28A)</v>
          </cell>
          <cell r="F308">
            <v>0</v>
          </cell>
          <cell r="G308">
            <v>0</v>
          </cell>
        </row>
        <row r="309">
          <cell r="A309" t="str">
            <v>E004040803D8000000</v>
          </cell>
          <cell r="B309" t="str">
            <v>NAN0004-0208000</v>
          </cell>
          <cell r="C309" t="str">
            <v>E004</v>
          </cell>
          <cell r="D309" t="str">
            <v>03</v>
          </cell>
          <cell r="E309" t="str">
            <v>มือจับรางแขวน สีดำ (คู่) HYDA</v>
          </cell>
          <cell r="F309">
            <v>190</v>
          </cell>
          <cell r="G309">
            <v>80</v>
          </cell>
        </row>
        <row r="310">
          <cell r="A310" t="str">
            <v>E004040804D8000000</v>
          </cell>
          <cell r="B310" t="str">
            <v>NAN0011-0208000</v>
          </cell>
          <cell r="C310" t="str">
            <v>E004</v>
          </cell>
          <cell r="D310" t="str">
            <v>04</v>
          </cell>
          <cell r="E310" t="str">
            <v>มือจับรางแขวน สีอบขาว (คู่) HYDA</v>
          </cell>
          <cell r="F310">
            <v>182</v>
          </cell>
          <cell r="G310">
            <v>80</v>
          </cell>
        </row>
        <row r="311">
          <cell r="A311" t="str">
            <v>E00405000000000000</v>
          </cell>
          <cell r="B311" t="str">
            <v>NAN0000</v>
          </cell>
          <cell r="C311" t="str">
            <v>E004</v>
          </cell>
          <cell r="D311" t="str">
            <v>00</v>
          </cell>
          <cell r="E311" t="str">
            <v>กุญแจ-กลอน ยี่ห้อ HYDA (กลุ่ม)</v>
          </cell>
          <cell r="F311">
            <v>2</v>
          </cell>
          <cell r="G311">
            <v>0</v>
          </cell>
        </row>
        <row r="312">
          <cell r="A312" t="str">
            <v>E004050100E0085000</v>
          </cell>
          <cell r="B312" t="str">
            <v>NAN0000-0208101</v>
          </cell>
          <cell r="C312" t="str">
            <v>E004</v>
          </cell>
          <cell r="D312" t="str">
            <v>00</v>
          </cell>
          <cell r="E312" t="str">
            <v>EURO เสื้อกุญแจบานเปิด Single lock HD-850/L35</v>
          </cell>
          <cell r="F312">
            <v>0</v>
          </cell>
          <cell r="G312">
            <v>0</v>
          </cell>
        </row>
        <row r="313">
          <cell r="A313" t="str">
            <v>E004050100E0085100</v>
          </cell>
          <cell r="B313" t="str">
            <v>NAN0000-0208100</v>
          </cell>
          <cell r="C313" t="str">
            <v>E004</v>
          </cell>
          <cell r="D313" t="str">
            <v>00</v>
          </cell>
          <cell r="E313" t="str">
            <v>EURO เสื้อกุญแจบานเปิด Mulitilock HD-851/L35</v>
          </cell>
          <cell r="F313">
            <v>0</v>
          </cell>
          <cell r="G313">
            <v>0</v>
          </cell>
        </row>
        <row r="314">
          <cell r="A314" t="str">
            <v>E004050100E0111500</v>
          </cell>
          <cell r="B314" t="str">
            <v>NAN1800-0302000</v>
          </cell>
          <cell r="C314" t="str">
            <v>E004</v>
          </cell>
          <cell r="D314" t="str">
            <v>00</v>
          </cell>
          <cell r="E314" t="str">
            <v>EURO แป้นรับล็อคบานเปิด HD-1115</v>
          </cell>
          <cell r="F314">
            <v>9</v>
          </cell>
          <cell r="G314">
            <v>42.24</v>
          </cell>
        </row>
        <row r="315">
          <cell r="A315" t="str">
            <v>E004050100E0111600</v>
          </cell>
          <cell r="B315" t="str">
            <v>NAN1800-0302100</v>
          </cell>
          <cell r="C315" t="str">
            <v>E004</v>
          </cell>
          <cell r="D315" t="str">
            <v>00</v>
          </cell>
          <cell r="E315" t="str">
            <v>BI-FOLD ฝารับล็อคกุญแจประตูบานเปิด HD-1116 (DMS20A)</v>
          </cell>
          <cell r="F315">
            <v>0</v>
          </cell>
          <cell r="G315">
            <v>0</v>
          </cell>
        </row>
        <row r="316">
          <cell r="A316" t="str">
            <v>E004050203E0031200</v>
          </cell>
          <cell r="B316" t="str">
            <v>NAN0004-0300581</v>
          </cell>
          <cell r="C316" t="str">
            <v>E004</v>
          </cell>
          <cell r="D316" t="str">
            <v>03</v>
          </cell>
          <cell r="E316" t="str">
            <v>กุญแจชินโย ล็อคข้าง 2 หน้า สีดำ #HD-312DSL</v>
          </cell>
          <cell r="F316">
            <v>45</v>
          </cell>
          <cell r="G316">
            <v>384.4</v>
          </cell>
        </row>
        <row r="317">
          <cell r="A317" t="str">
            <v>E004050203E0031300</v>
          </cell>
          <cell r="B317" t="str">
            <v>NAN0004-0300580</v>
          </cell>
          <cell r="C317" t="str">
            <v>E004</v>
          </cell>
          <cell r="D317" t="str">
            <v>03</v>
          </cell>
          <cell r="E317" t="str">
            <v>กุญแจชินโย ล็อคกลาง 2 หน้า สีดำ #HD-313DCL</v>
          </cell>
          <cell r="F317">
            <v>45</v>
          </cell>
          <cell r="G317">
            <v>384.4</v>
          </cell>
        </row>
        <row r="318">
          <cell r="A318" t="str">
            <v>E004050204E0031200</v>
          </cell>
          <cell r="B318" t="str">
            <v>NAN0011-0300581</v>
          </cell>
          <cell r="C318" t="str">
            <v>E004</v>
          </cell>
          <cell r="D318" t="str">
            <v>04</v>
          </cell>
          <cell r="E318" t="str">
            <v>กุญแจชินโย ล็อคข้าง 2 หน้า สีอบขาว #HD-312DSL</v>
          </cell>
          <cell r="F318">
            <v>0</v>
          </cell>
          <cell r="G318">
            <v>384.4</v>
          </cell>
        </row>
        <row r="319">
          <cell r="A319" t="str">
            <v>E004050204E0031300</v>
          </cell>
          <cell r="B319" t="str">
            <v>NAN0011-0300580</v>
          </cell>
          <cell r="C319" t="str">
            <v>E004</v>
          </cell>
          <cell r="D319" t="str">
            <v>04</v>
          </cell>
          <cell r="E319" t="str">
            <v>กุญแจชินโย ล็อคกลาง 2 หน้า สีอบขาว #HD-313DCL</v>
          </cell>
          <cell r="F319">
            <v>29</v>
          </cell>
          <cell r="G319">
            <v>384.4</v>
          </cell>
        </row>
        <row r="320">
          <cell r="A320" t="str">
            <v>E004050600E0030500</v>
          </cell>
          <cell r="B320" t="str">
            <v>NAN1600-0301000</v>
          </cell>
          <cell r="C320" t="str">
            <v>E004</v>
          </cell>
          <cell r="D320" t="str">
            <v>00</v>
          </cell>
          <cell r="E320" t="str">
            <v>BI-FOLD กลอนบานเฟี้ยม สีดำ ยาว 50 ซม. HD-305 (SCX500)</v>
          </cell>
          <cell r="F320">
            <v>2</v>
          </cell>
          <cell r="G320">
            <v>57.6</v>
          </cell>
        </row>
        <row r="321">
          <cell r="A321" t="str">
            <v>E004050600E0031200</v>
          </cell>
          <cell r="B321" t="str">
            <v>NAN1600-0303000</v>
          </cell>
          <cell r="C321" t="str">
            <v>E004</v>
          </cell>
          <cell r="D321" t="str">
            <v>00</v>
          </cell>
          <cell r="E321" t="str">
            <v>BI-FOLD ตลับกลอนก้านโยกมัลติล็อค HD-832 (CDQ20)</v>
          </cell>
          <cell r="F321">
            <v>7</v>
          </cell>
          <cell r="G321">
            <v>67.2</v>
          </cell>
        </row>
        <row r="322">
          <cell r="A322" t="str">
            <v>E004050600E0032000</v>
          </cell>
          <cell r="B322" t="str">
            <v/>
          </cell>
          <cell r="C322" t="str">
            <v>E004</v>
          </cell>
          <cell r="D322" t="str">
            <v>00</v>
          </cell>
          <cell r="E322" t="str">
            <v>BI-FOLD ปลายกลอนบานเฟี้ยม HD-320</v>
          </cell>
          <cell r="F322">
            <v>3</v>
          </cell>
          <cell r="G322">
            <v>20.48</v>
          </cell>
        </row>
        <row r="323">
          <cell r="A323" t="str">
            <v>E004050600E0080100</v>
          </cell>
          <cell r="B323" t="str">
            <v>NAN1600-0305000</v>
          </cell>
          <cell r="C323" t="str">
            <v>E004</v>
          </cell>
          <cell r="D323" t="str">
            <v>00</v>
          </cell>
          <cell r="E323" t="str">
            <v>BI-FOLD ไส้กุญแจบานเฟี้ยม HD-801/L75 (KIL3636/T)</v>
          </cell>
          <cell r="F323">
            <v>0</v>
          </cell>
          <cell r="G323">
            <v>0</v>
          </cell>
        </row>
        <row r="324">
          <cell r="A324" t="str">
            <v>E004050600E0085000</v>
          </cell>
          <cell r="B324" t="str">
            <v>NAN1600-0302000</v>
          </cell>
          <cell r="C324" t="str">
            <v>E004</v>
          </cell>
          <cell r="D324" t="str">
            <v>00</v>
          </cell>
          <cell r="E324" t="str">
            <v>BI-FOLD เสื้อกุญแจบานเฟี้ยม Single lock HD-850/L30 (MSB28/ll)</v>
          </cell>
          <cell r="F324">
            <v>0</v>
          </cell>
          <cell r="G324">
            <v>0</v>
          </cell>
        </row>
        <row r="325">
          <cell r="A325" t="str">
            <v>E004050600E0085100</v>
          </cell>
          <cell r="B325" t="str">
            <v>NAN1600-0302001</v>
          </cell>
          <cell r="C325" t="str">
            <v>E004</v>
          </cell>
          <cell r="D325" t="str">
            <v>00</v>
          </cell>
          <cell r="E325" t="str">
            <v>BI-FOLD เสื้อกุญแจบานเฟี้ยม Multilock HD-851/L30</v>
          </cell>
          <cell r="F325">
            <v>1</v>
          </cell>
          <cell r="G325">
            <v>272</v>
          </cell>
        </row>
        <row r="326">
          <cell r="A326" t="str">
            <v>E004050600E0118000</v>
          </cell>
          <cell r="B326" t="str">
            <v>NAN1600-0304000</v>
          </cell>
          <cell r="C326" t="str">
            <v>E004</v>
          </cell>
          <cell r="D326" t="str">
            <v>00</v>
          </cell>
          <cell r="E326" t="str">
            <v>BI-FOLD ก้านกลอน Multi Lock ขนาด 1.5 m HD-1180 (FXZ6)</v>
          </cell>
          <cell r="F326">
            <v>0</v>
          </cell>
          <cell r="G326">
            <v>0</v>
          </cell>
        </row>
        <row r="327">
          <cell r="A327" t="str">
            <v>E004050603E0030501</v>
          </cell>
          <cell r="B327" t="str">
            <v/>
          </cell>
          <cell r="C327" t="str">
            <v>E004</v>
          </cell>
          <cell r="D327" t="str">
            <v>03</v>
          </cell>
          <cell r="E327" t="str">
            <v>BI-FOLD กลอนบานเฟี้ยม สีดำ ยาว 25 ซม. HD-305 (SCX500)</v>
          </cell>
          <cell r="F327">
            <v>0</v>
          </cell>
          <cell r="G327">
            <v>0</v>
          </cell>
        </row>
        <row r="328">
          <cell r="A328" t="str">
            <v>E004050603E0030503</v>
          </cell>
          <cell r="B328" t="str">
            <v/>
          </cell>
          <cell r="C328" t="str">
            <v>E004</v>
          </cell>
          <cell r="D328" t="str">
            <v>03</v>
          </cell>
          <cell r="E328" t="str">
            <v>BI-FOLD กลอนบานเฟี้ยม สีดำ ยาว 75 ซม. HD-305 (SCX500)</v>
          </cell>
          <cell r="F328">
            <v>0</v>
          </cell>
          <cell r="G328">
            <v>0</v>
          </cell>
        </row>
        <row r="329">
          <cell r="A329" t="str">
            <v>E004050603E0030504</v>
          </cell>
          <cell r="B329" t="str">
            <v/>
          </cell>
          <cell r="C329" t="str">
            <v>E004</v>
          </cell>
          <cell r="D329" t="str">
            <v>03</v>
          </cell>
          <cell r="E329" t="str">
            <v>BI-FOLD กลอนบานเฟี้ยม สีดำ ยาว 100 ซม. HD-305 (SCX500)</v>
          </cell>
          <cell r="F329">
            <v>0</v>
          </cell>
          <cell r="G329">
            <v>0</v>
          </cell>
        </row>
        <row r="330">
          <cell r="A330" t="str">
            <v>E004050603E0030505</v>
          </cell>
          <cell r="B330" t="str">
            <v/>
          </cell>
          <cell r="C330" t="str">
            <v>E004</v>
          </cell>
          <cell r="D330" t="str">
            <v>03</v>
          </cell>
          <cell r="E330" t="str">
            <v>BI-FOLD กลอนบานเฟี้ยม สีดำ ยาว 125 ซม. HD-305 (SCX500)</v>
          </cell>
          <cell r="F330">
            <v>0</v>
          </cell>
          <cell r="G330">
            <v>0</v>
          </cell>
        </row>
        <row r="331">
          <cell r="A331" t="str">
            <v>E004050700E0080100</v>
          </cell>
          <cell r="B331" t="str">
            <v>NAN1800-0303000</v>
          </cell>
          <cell r="C331" t="str">
            <v>E004</v>
          </cell>
          <cell r="D331" t="str">
            <v>00</v>
          </cell>
          <cell r="E331" t="str">
            <v>EURO ไส้กุญแจบานเปิด 1 หน้า HD-801/L62</v>
          </cell>
          <cell r="F331">
            <v>0</v>
          </cell>
          <cell r="G331">
            <v>0</v>
          </cell>
        </row>
        <row r="332">
          <cell r="A332" t="str">
            <v>E00408000000000000</v>
          </cell>
          <cell r="B332" t="str">
            <v>NAN0000</v>
          </cell>
          <cell r="C332" t="str">
            <v>E004</v>
          </cell>
          <cell r="D332" t="str">
            <v>00</v>
          </cell>
          <cell r="E332" t="str">
            <v>บานพับ ยี่ห้อ HYDA (กลุ่ม)</v>
          </cell>
          <cell r="F332">
            <v>0</v>
          </cell>
          <cell r="G332">
            <v>0</v>
          </cell>
        </row>
        <row r="333">
          <cell r="A333" t="str">
            <v>E004080100H0061000</v>
          </cell>
          <cell r="B333" t="str">
            <v>NAN1800-0603080</v>
          </cell>
          <cell r="C333" t="str">
            <v>E004</v>
          </cell>
          <cell r="D333" t="str">
            <v>00</v>
          </cell>
          <cell r="E333" t="str">
            <v>แขนค้ำบานเปิด ขนาด 8" HD-610A</v>
          </cell>
          <cell r="F333">
            <v>0</v>
          </cell>
          <cell r="G333">
            <v>0</v>
          </cell>
        </row>
        <row r="334">
          <cell r="A334" t="str">
            <v>E004080100H0062500</v>
          </cell>
          <cell r="B334" t="str">
            <v>NAN1800-0602000</v>
          </cell>
          <cell r="C334" t="str">
            <v>E004</v>
          </cell>
          <cell r="D334" t="str">
            <v>00</v>
          </cell>
          <cell r="E334" t="str">
            <v>EURO บานพับกระทุ้งยูโร 6นิ้ว HD-625</v>
          </cell>
          <cell r="F334">
            <v>0</v>
          </cell>
          <cell r="G334">
            <v>0</v>
          </cell>
        </row>
        <row r="335">
          <cell r="A335" t="str">
            <v>E004080100H1061000</v>
          </cell>
          <cell r="B335" t="str">
            <v/>
          </cell>
          <cell r="C335" t="str">
            <v>E004</v>
          </cell>
          <cell r="D335" t="str">
            <v>00</v>
          </cell>
          <cell r="E335" t="str">
            <v>แขนค้ำบานเปิด ขนาด 10" HD-610B</v>
          </cell>
          <cell r="F335">
            <v>0</v>
          </cell>
          <cell r="G335">
            <v>0</v>
          </cell>
        </row>
        <row r="336">
          <cell r="A336" t="str">
            <v>E004080100H1261000</v>
          </cell>
          <cell r="B336" t="str">
            <v/>
          </cell>
          <cell r="C336" t="str">
            <v>E004</v>
          </cell>
          <cell r="D336" t="str">
            <v>00</v>
          </cell>
          <cell r="E336" t="str">
            <v>แขนค้ำบานเปิด ขนาด 12" HD-610C</v>
          </cell>
          <cell r="F336">
            <v>23</v>
          </cell>
          <cell r="G336">
            <v>32.96</v>
          </cell>
        </row>
        <row r="337">
          <cell r="A337" t="str">
            <v>E004080100H6151000</v>
          </cell>
          <cell r="B337" t="str">
            <v>NAN1800-0603100</v>
          </cell>
          <cell r="C337" t="str">
            <v>E004</v>
          </cell>
          <cell r="D337" t="str">
            <v>00</v>
          </cell>
          <cell r="E337" t="str">
            <v>EURO แขนค้ำบานเปิด ขนาด 10" HD-615</v>
          </cell>
          <cell r="F337">
            <v>0</v>
          </cell>
          <cell r="G337">
            <v>0</v>
          </cell>
        </row>
        <row r="338">
          <cell r="A338" t="str">
            <v>E004080100H6151200</v>
          </cell>
          <cell r="B338" t="str">
            <v>NAN1800-0603120</v>
          </cell>
          <cell r="C338" t="str">
            <v>E004</v>
          </cell>
          <cell r="D338" t="str">
            <v>00</v>
          </cell>
          <cell r="E338" t="str">
            <v>EURO แขนค้ำบานเปิด ขนาด 12" HD-615</v>
          </cell>
          <cell r="F338">
            <v>12</v>
          </cell>
          <cell r="G338">
            <v>72.959999999999994</v>
          </cell>
        </row>
        <row r="339">
          <cell r="A339" t="str">
            <v>E004080100H6200800</v>
          </cell>
          <cell r="B339" t="str">
            <v>NAN0000-0603008</v>
          </cell>
          <cell r="C339" t="str">
            <v>E004</v>
          </cell>
          <cell r="D339" t="str">
            <v>00</v>
          </cell>
          <cell r="E339" t="str">
            <v>บานพับกระทุ้งสี่แขน 8 นิ้ว HYDA #HD-620</v>
          </cell>
          <cell r="F339">
            <v>463</v>
          </cell>
          <cell r="G339">
            <v>49.28</v>
          </cell>
        </row>
        <row r="340">
          <cell r="A340" t="str">
            <v>E004080100H6201000</v>
          </cell>
          <cell r="B340" t="str">
            <v>NAN0000-0603010</v>
          </cell>
          <cell r="C340" t="str">
            <v>E004</v>
          </cell>
          <cell r="D340" t="str">
            <v>00</v>
          </cell>
          <cell r="E340" t="str">
            <v>บานพับกระทุ้งสี่แขน 10 นิ้ว HYDA #HD-620</v>
          </cell>
          <cell r="F340">
            <v>541</v>
          </cell>
          <cell r="G340">
            <v>55.38</v>
          </cell>
        </row>
        <row r="341">
          <cell r="A341" t="str">
            <v>E004080100H6201200</v>
          </cell>
          <cell r="B341" t="str">
            <v>NAN0000-0603012</v>
          </cell>
          <cell r="C341" t="str">
            <v>E004</v>
          </cell>
          <cell r="D341" t="str">
            <v>00</v>
          </cell>
          <cell r="E341" t="str">
            <v>บานพับกระทุ้งสี่แขน 12 นิ้ว HYDA #HD-620</v>
          </cell>
          <cell r="F341">
            <v>115</v>
          </cell>
          <cell r="G341">
            <v>63.04</v>
          </cell>
        </row>
        <row r="342">
          <cell r="A342" t="str">
            <v>E004080100H6201400</v>
          </cell>
          <cell r="B342" t="str">
            <v>NAN0000-0603014</v>
          </cell>
          <cell r="C342" t="str">
            <v>E004</v>
          </cell>
          <cell r="D342" t="str">
            <v>00</v>
          </cell>
          <cell r="E342" t="str">
            <v>บานพับกระทุ้งสี่แขน 14 นิ้ว HYDA #HD-620</v>
          </cell>
          <cell r="F342">
            <v>371</v>
          </cell>
          <cell r="G342">
            <v>72.959999999999994</v>
          </cell>
        </row>
        <row r="343">
          <cell r="A343" t="str">
            <v>E004080100H6201600</v>
          </cell>
          <cell r="B343" t="str">
            <v>NAN0000-0603016</v>
          </cell>
          <cell r="C343" t="str">
            <v>E004</v>
          </cell>
          <cell r="D343" t="str">
            <v>00</v>
          </cell>
          <cell r="E343" t="str">
            <v>บานพับกระทุ้งสี่แขน 16 นิ้ว HYDA #HD-620</v>
          </cell>
          <cell r="F343">
            <v>344</v>
          </cell>
          <cell r="G343">
            <v>81.92</v>
          </cell>
        </row>
        <row r="344">
          <cell r="A344" t="str">
            <v>E004080100H6201800</v>
          </cell>
          <cell r="B344" t="str">
            <v>NAN0000-0603018</v>
          </cell>
          <cell r="C344" t="str">
            <v>E004</v>
          </cell>
          <cell r="D344" t="str">
            <v>00</v>
          </cell>
          <cell r="E344" t="str">
            <v>บานพับกระทุ้งสี่แขน 18 นิ้ว HYDA #HD-620</v>
          </cell>
          <cell r="F344">
            <v>92</v>
          </cell>
          <cell r="G344">
            <v>106.88</v>
          </cell>
        </row>
        <row r="345">
          <cell r="A345" t="str">
            <v>E004080100H6202000</v>
          </cell>
          <cell r="B345" t="str">
            <v>NAN0000-0603020</v>
          </cell>
          <cell r="C345" t="str">
            <v>E004</v>
          </cell>
          <cell r="D345" t="str">
            <v>00</v>
          </cell>
          <cell r="E345" t="str">
            <v>บานพับกระทุ้งสี่แขน 20 นิ้ว HYDA #HD-620</v>
          </cell>
          <cell r="F345">
            <v>0</v>
          </cell>
          <cell r="G345">
            <v>127.52</v>
          </cell>
        </row>
        <row r="346">
          <cell r="A346" t="str">
            <v>E004080100H6202400</v>
          </cell>
          <cell r="B346" t="str">
            <v/>
          </cell>
          <cell r="C346" t="str">
            <v>E004</v>
          </cell>
          <cell r="D346" t="str">
            <v>00</v>
          </cell>
          <cell r="E346" t="str">
            <v>บานพับกระทุ้งสี่แขน 24 นิ้ว HYDA #HD-620</v>
          </cell>
          <cell r="F346">
            <v>44</v>
          </cell>
          <cell r="G346">
            <v>193.28</v>
          </cell>
        </row>
        <row r="347">
          <cell r="A347" t="str">
            <v>E004080103H0065500</v>
          </cell>
          <cell r="B347" t="str">
            <v/>
          </cell>
          <cell r="C347" t="str">
            <v>E004</v>
          </cell>
          <cell r="D347" t="str">
            <v>03</v>
          </cell>
          <cell r="E347" t="str">
            <v>บานพับบานเปิดยูเรเซีย ORM สีดำ HD-655</v>
          </cell>
          <cell r="F347">
            <v>100</v>
          </cell>
          <cell r="G347">
            <v>70.400000000000006</v>
          </cell>
        </row>
        <row r="348">
          <cell r="A348" t="str">
            <v>E004080104H0065500</v>
          </cell>
          <cell r="B348" t="str">
            <v/>
          </cell>
          <cell r="C348" t="str">
            <v>E004</v>
          </cell>
          <cell r="D348" t="str">
            <v>04</v>
          </cell>
          <cell r="E348" t="str">
            <v>บานพับบานเปิดยูเรเซีย ORM สีอบขาว HD-655</v>
          </cell>
          <cell r="F348">
            <v>90</v>
          </cell>
          <cell r="G348">
            <v>70.400000000000006</v>
          </cell>
        </row>
        <row r="349">
          <cell r="A349" t="str">
            <v>E004080400H6261400</v>
          </cell>
          <cell r="B349" t="str">
            <v>NAN1800-0602140</v>
          </cell>
          <cell r="C349" t="str">
            <v>E004</v>
          </cell>
          <cell r="D349" t="str">
            <v>00</v>
          </cell>
          <cell r="E349" t="str">
            <v>EURO บานพับ 4 บาร์ 14 นิ้ว HD-626</v>
          </cell>
          <cell r="F349">
            <v>9</v>
          </cell>
          <cell r="G349">
            <v>167.68</v>
          </cell>
        </row>
        <row r="350">
          <cell r="A350" t="str">
            <v>E004080400H6261600</v>
          </cell>
          <cell r="B350" t="str">
            <v>NAN1800-0602160</v>
          </cell>
          <cell r="C350" t="str">
            <v>E004</v>
          </cell>
          <cell r="D350" t="str">
            <v>00</v>
          </cell>
          <cell r="E350" t="str">
            <v>EURO บานพับ 4 บาร์ 16 นิ้ว HD-626</v>
          </cell>
          <cell r="F350">
            <v>0</v>
          </cell>
          <cell r="G350">
            <v>193.92000000000002</v>
          </cell>
        </row>
        <row r="351">
          <cell r="A351" t="str">
            <v>E004080603H0064001</v>
          </cell>
          <cell r="B351" t="str">
            <v>NAN1614-0602000</v>
          </cell>
          <cell r="C351" t="str">
            <v>E004</v>
          </cell>
          <cell r="D351" t="str">
            <v>03</v>
          </cell>
          <cell r="E351" t="str">
            <v>BI-FOLD บานพับล้อบนบานเฟี้ยม สีดำ HD-640B (FXZ1B)</v>
          </cell>
          <cell r="F351">
            <v>9</v>
          </cell>
          <cell r="G351">
            <v>289.27999999999997</v>
          </cell>
        </row>
        <row r="352">
          <cell r="A352" t="str">
            <v>E004080603H0064101</v>
          </cell>
          <cell r="B352" t="str">
            <v>NAN1614-0601000</v>
          </cell>
          <cell r="C352" t="str">
            <v>E004</v>
          </cell>
          <cell r="D352" t="str">
            <v>03</v>
          </cell>
          <cell r="E352" t="str">
            <v>BI-FOLD บานพับบานเฟี้ยม สีดำ HD-641 (FXZ11)</v>
          </cell>
          <cell r="F352">
            <v>69</v>
          </cell>
          <cell r="G352">
            <v>63.36</v>
          </cell>
        </row>
        <row r="353">
          <cell r="A353" t="str">
            <v>E004080603H0064201</v>
          </cell>
          <cell r="B353" t="str">
            <v>NAN1614-0604000</v>
          </cell>
          <cell r="C353" t="str">
            <v>E004</v>
          </cell>
          <cell r="D353" t="str">
            <v>03</v>
          </cell>
          <cell r="E353" t="str">
            <v>BI-FOLD บานพับมือจับบานเฟี้ยม สีดำ HD-642 (FXZ12)</v>
          </cell>
          <cell r="F353">
            <v>10</v>
          </cell>
          <cell r="G353">
            <v>99.84</v>
          </cell>
        </row>
        <row r="354">
          <cell r="A354" t="str">
            <v>E004080603H0064301</v>
          </cell>
          <cell r="B354" t="str">
            <v>NAN1614-0603000</v>
          </cell>
          <cell r="C354" t="str">
            <v>E004</v>
          </cell>
          <cell r="D354" t="str">
            <v>03</v>
          </cell>
          <cell r="E354" t="str">
            <v>BI-FOLD บานพับไกด์ล่างบานเฟี้ยม สีดำ HD-643B (FXZ5B)</v>
          </cell>
          <cell r="F354">
            <v>9</v>
          </cell>
          <cell r="G354">
            <v>209.28</v>
          </cell>
        </row>
        <row r="355">
          <cell r="A355" t="str">
            <v>E004080604H0064001</v>
          </cell>
          <cell r="B355" t="str">
            <v>NAN1611-0602000</v>
          </cell>
          <cell r="C355" t="str">
            <v>E004</v>
          </cell>
          <cell r="D355" t="str">
            <v>04</v>
          </cell>
          <cell r="E355" t="str">
            <v>BI-FOLD บานพับล้อบนบานเฟี้ยม สีอบขาว HD-640B (FXZ1B)</v>
          </cell>
          <cell r="F355">
            <v>0</v>
          </cell>
          <cell r="G355">
            <v>289.27999999999997</v>
          </cell>
        </row>
        <row r="356">
          <cell r="A356" t="str">
            <v>E004080604H0064102</v>
          </cell>
          <cell r="B356" t="str">
            <v>NAN1611-0601000</v>
          </cell>
          <cell r="C356" t="str">
            <v>E004</v>
          </cell>
          <cell r="D356" t="str">
            <v>04</v>
          </cell>
          <cell r="E356" t="str">
            <v>BI-FOLD บานพับบานเฟี้ยม สีอบขาว HD-641 (FXZ11)</v>
          </cell>
          <cell r="F356">
            <v>4</v>
          </cell>
          <cell r="G356">
            <v>63.36</v>
          </cell>
        </row>
        <row r="357">
          <cell r="A357" t="str">
            <v>E004080604H0064202</v>
          </cell>
          <cell r="B357" t="str">
            <v>NAN1611-0604000</v>
          </cell>
          <cell r="C357" t="str">
            <v>E004</v>
          </cell>
          <cell r="D357" t="str">
            <v>04</v>
          </cell>
          <cell r="E357" t="str">
            <v>BI-FOLD บานพับมือจับบานเฟี้ยม สีอบขาว HD-642 (FXZ12)</v>
          </cell>
          <cell r="F357">
            <v>0</v>
          </cell>
          <cell r="G357">
            <v>99.84</v>
          </cell>
        </row>
        <row r="358">
          <cell r="A358" t="str">
            <v>E004080604H0064302</v>
          </cell>
          <cell r="B358" t="str">
            <v>NAN1611-0603000</v>
          </cell>
          <cell r="C358" t="str">
            <v>E004</v>
          </cell>
          <cell r="D358" t="str">
            <v>04</v>
          </cell>
          <cell r="E358" t="str">
            <v>BI-FOLD บานพับไกด์ล่างบานเฟี้ยม สีอบขาว HD-643B (FXZ5B)</v>
          </cell>
          <cell r="F358">
            <v>0</v>
          </cell>
          <cell r="G358">
            <v>209.28</v>
          </cell>
        </row>
        <row r="359">
          <cell r="A359" t="str">
            <v>E004090900I9000000</v>
          </cell>
          <cell r="B359" t="str">
            <v>NAN0000-1011000</v>
          </cell>
          <cell r="C359" t="str">
            <v>E004</v>
          </cell>
          <cell r="D359" t="str">
            <v>00</v>
          </cell>
          <cell r="E359" t="str">
            <v>ฉากข้อต่อมุ้ง #HD-231</v>
          </cell>
          <cell r="F359">
            <v>0</v>
          </cell>
          <cell r="G359">
            <v>0</v>
          </cell>
        </row>
        <row r="360">
          <cell r="A360" t="str">
            <v>E004090902I3023200</v>
          </cell>
          <cell r="B360" t="str">
            <v>NAN0002-1011100</v>
          </cell>
          <cell r="C360" t="str">
            <v>E004</v>
          </cell>
          <cell r="D360" t="str">
            <v>02</v>
          </cell>
          <cell r="E360" t="str">
            <v>มุมมุ้งบานเลื่อน สีชา #HD-232P</v>
          </cell>
          <cell r="F360">
            <v>172</v>
          </cell>
          <cell r="G360">
            <v>47.36</v>
          </cell>
        </row>
        <row r="361">
          <cell r="A361" t="str">
            <v>E004090903I3023200</v>
          </cell>
          <cell r="B361" t="str">
            <v>NAN0004-1011100</v>
          </cell>
          <cell r="C361" t="str">
            <v>E004</v>
          </cell>
          <cell r="D361" t="str">
            <v>03</v>
          </cell>
          <cell r="E361" t="str">
            <v>มุมมุ้งบานเลื่อน สีดำ #HD-232P</v>
          </cell>
          <cell r="F361">
            <v>68</v>
          </cell>
          <cell r="G361">
            <v>47.36</v>
          </cell>
        </row>
        <row r="362">
          <cell r="A362" t="str">
            <v>E004090904I3023200</v>
          </cell>
          <cell r="B362" t="str">
            <v>NAN0011-1011100</v>
          </cell>
          <cell r="C362" t="str">
            <v>E004</v>
          </cell>
          <cell r="D362" t="str">
            <v>04</v>
          </cell>
          <cell r="E362" t="str">
            <v>มุมมุ้งบานเลื่อน สีอบขาว #HD-232P</v>
          </cell>
          <cell r="F362">
            <v>50</v>
          </cell>
          <cell r="G362">
            <v>47.36</v>
          </cell>
        </row>
        <row r="363">
          <cell r="A363" t="str">
            <v>E00412000000000000</v>
          </cell>
          <cell r="B363" t="str">
            <v>NAN0000</v>
          </cell>
          <cell r="C363" t="str">
            <v>E004</v>
          </cell>
          <cell r="D363" t="str">
            <v>00</v>
          </cell>
          <cell r="E363" t="str">
            <v>ACC ALU ยี่ห้อ HYDA (กลุ่ม)</v>
          </cell>
          <cell r="F363">
            <v>0</v>
          </cell>
          <cell r="G363">
            <v>0</v>
          </cell>
        </row>
        <row r="364">
          <cell r="A364" t="str">
            <v>E004120100L3221000</v>
          </cell>
          <cell r="B364" t="str">
            <v>NAN0000-1005000</v>
          </cell>
          <cell r="C364" t="str">
            <v>E004</v>
          </cell>
          <cell r="D364" t="str">
            <v>00</v>
          </cell>
          <cell r="E364" t="str">
            <v>มุมบานกระทุ้ง #32 HD-210</v>
          </cell>
          <cell r="F364">
            <v>1421</v>
          </cell>
          <cell r="G364">
            <v>7.68</v>
          </cell>
        </row>
        <row r="365">
          <cell r="A365" t="str">
            <v>E004120200L0112000</v>
          </cell>
          <cell r="B365" t="str">
            <v>NAN1700-0302000</v>
          </cell>
          <cell r="C365" t="str">
            <v>E004</v>
          </cell>
          <cell r="D365" t="str">
            <v>00</v>
          </cell>
          <cell r="E365" t="str">
            <v>EURO แป้นรับล็อคบานเลื่อน HD-1120</v>
          </cell>
          <cell r="F365">
            <v>0</v>
          </cell>
          <cell r="G365">
            <v>0</v>
          </cell>
        </row>
        <row r="366">
          <cell r="A366" t="str">
            <v>E004120200L2421300</v>
          </cell>
          <cell r="B366" t="str">
            <v>NAN1700-0120000</v>
          </cell>
          <cell r="C366" t="str">
            <v>E004</v>
          </cell>
          <cell r="D366" t="str">
            <v>00</v>
          </cell>
          <cell r="E366" t="str">
            <v>EURO ฉากเข้ามุมปรับได้ #24 HD-213</v>
          </cell>
          <cell r="F366">
            <v>58</v>
          </cell>
          <cell r="G366">
            <v>11.36</v>
          </cell>
        </row>
        <row r="367">
          <cell r="A367" t="str">
            <v>E004120200L2421400</v>
          </cell>
          <cell r="B367" t="str">
            <v>NAN1700-0121100</v>
          </cell>
          <cell r="C367" t="str">
            <v>E004</v>
          </cell>
          <cell r="D367" t="str">
            <v>00</v>
          </cell>
          <cell r="E367" t="str">
            <v>EURO ฉากเข้ามุมปรับได้ #24 HD-214</v>
          </cell>
          <cell r="F367">
            <v>346</v>
          </cell>
          <cell r="G367">
            <v>16.2</v>
          </cell>
        </row>
        <row r="368">
          <cell r="A368" t="str">
            <v>E004120200L4121400</v>
          </cell>
          <cell r="B368" t="str">
            <v>NAN1700-0121000</v>
          </cell>
          <cell r="C368" t="str">
            <v>E004</v>
          </cell>
          <cell r="D368" t="str">
            <v>00</v>
          </cell>
          <cell r="E368" t="str">
            <v>EURO ฉากเข้ามุมปรับได้ #41 HD-214</v>
          </cell>
          <cell r="F368">
            <v>134</v>
          </cell>
          <cell r="G368">
            <v>23.68</v>
          </cell>
        </row>
        <row r="369">
          <cell r="A369" t="str">
            <v>E004120203L0101400</v>
          </cell>
          <cell r="B369" t="str">
            <v>NAN1700-0115000</v>
          </cell>
          <cell r="C369" t="str">
            <v>E004</v>
          </cell>
          <cell r="D369" t="str">
            <v>03</v>
          </cell>
          <cell r="E369" t="str">
            <v>EURO ยางกันชนคอม้า HD-1016</v>
          </cell>
          <cell r="F369">
            <v>0</v>
          </cell>
          <cell r="G369">
            <v>0</v>
          </cell>
        </row>
        <row r="370">
          <cell r="A370" t="str">
            <v>E004120203L0102100</v>
          </cell>
          <cell r="B370" t="str">
            <v>NAN1700-0113000</v>
          </cell>
          <cell r="C370" t="str">
            <v>E004</v>
          </cell>
          <cell r="D370" t="str">
            <v>03</v>
          </cell>
          <cell r="E370" t="str">
            <v>EURO ฝาปิดรูระบายน้ำออก ทรงรีกลม #HD-1021</v>
          </cell>
          <cell r="F370">
            <v>2211</v>
          </cell>
          <cell r="G370">
            <v>1.92</v>
          </cell>
        </row>
        <row r="371">
          <cell r="A371" t="str">
            <v>E004120203L0102500</v>
          </cell>
          <cell r="B371" t="str">
            <v>NAN1700-0112000</v>
          </cell>
          <cell r="C371" t="str">
            <v>E004</v>
          </cell>
          <cell r="D371" t="str">
            <v>03</v>
          </cell>
          <cell r="E371" t="str">
            <v>EURO ฝาปิดรูระบายน้ำเข้า ทรงสี่เหลี่ยม #HD-1025A</v>
          </cell>
          <cell r="F371">
            <v>1996</v>
          </cell>
          <cell r="G371">
            <v>0.69</v>
          </cell>
        </row>
        <row r="372">
          <cell r="A372" t="str">
            <v>E004120203L0103000</v>
          </cell>
          <cell r="B372" t="str">
            <v>NAN1700-0111030</v>
          </cell>
          <cell r="C372" t="str">
            <v>E004</v>
          </cell>
          <cell r="D372" t="str">
            <v>03</v>
          </cell>
          <cell r="E372" t="str">
            <v>EURO ฝาปิดเสาบานเลื่อน HD-1030</v>
          </cell>
          <cell r="F372">
            <v>276</v>
          </cell>
          <cell r="G372">
            <v>3.6</v>
          </cell>
        </row>
        <row r="373">
          <cell r="A373" t="str">
            <v>E004120203L0103100</v>
          </cell>
          <cell r="B373" t="str">
            <v>NAN1700-0111031</v>
          </cell>
          <cell r="C373" t="str">
            <v>E004</v>
          </cell>
          <cell r="D373" t="str">
            <v>03</v>
          </cell>
          <cell r="E373" t="str">
            <v>EURO ฝาปิดเสาบานเลื่อน HD-1031</v>
          </cell>
          <cell r="F373">
            <v>237</v>
          </cell>
          <cell r="G373">
            <v>3.84</v>
          </cell>
        </row>
        <row r="374">
          <cell r="A374" t="str">
            <v>E004120203L0106500</v>
          </cell>
          <cell r="B374" t="str">
            <v>NAN0014-0904000</v>
          </cell>
          <cell r="C374" t="str">
            <v>E004</v>
          </cell>
          <cell r="D374" t="str">
            <v>03</v>
          </cell>
          <cell r="E374" t="str">
            <v>ลิ่มหนุนเฟรม สีดำ #HD-1065</v>
          </cell>
          <cell r="F374">
            <v>9</v>
          </cell>
          <cell r="G374">
            <v>1.61</v>
          </cell>
        </row>
        <row r="375">
          <cell r="A375" t="str">
            <v>E004120204L0106500</v>
          </cell>
          <cell r="B375" t="str">
            <v>NAN0011-0904000</v>
          </cell>
          <cell r="C375" t="str">
            <v>E004</v>
          </cell>
          <cell r="D375" t="str">
            <v>04</v>
          </cell>
          <cell r="E375" t="str">
            <v>ลิ่มหนุนเฟรม สีอบขาว #HD-1065</v>
          </cell>
          <cell r="F375">
            <v>200</v>
          </cell>
          <cell r="G375">
            <v>1.61</v>
          </cell>
        </row>
        <row r="376">
          <cell r="A376" t="str">
            <v>E004120300L0020000</v>
          </cell>
          <cell r="B376" t="str">
            <v>NAN0000-1012000</v>
          </cell>
          <cell r="C376" t="str">
            <v>E004</v>
          </cell>
          <cell r="D376" t="str">
            <v>00</v>
          </cell>
          <cell r="E376" t="str">
            <v>ฉากประคอง HYDA #HD-200</v>
          </cell>
          <cell r="F376">
            <v>8965</v>
          </cell>
          <cell r="G376">
            <v>1.6</v>
          </cell>
        </row>
        <row r="377">
          <cell r="A377" t="str">
            <v>E004120300L0020500</v>
          </cell>
          <cell r="B377" t="str">
            <v>NAN0000-1004000</v>
          </cell>
          <cell r="C377" t="str">
            <v>E004</v>
          </cell>
          <cell r="D377" t="str">
            <v>00</v>
          </cell>
          <cell r="E377" t="str">
            <v>มุมข้อต่อสวิง HD-205</v>
          </cell>
          <cell r="F377">
            <v>1120</v>
          </cell>
          <cell r="G377">
            <v>2.2400000000000002</v>
          </cell>
        </row>
        <row r="378">
          <cell r="A378" t="str">
            <v>E004120600L0022602</v>
          </cell>
          <cell r="B378" t="str">
            <v/>
          </cell>
          <cell r="C378" t="str">
            <v>E004</v>
          </cell>
          <cell r="D378" t="str">
            <v>00</v>
          </cell>
          <cell r="E378" t="str">
            <v>BI-FOLD มุมบานเฟี้ยมยูโร(กัดร่อง) 46.5มม. #HD-226B</v>
          </cell>
          <cell r="F378">
            <v>8</v>
          </cell>
          <cell r="G378">
            <v>37.76</v>
          </cell>
        </row>
        <row r="379">
          <cell r="A379" t="str">
            <v>E004120700L0054100</v>
          </cell>
          <cell r="B379" t="str">
            <v>NAN1700-0305000</v>
          </cell>
          <cell r="C379" t="str">
            <v>E004</v>
          </cell>
          <cell r="D379" t="str">
            <v>00</v>
          </cell>
          <cell r="E379" t="str">
            <v>EURO ตะขอมัลติพอยท์ล็อค HD-1110</v>
          </cell>
          <cell r="F379">
            <v>0</v>
          </cell>
          <cell r="G379">
            <v>0</v>
          </cell>
        </row>
        <row r="380">
          <cell r="A380" t="str">
            <v>E004120700L0105000</v>
          </cell>
          <cell r="B380" t="str">
            <v>NAN1800-0306000</v>
          </cell>
          <cell r="C380" t="str">
            <v>E004</v>
          </cell>
          <cell r="D380" t="str">
            <v>00</v>
          </cell>
          <cell r="E380" t="str">
            <v>EURO เต้ากันตก HD-1050</v>
          </cell>
          <cell r="F380">
            <v>0</v>
          </cell>
          <cell r="G380">
            <v>0</v>
          </cell>
        </row>
        <row r="381">
          <cell r="A381" t="str">
            <v>E004120700L0106100</v>
          </cell>
          <cell r="B381" t="str">
            <v>NAN1800-0304000</v>
          </cell>
          <cell r="C381" t="str">
            <v>E004</v>
          </cell>
          <cell r="D381" t="str">
            <v>00</v>
          </cell>
          <cell r="E381" t="str">
            <v>EURO เต้ารับล็อค HD-1061</v>
          </cell>
          <cell r="F381">
            <v>0</v>
          </cell>
          <cell r="G381">
            <v>0</v>
          </cell>
        </row>
        <row r="382">
          <cell r="A382" t="str">
            <v>E004120700L0110100</v>
          </cell>
          <cell r="B382" t="str">
            <v>NAN1800-0305000</v>
          </cell>
          <cell r="C382" t="str">
            <v>E004</v>
          </cell>
          <cell r="D382" t="str">
            <v>00</v>
          </cell>
          <cell r="E382" t="str">
            <v>EURO จุดรับล็อครุ่นสกรู HD-1101</v>
          </cell>
          <cell r="F382">
            <v>0</v>
          </cell>
          <cell r="G382">
            <v>0</v>
          </cell>
        </row>
        <row r="383">
          <cell r="A383" t="str">
            <v>E004120700L0110200</v>
          </cell>
          <cell r="B383" t="str">
            <v>NAN1800-0307000</v>
          </cell>
          <cell r="C383" t="str">
            <v>E004</v>
          </cell>
          <cell r="D383" t="str">
            <v>00</v>
          </cell>
          <cell r="E383" t="str">
            <v>EURO หมุดล็อค HD-1102</v>
          </cell>
          <cell r="F383">
            <v>11</v>
          </cell>
          <cell r="G383">
            <v>15.2</v>
          </cell>
        </row>
        <row r="384">
          <cell r="A384" t="str">
            <v>E004120700L0110300</v>
          </cell>
          <cell r="B384" t="str">
            <v>NAN1700-0306000</v>
          </cell>
          <cell r="C384" t="str">
            <v>E004</v>
          </cell>
          <cell r="D384" t="str">
            <v>00</v>
          </cell>
          <cell r="E384" t="str">
            <v>EURO ตัวที HD-1103</v>
          </cell>
          <cell r="F384">
            <v>7</v>
          </cell>
          <cell r="G384">
            <v>13.12</v>
          </cell>
        </row>
        <row r="385">
          <cell r="A385" t="str">
            <v>E004120700L0112400</v>
          </cell>
          <cell r="B385" t="str">
            <v>NAN1700-0302001</v>
          </cell>
          <cell r="C385" t="str">
            <v>E004</v>
          </cell>
          <cell r="D385" t="str">
            <v>00</v>
          </cell>
          <cell r="E385" t="str">
            <v>EURO แป้นยูรับล็อคบานเลื่อน HD-1124</v>
          </cell>
          <cell r="F385">
            <v>55</v>
          </cell>
          <cell r="G385">
            <v>9.6</v>
          </cell>
        </row>
        <row r="386">
          <cell r="A386" t="str">
            <v>E004120700L0112500</v>
          </cell>
          <cell r="B386" t="str">
            <v>NAN1700-0307000</v>
          </cell>
          <cell r="C386" t="str">
            <v>E004</v>
          </cell>
          <cell r="D386" t="str">
            <v>00</v>
          </cell>
          <cell r="E386" t="str">
            <v>EURO แป้นยูรับล็อค HD-1125</v>
          </cell>
          <cell r="F386">
            <v>311</v>
          </cell>
          <cell r="G386">
            <v>7.36</v>
          </cell>
        </row>
        <row r="387">
          <cell r="A387" t="str">
            <v>E004120700L0117500</v>
          </cell>
          <cell r="B387" t="str">
            <v>NAN1800-0308000</v>
          </cell>
          <cell r="C387" t="str">
            <v>E004</v>
          </cell>
          <cell r="D387" t="str">
            <v>00</v>
          </cell>
          <cell r="E387" t="str">
            <v>EURO ก้าน PVC สไลด์ 19.5 mm  HD-1175</v>
          </cell>
          <cell r="F387">
            <v>320</v>
          </cell>
          <cell r="G387">
            <v>24.96</v>
          </cell>
        </row>
        <row r="388">
          <cell r="A388" t="str">
            <v>E004120703L0101400</v>
          </cell>
          <cell r="B388" t="str">
            <v>NAN0004-0171001</v>
          </cell>
          <cell r="C388" t="str">
            <v>E004</v>
          </cell>
          <cell r="D388" t="str">
            <v>03</v>
          </cell>
          <cell r="E388" t="str">
            <v>EURO ยางกันชนเหลี่ยมยูโร สีดำ HD-1014</v>
          </cell>
          <cell r="F388">
            <v>206</v>
          </cell>
          <cell r="G388">
            <v>3.2</v>
          </cell>
        </row>
        <row r="389">
          <cell r="A389" t="str">
            <v>E004120703L0101500</v>
          </cell>
          <cell r="B389" t="str">
            <v>NAN0004-0171000</v>
          </cell>
          <cell r="C389" t="str">
            <v>E004</v>
          </cell>
          <cell r="D389" t="str">
            <v>03</v>
          </cell>
          <cell r="E389" t="str">
            <v>EURO ยางกันชนเม้าส์ สีดำ HD-1015</v>
          </cell>
          <cell r="F389">
            <v>145</v>
          </cell>
          <cell r="G389">
            <v>7.68</v>
          </cell>
        </row>
        <row r="390">
          <cell r="A390" t="str">
            <v>E004120803L0107100</v>
          </cell>
          <cell r="B390" t="str">
            <v/>
          </cell>
          <cell r="C390" t="str">
            <v>E004</v>
          </cell>
          <cell r="D390" t="str">
            <v>03</v>
          </cell>
          <cell r="E390" t="str">
            <v>สต็อปเปอร์รางแขวนใหญ่ 2in1 HD-1071P</v>
          </cell>
          <cell r="F390">
            <v>64</v>
          </cell>
          <cell r="G390">
            <v>1.76</v>
          </cell>
        </row>
        <row r="391">
          <cell r="A391" t="str">
            <v>E004131100M0061201</v>
          </cell>
          <cell r="B391" t="str">
            <v>NGH002-018211</v>
          </cell>
          <cell r="C391" t="str">
            <v>E004</v>
          </cell>
          <cell r="D391" t="str">
            <v>00</v>
          </cell>
          <cell r="E391" t="str">
            <v>มีดตัดกระจก 6-12 มม. #HD-8211 (ธรรมดา)</v>
          </cell>
          <cell r="F391">
            <v>104</v>
          </cell>
          <cell r="G391">
            <v>83.7</v>
          </cell>
        </row>
        <row r="392">
          <cell r="A392" t="str">
            <v>E004131100M0061202</v>
          </cell>
          <cell r="B392" t="str">
            <v>NGH002-018213</v>
          </cell>
          <cell r="C392" t="str">
            <v>E004</v>
          </cell>
          <cell r="D392" t="str">
            <v>00</v>
          </cell>
          <cell r="E392" t="str">
            <v>มีดตัดกระจก 6-12 มม. #HD-8213 (ใช้น้ำมัน)</v>
          </cell>
          <cell r="F392">
            <v>212</v>
          </cell>
          <cell r="G392">
            <v>104.16</v>
          </cell>
        </row>
        <row r="393">
          <cell r="A393" t="str">
            <v>E004141300N0000100</v>
          </cell>
          <cell r="B393" t="str">
            <v/>
          </cell>
          <cell r="C393" t="str">
            <v>E004</v>
          </cell>
          <cell r="D393" t="str">
            <v>00</v>
          </cell>
          <cell r="E393" t="str">
            <v>คีมย้ำรีเวท Hyda Reveter #HW-002</v>
          </cell>
          <cell r="F393">
            <v>57</v>
          </cell>
          <cell r="G393">
            <v>200.16</v>
          </cell>
        </row>
        <row r="394">
          <cell r="A394" t="str">
            <v>E00502000000000000</v>
          </cell>
          <cell r="B394" t="str">
            <v>NAN0000</v>
          </cell>
          <cell r="C394" t="str">
            <v>E005</v>
          </cell>
          <cell r="D394" t="str">
            <v>00</v>
          </cell>
          <cell r="E394" t="str">
            <v>โช้ค ยี่ห้อVVP (กลุ่ม)</v>
          </cell>
          <cell r="F394">
            <v>0</v>
          </cell>
          <cell r="G394">
            <v>0</v>
          </cell>
        </row>
        <row r="395">
          <cell r="A395" t="str">
            <v>E005020300B0800200</v>
          </cell>
          <cell r="B395" t="str">
            <v>NAHVFC35-1000-2</v>
          </cell>
          <cell r="C395" t="str">
            <v>E005</v>
          </cell>
          <cell r="D395" t="str">
            <v>00</v>
          </cell>
          <cell r="E395" t="str">
            <v>โช้คอัพบานสวิง 2V OC-35 15NM VVP</v>
          </cell>
          <cell r="F395">
            <v>35</v>
          </cell>
          <cell r="G395">
            <v>1050</v>
          </cell>
        </row>
        <row r="396">
          <cell r="A396" t="str">
            <v>E005020300B1500200</v>
          </cell>
          <cell r="B396" t="str">
            <v/>
          </cell>
          <cell r="C396" t="str">
            <v>E005</v>
          </cell>
          <cell r="D396" t="str">
            <v>00</v>
          </cell>
          <cell r="E396" t="str">
            <v>โช้คอัพบานสวิง 2V OC-35 25NM VVP</v>
          </cell>
          <cell r="F396">
            <v>0</v>
          </cell>
          <cell r="G396">
            <v>1150</v>
          </cell>
        </row>
        <row r="397">
          <cell r="A397" t="str">
            <v>E005020314B1000200</v>
          </cell>
          <cell r="B397" t="str">
            <v>NAHVFC35-1200-2</v>
          </cell>
          <cell r="C397" t="str">
            <v>E005</v>
          </cell>
          <cell r="D397">
            <v>14</v>
          </cell>
          <cell r="E397" t="str">
            <v>โช้คอัพบานสวิง 2V OC-35 20NM VVP</v>
          </cell>
          <cell r="F397">
            <v>36</v>
          </cell>
          <cell r="G397">
            <v>1050</v>
          </cell>
        </row>
        <row r="398">
          <cell r="A398" t="str">
            <v>E005020414B1000200</v>
          </cell>
          <cell r="B398" t="str">
            <v>NAHVFC34-1000-2</v>
          </cell>
          <cell r="C398" t="str">
            <v>E005</v>
          </cell>
          <cell r="D398">
            <v>14</v>
          </cell>
          <cell r="E398" t="str">
            <v>โช้คอัพฝังพื้นไม่มีอุปกรณ์ 2V FC-34 20 NM  VVP</v>
          </cell>
          <cell r="F398">
            <v>74</v>
          </cell>
          <cell r="G398">
            <v>1147.5</v>
          </cell>
        </row>
        <row r="399">
          <cell r="A399" t="str">
            <v>E005020414B1000201</v>
          </cell>
          <cell r="B399" t="str">
            <v>NAHVFC34-20-1</v>
          </cell>
          <cell r="C399" t="str">
            <v>E005</v>
          </cell>
          <cell r="D399">
            <v>14</v>
          </cell>
          <cell r="E399" t="str">
            <v>โช้คอัพฝังพื้นพร้อมอุปกรณ์ 2V FC-34 20 NM  VVP</v>
          </cell>
          <cell r="F399">
            <v>52</v>
          </cell>
          <cell r="G399">
            <v>1518.75</v>
          </cell>
        </row>
        <row r="400">
          <cell r="A400" t="str">
            <v>E005020414B1200200</v>
          </cell>
          <cell r="B400" t="str">
            <v>NAHVFC34-1200-2</v>
          </cell>
          <cell r="C400" t="str">
            <v>E005</v>
          </cell>
          <cell r="D400">
            <v>14</v>
          </cell>
          <cell r="E400" t="str">
            <v>โช้คอัพฝังพื้นไม่มีอุปกรณ์ 2V FC-34 25 NM  VVP</v>
          </cell>
          <cell r="F400">
            <v>29</v>
          </cell>
          <cell r="G400">
            <v>1282.5</v>
          </cell>
        </row>
        <row r="401">
          <cell r="A401" t="str">
            <v>E005020414B1200201</v>
          </cell>
          <cell r="B401" t="str">
            <v>NAHVFC34-25-1</v>
          </cell>
          <cell r="C401" t="str">
            <v>E005</v>
          </cell>
          <cell r="D401">
            <v>14</v>
          </cell>
          <cell r="E401" t="str">
            <v>โช้คอัพฝังพื้นพร้อมอุปกรณ์ 2V FC-34 25 NM  VVP</v>
          </cell>
          <cell r="F401">
            <v>22</v>
          </cell>
          <cell r="G401">
            <v>1653.75</v>
          </cell>
        </row>
        <row r="402">
          <cell r="A402" t="str">
            <v>E005030210C0040500</v>
          </cell>
          <cell r="B402" t="str">
            <v>NAHVRL-405</v>
          </cell>
          <cell r="C402" t="str">
            <v>E005</v>
          </cell>
          <cell r="D402">
            <v>10</v>
          </cell>
          <cell r="E402" t="str">
            <v>ลูกล้อบานเลื่อนเดี่ยว (เขียว) VVP #RL-405 (รับนน. 20Kg.)</v>
          </cell>
          <cell r="F402">
            <v>0</v>
          </cell>
          <cell r="G402">
            <v>0</v>
          </cell>
        </row>
        <row r="403">
          <cell r="A403" t="str">
            <v>E005030211C0040200</v>
          </cell>
          <cell r="B403" t="str">
            <v>NAHVRL-402</v>
          </cell>
          <cell r="C403" t="str">
            <v>E005</v>
          </cell>
          <cell r="D403">
            <v>11</v>
          </cell>
          <cell r="E403" t="str">
            <v>ลูกล้อบานเลื่อนเดี่ยว (แดง) VVP #RL-402 (รับนน. 25Kg.)</v>
          </cell>
          <cell r="F403">
            <v>0</v>
          </cell>
          <cell r="G403">
            <v>0</v>
          </cell>
        </row>
        <row r="404">
          <cell r="A404" t="str">
            <v>E005030211C0040300</v>
          </cell>
          <cell r="B404" t="str">
            <v>NAHVRL-403</v>
          </cell>
          <cell r="C404" t="str">
            <v>E005</v>
          </cell>
          <cell r="D404">
            <v>11</v>
          </cell>
          <cell r="E404" t="str">
            <v>ลูกล้อบานเลื่อนคู่ VVP #RL-403 (รับนน. 35Kg.)</v>
          </cell>
          <cell r="F404">
            <v>0</v>
          </cell>
          <cell r="G404">
            <v>0</v>
          </cell>
        </row>
        <row r="405">
          <cell r="A405" t="str">
            <v>E005030800C0010400</v>
          </cell>
          <cell r="B405" t="str">
            <v>NAHVRL-401</v>
          </cell>
          <cell r="C405" t="str">
            <v>E005</v>
          </cell>
          <cell r="D405" t="str">
            <v>00</v>
          </cell>
          <cell r="E405" t="str">
            <v>ลูกล้อรางแขวน 4 ล้อ (เดี่ยว) VVP #RL-401 (รับนน. 35Kg.)</v>
          </cell>
          <cell r="F405">
            <v>0</v>
          </cell>
          <cell r="G405">
            <v>0</v>
          </cell>
        </row>
        <row r="406">
          <cell r="A406" t="str">
            <v>E00504000000000000</v>
          </cell>
          <cell r="B406" t="str">
            <v>NAN0000</v>
          </cell>
          <cell r="C406" t="str">
            <v>E005</v>
          </cell>
          <cell r="D406" t="str">
            <v>00</v>
          </cell>
          <cell r="E406" t="str">
            <v>มือจับ ยี่ห้อ VVP (กลุ่ม)</v>
          </cell>
          <cell r="F406">
            <v>18</v>
          </cell>
          <cell r="G406">
            <v>0</v>
          </cell>
        </row>
        <row r="407">
          <cell r="A407" t="str">
            <v>E005040102D1450320</v>
          </cell>
          <cell r="B407" t="str">
            <v>NAHVLW-45-R03-02</v>
          </cell>
          <cell r="C407" t="str">
            <v>E005</v>
          </cell>
          <cell r="D407" t="str">
            <v>02</v>
          </cell>
          <cell r="E407" t="str">
            <v>มือจับกระทุ้งขวาฐานสูง (แปะ) สีชา VVP #LW-45 03</v>
          </cell>
          <cell r="F407">
            <v>52</v>
          </cell>
          <cell r="G407">
            <v>63.75</v>
          </cell>
        </row>
        <row r="408">
          <cell r="A408" t="str">
            <v>E005040103D1450300</v>
          </cell>
          <cell r="B408" t="str">
            <v>NAHVLW-45-L03</v>
          </cell>
          <cell r="C408" t="str">
            <v>E005</v>
          </cell>
          <cell r="D408" t="str">
            <v>03</v>
          </cell>
          <cell r="E408" t="str">
            <v xml:space="preserve">มือจับกระทุ้งซ้ายฐานสูง (แปะ) สีดำ VVP #LW-45 03 </v>
          </cell>
          <cell r="F408">
            <v>0</v>
          </cell>
          <cell r="G408">
            <v>0</v>
          </cell>
        </row>
        <row r="409">
          <cell r="A409" t="str">
            <v>E005040103D1450320</v>
          </cell>
          <cell r="B409" t="str">
            <v>NAHVLW-45-R03</v>
          </cell>
          <cell r="C409" t="str">
            <v>E005</v>
          </cell>
          <cell r="D409" t="str">
            <v>03</v>
          </cell>
          <cell r="E409" t="str">
            <v>มือจับกระทุ้งขวาฐานสูง (แปะ) สีดำ VVP #LW-45 03</v>
          </cell>
          <cell r="F409">
            <v>0</v>
          </cell>
          <cell r="G409">
            <v>0</v>
          </cell>
        </row>
        <row r="410">
          <cell r="A410" t="str">
            <v>E005040104D1450200</v>
          </cell>
          <cell r="B410" t="str">
            <v>NAHVLW-45-R02</v>
          </cell>
          <cell r="C410" t="str">
            <v>E005</v>
          </cell>
          <cell r="D410" t="str">
            <v>04</v>
          </cell>
          <cell r="E410" t="str">
            <v>มือจับกระทุ้งขวาฐานเตี้ย (แปะ) สีอบขาว VVP #LW-45 02</v>
          </cell>
          <cell r="F410">
            <v>0</v>
          </cell>
          <cell r="G410">
            <v>0</v>
          </cell>
        </row>
        <row r="411">
          <cell r="A411" t="str">
            <v>E005040314E1011000</v>
          </cell>
          <cell r="B411" t="str">
            <v>NAHVHD110-2011</v>
          </cell>
          <cell r="C411" t="str">
            <v>E005</v>
          </cell>
          <cell r="D411">
            <v>14</v>
          </cell>
          <cell r="E411" t="str">
            <v>มือจับสแตนเลส VVP รุ่น HD-110 #2012 ขนาด 32x305x450 ผิวเงา</v>
          </cell>
          <cell r="F411">
            <v>0</v>
          </cell>
          <cell r="G411">
            <v>0</v>
          </cell>
        </row>
        <row r="412">
          <cell r="A412" t="str">
            <v>E005040314Z1010102</v>
          </cell>
          <cell r="B412" t="str">
            <v>NAHVHD101-2104-2</v>
          </cell>
          <cell r="C412" t="str">
            <v>E005</v>
          </cell>
          <cell r="D412">
            <v>14</v>
          </cell>
          <cell r="E412" t="str">
            <v>มือจับสแตนเลส VVP รุ่น HD-101 #2104 ขนาด 32x350 ผิวเงา</v>
          </cell>
          <cell r="F412">
            <v>1</v>
          </cell>
          <cell r="G412">
            <v>0</v>
          </cell>
        </row>
        <row r="413">
          <cell r="A413" t="str">
            <v>E005040314Z1010301</v>
          </cell>
          <cell r="B413" t="str">
            <v>NAHVHD103-2301-2</v>
          </cell>
          <cell r="C413" t="str">
            <v>E005</v>
          </cell>
          <cell r="D413">
            <v>14</v>
          </cell>
          <cell r="E413" t="str">
            <v>มือจับสแตนเลส VVP 103 PS ขนาด 25x305</v>
          </cell>
          <cell r="F413">
            <v>2</v>
          </cell>
          <cell r="G413">
            <v>1040</v>
          </cell>
        </row>
        <row r="414">
          <cell r="A414" t="str">
            <v>E005040314Z1010302</v>
          </cell>
          <cell r="B414" t="str">
            <v>NAHVHD103-2302-2</v>
          </cell>
          <cell r="C414" t="str">
            <v>E005</v>
          </cell>
          <cell r="D414">
            <v>14</v>
          </cell>
          <cell r="E414" t="str">
            <v>มือจับสแตนเลส VVP 103 PS ขนาด 32x305</v>
          </cell>
          <cell r="F414">
            <v>1</v>
          </cell>
          <cell r="G414">
            <v>1120</v>
          </cell>
        </row>
        <row r="415">
          <cell r="A415" t="str">
            <v>E005040314Z1010303</v>
          </cell>
          <cell r="B415" t="str">
            <v>NAHVHD103-2303-2</v>
          </cell>
          <cell r="C415" t="str">
            <v>E005</v>
          </cell>
          <cell r="D415">
            <v>14</v>
          </cell>
          <cell r="E415" t="str">
            <v>มือจับสแตนเลส VVP 103 PS ขนาด 25*350</v>
          </cell>
          <cell r="F415">
            <v>0</v>
          </cell>
          <cell r="G415">
            <v>1120</v>
          </cell>
        </row>
        <row r="416">
          <cell r="A416" t="str">
            <v>E005040314Z1011001</v>
          </cell>
          <cell r="B416" t="str">
            <v>NAHVHD110-2015-2</v>
          </cell>
          <cell r="C416" t="str">
            <v>E005</v>
          </cell>
          <cell r="D416">
            <v>14</v>
          </cell>
          <cell r="E416" t="str">
            <v>มือจับสแตนเลส VVP 110 PS ขนาด 25x305x600</v>
          </cell>
          <cell r="F416">
            <v>0</v>
          </cell>
          <cell r="G416">
            <v>1000</v>
          </cell>
        </row>
        <row r="417">
          <cell r="A417" t="str">
            <v>E005040314Z1011700</v>
          </cell>
          <cell r="B417" t="str">
            <v>NAHVHD117-2711-2</v>
          </cell>
          <cell r="C417" t="str">
            <v>E005</v>
          </cell>
          <cell r="D417">
            <v>14</v>
          </cell>
          <cell r="E417" t="str">
            <v>มือจับสแตนเลส VVP HD-117 #2711 ขนาด 25x305 ผิวเงา</v>
          </cell>
          <cell r="F417">
            <v>11</v>
          </cell>
          <cell r="G417">
            <v>280</v>
          </cell>
        </row>
        <row r="418">
          <cell r="A418" t="str">
            <v>E005040314Z1015200</v>
          </cell>
          <cell r="B418" t="str">
            <v>NAHVHD-152-2251-2</v>
          </cell>
          <cell r="C418" t="str">
            <v>E005</v>
          </cell>
          <cell r="D418">
            <v>14</v>
          </cell>
          <cell r="E418" t="str">
            <v>มือจับสแตนเลส VVP 152 PS ขนาด 25x450 ผิวเงา</v>
          </cell>
          <cell r="F418">
            <v>0</v>
          </cell>
          <cell r="G418">
            <v>0</v>
          </cell>
        </row>
        <row r="419">
          <cell r="A419" t="str">
            <v>E005040314Z1018800</v>
          </cell>
          <cell r="B419" t="str">
            <v>NAHVHD188-2884-2</v>
          </cell>
          <cell r="C419" t="str">
            <v>E005</v>
          </cell>
          <cell r="D419">
            <v>14</v>
          </cell>
          <cell r="E419" t="str">
            <v>มือจับสแตนเลส VVP HD-188 #2884 ขนาด 32x800x1000 ผิวเงา</v>
          </cell>
          <cell r="F419">
            <v>0</v>
          </cell>
          <cell r="G419">
            <v>0</v>
          </cell>
        </row>
        <row r="420">
          <cell r="A420" t="str">
            <v>E00505000000000000</v>
          </cell>
          <cell r="B420" t="str">
            <v>NAN0000</v>
          </cell>
          <cell r="C420" t="str">
            <v>E005</v>
          </cell>
          <cell r="D420" t="str">
            <v>00</v>
          </cell>
          <cell r="E420" t="str">
            <v>กุญแจ-กลอน ยี่ห้อ VVP (กลุ่ม)</v>
          </cell>
          <cell r="F420">
            <v>47</v>
          </cell>
          <cell r="G420">
            <v>0</v>
          </cell>
        </row>
        <row r="421">
          <cell r="A421" t="str">
            <v>E005050201E0039100</v>
          </cell>
          <cell r="B421" t="str">
            <v>NAHVV39SL1A</v>
          </cell>
          <cell r="C421" t="str">
            <v>E005</v>
          </cell>
          <cell r="D421" t="str">
            <v>01</v>
          </cell>
          <cell r="E421" t="str">
            <v>กุญแจบานเลื่อนไขทางเดียว สีขาวอลู VVP  #V39 SL-1</v>
          </cell>
          <cell r="F421">
            <v>2</v>
          </cell>
          <cell r="G421">
            <v>150</v>
          </cell>
        </row>
        <row r="422">
          <cell r="A422" t="str">
            <v>E005050201E0043100</v>
          </cell>
          <cell r="B422" t="str">
            <v>NAHVVL43HL1A</v>
          </cell>
          <cell r="C422" t="str">
            <v>E005</v>
          </cell>
          <cell r="D422" t="str">
            <v>01</v>
          </cell>
          <cell r="E422" t="str">
            <v>กุญแจบานเลื่อนไขทางเดียว สีขาวอลู VVP #VL43 HL-1</v>
          </cell>
          <cell r="F422">
            <v>6</v>
          </cell>
          <cell r="G422">
            <v>225</v>
          </cell>
        </row>
        <row r="423">
          <cell r="A423" t="str">
            <v>E005050202E0043100</v>
          </cell>
          <cell r="B423" t="str">
            <v>NAHVVL43HL1B</v>
          </cell>
          <cell r="C423" t="str">
            <v>E005</v>
          </cell>
          <cell r="D423" t="str">
            <v>02</v>
          </cell>
          <cell r="E423" t="str">
            <v>กุญแจบานเลื่อนไขทางเดียว สีชา VVP #VL43 HL-1</v>
          </cell>
          <cell r="F423">
            <v>10</v>
          </cell>
          <cell r="G423">
            <v>225</v>
          </cell>
        </row>
        <row r="424">
          <cell r="A424" t="str">
            <v>E005050203E0039100</v>
          </cell>
          <cell r="B424" t="str">
            <v>NAHVV39SL1C</v>
          </cell>
          <cell r="C424" t="str">
            <v>E005</v>
          </cell>
          <cell r="D424" t="str">
            <v>03</v>
          </cell>
          <cell r="E424" t="str">
            <v>กุญแจบานเลื่อนไขทางเดียว สีดำ VVP  #V39 SL-1</v>
          </cell>
          <cell r="F424">
            <v>1</v>
          </cell>
          <cell r="G424">
            <v>150</v>
          </cell>
        </row>
        <row r="425">
          <cell r="A425" t="str">
            <v>E005050203E0043100</v>
          </cell>
          <cell r="B425" t="str">
            <v>NAHVVL43HL1D</v>
          </cell>
          <cell r="C425" t="str">
            <v>E005</v>
          </cell>
          <cell r="D425" t="str">
            <v>03</v>
          </cell>
          <cell r="E425" t="str">
            <v>กุญแจบานเลื่อนไขทางเดียว สีดำ VVP #VL43 HL-1</v>
          </cell>
          <cell r="F425">
            <v>16</v>
          </cell>
          <cell r="G425">
            <v>225</v>
          </cell>
        </row>
        <row r="426">
          <cell r="A426" t="str">
            <v>E005050204E0039100</v>
          </cell>
          <cell r="B426" t="str">
            <v>NAHVV39SL1D</v>
          </cell>
          <cell r="C426" t="str">
            <v>E005</v>
          </cell>
          <cell r="D426" t="str">
            <v>04</v>
          </cell>
          <cell r="E426" t="str">
            <v>กุญแจบานเลื่อนไขทางเดียว สีอบขาว VVP  #V39 SL-1</v>
          </cell>
          <cell r="F426">
            <v>8</v>
          </cell>
          <cell r="G426">
            <v>150</v>
          </cell>
        </row>
        <row r="427">
          <cell r="A427" t="str">
            <v>E005050204E0043100</v>
          </cell>
          <cell r="B427" t="str">
            <v>NAHVVL43HL1C</v>
          </cell>
          <cell r="C427" t="str">
            <v>E005</v>
          </cell>
          <cell r="D427" t="str">
            <v>04</v>
          </cell>
          <cell r="E427" t="str">
            <v>กุญแจบานเลื่อนไขทางเดียว สีอบขาว VVP #VL43 HL-1</v>
          </cell>
          <cell r="F427">
            <v>12</v>
          </cell>
          <cell r="G427">
            <v>225</v>
          </cell>
        </row>
        <row r="428">
          <cell r="A428" t="str">
            <v>E005050301E0039100</v>
          </cell>
          <cell r="B428" t="str">
            <v>NAHVV39SW1</v>
          </cell>
          <cell r="C428" t="str">
            <v>E005</v>
          </cell>
          <cell r="D428" t="str">
            <v>01</v>
          </cell>
          <cell r="E428" t="str">
            <v>กุญแจบานสวิงไขทางเดียว สีขาวอลู VVP  #V39 SW-1</v>
          </cell>
          <cell r="F428">
            <v>4</v>
          </cell>
          <cell r="G428">
            <v>150</v>
          </cell>
        </row>
        <row r="429">
          <cell r="A429" t="str">
            <v>E005050303E0001000</v>
          </cell>
          <cell r="B429" t="str">
            <v>NAHVBS10C</v>
          </cell>
          <cell r="C429" t="str">
            <v>E005</v>
          </cell>
          <cell r="D429" t="str">
            <v>03</v>
          </cell>
          <cell r="E429" t="str">
            <v>กลอนประตูสวิง VVP  #BS-10 สีดำ</v>
          </cell>
          <cell r="F429">
            <v>10</v>
          </cell>
          <cell r="G429">
            <v>67.5</v>
          </cell>
        </row>
        <row r="430">
          <cell r="A430" t="str">
            <v>E005050303E0039100</v>
          </cell>
          <cell r="B430" t="str">
            <v>NAHVV39SW1C</v>
          </cell>
          <cell r="C430" t="str">
            <v>E005</v>
          </cell>
          <cell r="D430" t="str">
            <v>03</v>
          </cell>
          <cell r="E430" t="str">
            <v>กุญแจบานสวิงไขทางเดียว สีดำ VVP  #V39 SW-1</v>
          </cell>
          <cell r="F430">
            <v>1</v>
          </cell>
          <cell r="G430">
            <v>255</v>
          </cell>
        </row>
        <row r="431">
          <cell r="A431" t="str">
            <v>E005050304E0039100</v>
          </cell>
          <cell r="B431" t="str">
            <v>NAHVV39SW1D</v>
          </cell>
          <cell r="C431" t="str">
            <v>E005</v>
          </cell>
          <cell r="D431" t="str">
            <v>04</v>
          </cell>
          <cell r="E431" t="str">
            <v>กุญแจบานสวิงไขทางเดียว สีอบขาว VVP #V39 SW-1</v>
          </cell>
          <cell r="F431">
            <v>2</v>
          </cell>
          <cell r="G431">
            <v>255</v>
          </cell>
        </row>
        <row r="432">
          <cell r="A432" t="str">
            <v>E005080114H0001000</v>
          </cell>
          <cell r="B432" t="str">
            <v>NGHVSA-10-2</v>
          </cell>
          <cell r="C432" t="str">
            <v>E005</v>
          </cell>
          <cell r="D432">
            <v>14</v>
          </cell>
          <cell r="E432" t="str">
            <v>แขนค้ำบานกระทุ้ง VVP  #SA-10</v>
          </cell>
          <cell r="F432">
            <v>0</v>
          </cell>
          <cell r="G432">
            <v>0</v>
          </cell>
        </row>
        <row r="433">
          <cell r="A433" t="str">
            <v>E005080114H0001400</v>
          </cell>
          <cell r="B433" t="str">
            <v>NGHVSA-14-2</v>
          </cell>
          <cell r="C433" t="str">
            <v>E005</v>
          </cell>
          <cell r="D433">
            <v>14</v>
          </cell>
          <cell r="E433" t="str">
            <v>แขนค้ำบานกระทุ้ง VVP  #SA-14</v>
          </cell>
          <cell r="F433">
            <v>0</v>
          </cell>
          <cell r="G433">
            <v>0</v>
          </cell>
        </row>
        <row r="434">
          <cell r="A434" t="str">
            <v>E005080115H0000801</v>
          </cell>
          <cell r="B434" t="str">
            <v>NAHVFH-08-2</v>
          </cell>
          <cell r="C434" t="str">
            <v>E005</v>
          </cell>
          <cell r="D434">
            <v>15</v>
          </cell>
          <cell r="E434" t="str">
            <v>บานพับกระทุ้งสี่แขน 8 นิ้ว VVP #FH-8 SS (ชุด)</v>
          </cell>
          <cell r="F434">
            <v>57</v>
          </cell>
          <cell r="G434">
            <v>156.6</v>
          </cell>
        </row>
        <row r="435">
          <cell r="A435" t="str">
            <v>E005080115H0001002</v>
          </cell>
          <cell r="B435" t="str">
            <v>NAHVFH-10-2</v>
          </cell>
          <cell r="C435" t="str">
            <v>E005</v>
          </cell>
          <cell r="D435">
            <v>15</v>
          </cell>
          <cell r="E435" t="str">
            <v>บานพับกระทุ้งสี่แขน 10 นิ้ว VVP #FH-10 SS (ชุด)</v>
          </cell>
          <cell r="F435">
            <v>12</v>
          </cell>
          <cell r="G435">
            <v>174</v>
          </cell>
        </row>
        <row r="436">
          <cell r="A436" t="str">
            <v>E005080115H0001203</v>
          </cell>
          <cell r="B436" t="str">
            <v>NAHVFH-12-2</v>
          </cell>
          <cell r="C436" t="str">
            <v>E005</v>
          </cell>
          <cell r="D436">
            <v>15</v>
          </cell>
          <cell r="E436" t="str">
            <v>บานพับกระทุ้งสี่แขน 12 นิ้ว VVP #FH-12 SS (ชุด)</v>
          </cell>
          <cell r="F436">
            <v>90</v>
          </cell>
          <cell r="G436">
            <v>191.4</v>
          </cell>
        </row>
        <row r="437">
          <cell r="A437" t="str">
            <v>E005080115H0001404</v>
          </cell>
          <cell r="B437" t="str">
            <v>NAHVFH-14-2</v>
          </cell>
          <cell r="C437" t="str">
            <v>E005</v>
          </cell>
          <cell r="D437">
            <v>15</v>
          </cell>
          <cell r="E437" t="str">
            <v>บานพับกระทุ้งสี่แขน 14 นิ้ว VVP #FH-14 SS (ชุด)</v>
          </cell>
          <cell r="F437">
            <v>36</v>
          </cell>
          <cell r="G437">
            <v>226.2</v>
          </cell>
        </row>
        <row r="438">
          <cell r="A438" t="str">
            <v>E005080115H0001605</v>
          </cell>
          <cell r="B438" t="str">
            <v>NAHVFH-16-2</v>
          </cell>
          <cell r="C438" t="str">
            <v>E005</v>
          </cell>
          <cell r="D438">
            <v>15</v>
          </cell>
          <cell r="E438" t="str">
            <v>บานพับกระทุ้งสี่แขน 16 นิ้ว VVP #FH-16 SS (ชุด)</v>
          </cell>
          <cell r="F438">
            <v>10</v>
          </cell>
          <cell r="G438">
            <v>265.60000000000002</v>
          </cell>
        </row>
        <row r="439">
          <cell r="A439" t="str">
            <v>E005080115H0001806</v>
          </cell>
          <cell r="B439" t="str">
            <v>NAHVFH-18-2</v>
          </cell>
          <cell r="C439" t="str">
            <v>E005</v>
          </cell>
          <cell r="D439">
            <v>15</v>
          </cell>
          <cell r="E439" t="str">
            <v>บานพับกระทุ้งสี่แขน 18 นิ้ว VVP #FH-18 SS (ชุด)</v>
          </cell>
          <cell r="F439">
            <v>18</v>
          </cell>
          <cell r="G439">
            <v>323.7</v>
          </cell>
        </row>
        <row r="440">
          <cell r="A440" t="str">
            <v>E005080115H0002007</v>
          </cell>
          <cell r="B440" t="str">
            <v>NAHVFH-20-2</v>
          </cell>
          <cell r="C440" t="str">
            <v>E005</v>
          </cell>
          <cell r="D440">
            <v>15</v>
          </cell>
          <cell r="E440" t="str">
            <v>บานพับกระทุ้งสี่แขน 20นิ้ว VVP #FH-20 SS (ชุด)</v>
          </cell>
          <cell r="F440">
            <v>70</v>
          </cell>
          <cell r="G440">
            <v>37.5</v>
          </cell>
        </row>
        <row r="441">
          <cell r="A441" t="str">
            <v>E005080115H0002408</v>
          </cell>
          <cell r="B441" t="str">
            <v>NAHVFH-24-2</v>
          </cell>
          <cell r="C441" t="str">
            <v>E005</v>
          </cell>
          <cell r="D441">
            <v>15</v>
          </cell>
          <cell r="E441" t="str">
            <v>บานพับกระทุ้งสี่แขน 24นิ้ว VVP #FH-24 SS (ชุด)</v>
          </cell>
          <cell r="F441">
            <v>0</v>
          </cell>
          <cell r="G441">
            <v>0</v>
          </cell>
        </row>
        <row r="442">
          <cell r="A442" t="str">
            <v>E00512000000000000</v>
          </cell>
          <cell r="B442" t="str">
            <v>NAN0000</v>
          </cell>
          <cell r="C442" t="str">
            <v>E005</v>
          </cell>
          <cell r="D442" t="str">
            <v>00</v>
          </cell>
          <cell r="E442" t="str">
            <v>ACC ALU ยี่ห้อ VVP (กลุ่ม)</v>
          </cell>
          <cell r="F442">
            <v>0</v>
          </cell>
          <cell r="G442">
            <v>0</v>
          </cell>
        </row>
        <row r="443">
          <cell r="A443" t="str">
            <v>E00513000000000000</v>
          </cell>
          <cell r="B443" t="str">
            <v>NGHV000</v>
          </cell>
          <cell r="C443" t="str">
            <v>E005</v>
          </cell>
          <cell r="D443" t="str">
            <v>00</v>
          </cell>
          <cell r="E443" t="str">
            <v>อุปกรณ์กระจก ยี่ห้อ VVP (กลุ่ม)</v>
          </cell>
          <cell r="F443">
            <v>26</v>
          </cell>
          <cell r="G443">
            <v>0</v>
          </cell>
        </row>
        <row r="444">
          <cell r="A444" t="str">
            <v>E005131100M0060900</v>
          </cell>
          <cell r="B444" t="str">
            <v>NGHVS-SBF906</v>
          </cell>
          <cell r="C444" t="str">
            <v>E005</v>
          </cell>
          <cell r="D444" t="str">
            <v>00</v>
          </cell>
          <cell r="E444" t="str">
            <v>ตัวยึดกระจกห้องน้ำกันแกว่ง VVP #SBF-906</v>
          </cell>
          <cell r="F444">
            <v>0</v>
          </cell>
          <cell r="G444">
            <v>0</v>
          </cell>
        </row>
        <row r="445">
          <cell r="A445" t="str">
            <v>E005131100M0090000</v>
          </cell>
          <cell r="B445" t="str">
            <v>NGHVS-SB900</v>
          </cell>
          <cell r="C445" t="str">
            <v>E005</v>
          </cell>
          <cell r="D445" t="str">
            <v>00</v>
          </cell>
          <cell r="E445" t="str">
            <v>ตัวยึดกระจกห้องน้ำกันแกว่ง VVP #SB-900</v>
          </cell>
          <cell r="F445">
            <v>0</v>
          </cell>
          <cell r="G445">
            <v>0</v>
          </cell>
        </row>
        <row r="446">
          <cell r="A446" t="str">
            <v>E005131100M0090100</v>
          </cell>
          <cell r="B446" t="str">
            <v>NGHVS-SB901</v>
          </cell>
          <cell r="C446" t="str">
            <v>E005</v>
          </cell>
          <cell r="D446" t="str">
            <v>00</v>
          </cell>
          <cell r="E446" t="str">
            <v>ตัวยึดกระจกห้องน้ำกันแกว่ง VVP #SB-901</v>
          </cell>
          <cell r="F446">
            <v>0</v>
          </cell>
          <cell r="G446">
            <v>0</v>
          </cell>
        </row>
        <row r="447">
          <cell r="A447" t="str">
            <v>E005131100M0090200</v>
          </cell>
          <cell r="B447" t="str">
            <v>NGHVS-SB902</v>
          </cell>
          <cell r="C447" t="str">
            <v>E005</v>
          </cell>
          <cell r="D447" t="str">
            <v>00</v>
          </cell>
          <cell r="E447" t="str">
            <v>ตัวยึดกระจกห้องน้ำกันแกว่ง VVP #SB-902</v>
          </cell>
          <cell r="F447">
            <v>2</v>
          </cell>
          <cell r="G447">
            <v>259.2</v>
          </cell>
        </row>
        <row r="448">
          <cell r="A448" t="str">
            <v>E005131100M0090300</v>
          </cell>
          <cell r="B448" t="str">
            <v>NGHVS-SBR903</v>
          </cell>
          <cell r="C448" t="str">
            <v>E005</v>
          </cell>
          <cell r="D448" t="str">
            <v>00</v>
          </cell>
          <cell r="E448" t="str">
            <v>ตัวยึดกระจกห้องน้ำกันแกว่ง VVP #SBR-903</v>
          </cell>
          <cell r="F448">
            <v>0</v>
          </cell>
          <cell r="G448">
            <v>0</v>
          </cell>
        </row>
        <row r="449">
          <cell r="A449" t="str">
            <v>E005131100M0090400</v>
          </cell>
          <cell r="B449" t="str">
            <v>NGHVS-SB904</v>
          </cell>
          <cell r="C449" t="str">
            <v>E005</v>
          </cell>
          <cell r="D449" t="str">
            <v>00</v>
          </cell>
          <cell r="E449" t="str">
            <v>ตัวยึดกระจกห้องน้ำกันแกว่ง VVP #SB-904</v>
          </cell>
          <cell r="F449">
            <v>0</v>
          </cell>
          <cell r="G449">
            <v>0</v>
          </cell>
        </row>
        <row r="450">
          <cell r="A450" t="str">
            <v>E005131100M0090500</v>
          </cell>
          <cell r="B450" t="str">
            <v>NGHVS-SER905</v>
          </cell>
          <cell r="C450" t="str">
            <v>E005</v>
          </cell>
          <cell r="D450" t="str">
            <v>00</v>
          </cell>
          <cell r="E450" t="str">
            <v>ตัวยึดกระจกห้องน้ำกันแกว่ง VVP #SER-905</v>
          </cell>
          <cell r="F450">
            <v>0</v>
          </cell>
          <cell r="G450">
            <v>0</v>
          </cell>
        </row>
        <row r="451">
          <cell r="A451" t="str">
            <v>E005131100M0090700</v>
          </cell>
          <cell r="B451" t="str">
            <v>NGHVS-SB907</v>
          </cell>
          <cell r="C451" t="str">
            <v>E005</v>
          </cell>
          <cell r="D451" t="str">
            <v>00</v>
          </cell>
          <cell r="E451" t="str">
            <v>ตัวยึดกระจกห้องน้ำกันแกว่ง VVP #SB-907</v>
          </cell>
          <cell r="F451">
            <v>0</v>
          </cell>
          <cell r="G451">
            <v>0</v>
          </cell>
        </row>
        <row r="452">
          <cell r="A452" t="str">
            <v>E005131114M0000100</v>
          </cell>
          <cell r="B452" t="str">
            <v>NGHVS-STAINLESSPIPE</v>
          </cell>
          <cell r="C452" t="str">
            <v>E005</v>
          </cell>
          <cell r="D452">
            <v>14</v>
          </cell>
          <cell r="E452" t="str">
            <v>ราวสแตนเลสแบบกลม 6 หุน (19 มม.) VVP</v>
          </cell>
          <cell r="F452">
            <v>0</v>
          </cell>
          <cell r="G452">
            <v>0</v>
          </cell>
        </row>
        <row r="453">
          <cell r="A453" t="str">
            <v>E005131114M0011000</v>
          </cell>
          <cell r="B453" t="str">
            <v>NGHVF-AT110</v>
          </cell>
          <cell r="C453" t="str">
            <v>E005</v>
          </cell>
          <cell r="D453">
            <v>14</v>
          </cell>
          <cell r="E453" t="str">
            <v>เดือยจุดหมุนบนชนิดปรับได้ VVP #AT-110</v>
          </cell>
          <cell r="F453">
            <v>7</v>
          </cell>
          <cell r="G453">
            <v>273.60000000000002</v>
          </cell>
        </row>
        <row r="454">
          <cell r="A454" t="str">
            <v>E005131114M0014000</v>
          </cell>
          <cell r="B454" t="str">
            <v>NGHVF-AT140</v>
          </cell>
          <cell r="C454" t="str">
            <v>E005</v>
          </cell>
          <cell r="D454">
            <v>14</v>
          </cell>
          <cell r="E454" t="str">
            <v>เดือยบนปรับไม่ได้ VVP #AT-140</v>
          </cell>
          <cell r="F454">
            <v>32</v>
          </cell>
          <cell r="G454">
            <v>75.599999999999994</v>
          </cell>
        </row>
        <row r="455">
          <cell r="A455" t="str">
            <v>E005131114M0014100</v>
          </cell>
          <cell r="B455" t="str">
            <v>NGHVF-AT141</v>
          </cell>
          <cell r="C455" t="str">
            <v>E005</v>
          </cell>
          <cell r="D455">
            <v>14</v>
          </cell>
          <cell r="E455" t="str">
            <v>เดือยบนปรับไม่ได้ VVP #AT-141</v>
          </cell>
          <cell r="F455">
            <v>33</v>
          </cell>
          <cell r="G455">
            <v>110.46</v>
          </cell>
        </row>
        <row r="456">
          <cell r="A456" t="str">
            <v>E005131114M0030300</v>
          </cell>
          <cell r="B456" t="str">
            <v>NGHVS-SW303</v>
          </cell>
          <cell r="C456" t="str">
            <v>E005</v>
          </cell>
          <cell r="D456">
            <v>14</v>
          </cell>
          <cell r="E456" t="str">
            <v>บานพับประตูกระจกห้องน้ำ VVP #SW-303 PS</v>
          </cell>
          <cell r="F456">
            <v>33</v>
          </cell>
          <cell r="G456">
            <v>720</v>
          </cell>
        </row>
        <row r="457">
          <cell r="A457" t="str">
            <v>E005131114M0030400</v>
          </cell>
          <cell r="B457" t="str">
            <v>NGHVS-SW304</v>
          </cell>
          <cell r="C457" t="str">
            <v>E005</v>
          </cell>
          <cell r="D457">
            <v>14</v>
          </cell>
          <cell r="E457" t="str">
            <v>บานพับประตูกระจกห้องน้ำ VVP #SW-304 PS</v>
          </cell>
          <cell r="F457">
            <v>21</v>
          </cell>
          <cell r="G457">
            <v>1450</v>
          </cell>
        </row>
        <row r="458">
          <cell r="A458" t="str">
            <v>E005131114M0043900</v>
          </cell>
          <cell r="B458" t="str">
            <v>NGHVS-SF439</v>
          </cell>
          <cell r="C458" t="str">
            <v>E005</v>
          </cell>
          <cell r="D458">
            <v>14</v>
          </cell>
          <cell r="E458" t="str">
            <v>ตัวหนีบกระจกห้องน้ำรุ่นใหญ่ VVP #SF-439</v>
          </cell>
          <cell r="F458">
            <v>0</v>
          </cell>
          <cell r="G458">
            <v>0</v>
          </cell>
        </row>
        <row r="459">
          <cell r="A459" t="str">
            <v>E005131114M0050100</v>
          </cell>
          <cell r="B459" t="str">
            <v>NGHVS-GC501</v>
          </cell>
          <cell r="C459" t="str">
            <v>E005</v>
          </cell>
          <cell r="D459">
            <v>14</v>
          </cell>
          <cell r="E459" t="str">
            <v>ตัวหนีบกระจกห้องน้ำรุ่นเล็ก VVP #GC-501 PS (ไม่เจาะ)</v>
          </cell>
          <cell r="F459">
            <v>2</v>
          </cell>
          <cell r="G459">
            <v>125</v>
          </cell>
        </row>
        <row r="460">
          <cell r="A460" t="str">
            <v>E005131114M0050200</v>
          </cell>
          <cell r="B460" t="str">
            <v>NGHVS-GC502</v>
          </cell>
          <cell r="C460" t="str">
            <v>E005</v>
          </cell>
          <cell r="D460">
            <v>14</v>
          </cell>
          <cell r="E460" t="str">
            <v>ตัวหนีบกระจกห้องน้ำรุ่นเล็ก VVP #GC-502 PS (เจาะ)</v>
          </cell>
          <cell r="F460">
            <v>5</v>
          </cell>
          <cell r="G460">
            <v>175</v>
          </cell>
        </row>
        <row r="461">
          <cell r="A461" t="str">
            <v>E005131114M0050600</v>
          </cell>
          <cell r="B461" t="str">
            <v>NGHVS-GC506</v>
          </cell>
          <cell r="C461" t="str">
            <v>E005</v>
          </cell>
          <cell r="D461">
            <v>14</v>
          </cell>
          <cell r="E461" t="str">
            <v>ตัวหนีบกระจกห้องน้ำรุ่นเล็ก VVP #GC-506 PS (ไม่เจาะ)</v>
          </cell>
          <cell r="F461">
            <v>56</v>
          </cell>
          <cell r="G461">
            <v>175</v>
          </cell>
        </row>
        <row r="462">
          <cell r="A462" t="str">
            <v>E005131114M1000000</v>
          </cell>
          <cell r="B462" t="str">
            <v>NGHVF-1002</v>
          </cell>
          <cell r="C462" t="str">
            <v>E005</v>
          </cell>
          <cell r="D462">
            <v>14</v>
          </cell>
          <cell r="E462" t="str">
            <v>ตัวหนีบล่าง VVP #FT-10 PS</v>
          </cell>
          <cell r="F462">
            <v>117</v>
          </cell>
          <cell r="G462">
            <v>409.75</v>
          </cell>
        </row>
        <row r="463">
          <cell r="A463" t="str">
            <v>E005131114M2000000</v>
          </cell>
          <cell r="B463" t="str">
            <v>NGHVF-2002</v>
          </cell>
          <cell r="C463" t="str">
            <v>E005</v>
          </cell>
          <cell r="D463">
            <v>14</v>
          </cell>
          <cell r="E463" t="str">
            <v>ตัวหนีบบน VVP #FT-20 PS</v>
          </cell>
          <cell r="F463">
            <v>100</v>
          </cell>
          <cell r="G463">
            <v>409.75</v>
          </cell>
        </row>
        <row r="464">
          <cell r="A464" t="str">
            <v>E005131114M2200000</v>
          </cell>
          <cell r="B464" t="str">
            <v>NGHVF-2202</v>
          </cell>
          <cell r="C464" t="str">
            <v>E005</v>
          </cell>
          <cell r="D464">
            <v>14</v>
          </cell>
          <cell r="E464" t="str">
            <v>ตัวหนีบโช้คบน VVP #FT-22 PS</v>
          </cell>
          <cell r="F464">
            <v>6</v>
          </cell>
          <cell r="G464">
            <v>563.75</v>
          </cell>
        </row>
        <row r="465">
          <cell r="A465" t="str">
            <v>E005131114M3000000</v>
          </cell>
          <cell r="B465" t="str">
            <v>NGHVF-3002</v>
          </cell>
          <cell r="C465" t="str">
            <v>E005</v>
          </cell>
          <cell r="D465">
            <v>14</v>
          </cell>
          <cell r="E465" t="str">
            <v>ตัวหนีบช่องแสงบน VVP #FT-30 PS</v>
          </cell>
          <cell r="F465">
            <v>23</v>
          </cell>
          <cell r="G465">
            <v>440</v>
          </cell>
        </row>
        <row r="466">
          <cell r="A466" t="str">
            <v>E005131114M4000000</v>
          </cell>
          <cell r="B466" t="str">
            <v>NGHVF-4002</v>
          </cell>
          <cell r="C466" t="str">
            <v>E005</v>
          </cell>
          <cell r="D466">
            <v>14</v>
          </cell>
          <cell r="E466" t="str">
            <v>ตัวหนีบช่องแสงบนและข้าง VVP #FT-40 PS</v>
          </cell>
          <cell r="F466">
            <v>36</v>
          </cell>
          <cell r="G466">
            <v>816.75</v>
          </cell>
        </row>
        <row r="467">
          <cell r="A467" t="str">
            <v>E005131114M4200000</v>
          </cell>
          <cell r="B467" t="str">
            <v>NGHVF-4202</v>
          </cell>
          <cell r="C467" t="str">
            <v>E005</v>
          </cell>
          <cell r="D467">
            <v>14</v>
          </cell>
          <cell r="E467" t="str">
            <v>ตัวหนีบช่องแสงบนและข้างเล็ก VVP # FT-42 PS</v>
          </cell>
          <cell r="F467">
            <v>10</v>
          </cell>
          <cell r="G467">
            <v>440</v>
          </cell>
        </row>
        <row r="468">
          <cell r="A468" t="str">
            <v>E005131114M5000000</v>
          </cell>
          <cell r="B468" t="str">
            <v>NGHVF-5002</v>
          </cell>
          <cell r="C468" t="str">
            <v>E005</v>
          </cell>
          <cell r="D468">
            <v>14</v>
          </cell>
          <cell r="E468" t="str">
            <v>กุญแจล็อคประตูกับพื้นสีสแตนเลส VVP #FL-50 PS</v>
          </cell>
          <cell r="F468">
            <v>125</v>
          </cell>
          <cell r="G468">
            <v>990</v>
          </cell>
        </row>
        <row r="469">
          <cell r="A469" t="str">
            <v>E005131115M0017000</v>
          </cell>
          <cell r="B469" t="str">
            <v>NAHVAT170</v>
          </cell>
          <cell r="C469" t="str">
            <v>E005</v>
          </cell>
          <cell r="D469">
            <v>15</v>
          </cell>
          <cell r="E469" t="str">
            <v>แขนโช้คฝังพื้น VVP #AT-170</v>
          </cell>
          <cell r="F469">
            <v>0</v>
          </cell>
          <cell r="G469">
            <v>0</v>
          </cell>
        </row>
        <row r="470">
          <cell r="A470" t="str">
            <v>E005131200M1000000</v>
          </cell>
          <cell r="B470" t="str">
            <v>NGHVS-PS10</v>
          </cell>
          <cell r="C470" t="str">
            <v>E005</v>
          </cell>
          <cell r="D470" t="str">
            <v>00</v>
          </cell>
          <cell r="E470" t="str">
            <v>ยางกันน้ำ POLYCARBONATE SEAL 10</v>
          </cell>
          <cell r="F470">
            <v>0</v>
          </cell>
          <cell r="G470">
            <v>0</v>
          </cell>
        </row>
        <row r="471">
          <cell r="A471" t="str">
            <v>E005131200M1100000</v>
          </cell>
          <cell r="B471" t="str">
            <v>NGHVS-PS11</v>
          </cell>
          <cell r="C471" t="str">
            <v>E005</v>
          </cell>
          <cell r="D471" t="str">
            <v>00</v>
          </cell>
          <cell r="E471" t="str">
            <v>ยางกันน้ำ POLYCARBONATE SEAL 11</v>
          </cell>
          <cell r="F471">
            <v>9</v>
          </cell>
          <cell r="G471">
            <v>200</v>
          </cell>
        </row>
        <row r="472">
          <cell r="A472" t="str">
            <v>E005131200M1200001</v>
          </cell>
          <cell r="B472" t="str">
            <v>NGHVS-PS12A</v>
          </cell>
          <cell r="C472" t="str">
            <v>E005</v>
          </cell>
          <cell r="D472" t="str">
            <v>00</v>
          </cell>
          <cell r="E472" t="str">
            <v>ยางกันน้ำ POLYCARBONATE SEAL 12A</v>
          </cell>
          <cell r="F472">
            <v>10</v>
          </cell>
          <cell r="G472">
            <v>200</v>
          </cell>
        </row>
        <row r="473">
          <cell r="A473" t="str">
            <v>E005131200M1200002</v>
          </cell>
          <cell r="B473" t="str">
            <v>NGHVS-PS12B</v>
          </cell>
          <cell r="C473" t="str">
            <v>E005</v>
          </cell>
          <cell r="D473" t="str">
            <v>00</v>
          </cell>
          <cell r="E473" t="str">
            <v>ยางกันน้ำ POLYCARBONATE SEAL 12B</v>
          </cell>
          <cell r="F473">
            <v>0</v>
          </cell>
          <cell r="G473">
            <v>0</v>
          </cell>
        </row>
        <row r="474">
          <cell r="A474" t="str">
            <v>E005131200M1400000</v>
          </cell>
          <cell r="B474" t="str">
            <v>NGHVS-PS14</v>
          </cell>
          <cell r="C474" t="str">
            <v>E005</v>
          </cell>
          <cell r="D474" t="str">
            <v>00</v>
          </cell>
          <cell r="E474" t="str">
            <v>ยางกันน้ำ POLYCARBONATE SEAL 14</v>
          </cell>
          <cell r="F474">
            <v>14</v>
          </cell>
          <cell r="G474">
            <v>200</v>
          </cell>
        </row>
        <row r="475">
          <cell r="A475" t="str">
            <v>E006020300B0800100</v>
          </cell>
          <cell r="B475" t="str">
            <v/>
          </cell>
          <cell r="C475" t="str">
            <v>E006</v>
          </cell>
          <cell r="D475" t="str">
            <v>00</v>
          </cell>
          <cell r="E475" t="str">
            <v>โช๊คอัพบานสวิง 1V No.800  ZEKER ( Z-300 )</v>
          </cell>
          <cell r="F475">
            <v>0</v>
          </cell>
          <cell r="G475">
            <v>730</v>
          </cell>
        </row>
        <row r="476">
          <cell r="A476" t="str">
            <v>E006020300B0800200</v>
          </cell>
          <cell r="B476" t="str">
            <v/>
          </cell>
          <cell r="C476" t="str">
            <v>E006</v>
          </cell>
          <cell r="D476" t="str">
            <v>00</v>
          </cell>
          <cell r="E476" t="str">
            <v>โช้คอัพบานสวิง 2V No.800  ZEKER ( Z-100 )</v>
          </cell>
          <cell r="F476">
            <v>8</v>
          </cell>
          <cell r="G476">
            <v>735</v>
          </cell>
        </row>
        <row r="477">
          <cell r="A477" t="str">
            <v>E006020300B1000100</v>
          </cell>
          <cell r="B477" t="str">
            <v>NAN0000-0802150</v>
          </cell>
          <cell r="C477" t="str">
            <v>E006</v>
          </cell>
          <cell r="D477" t="str">
            <v>00</v>
          </cell>
          <cell r="E477" t="str">
            <v>โช้คอัพบานสวิง 1V No.1000  ZEKER ( Z-300 )</v>
          </cell>
          <cell r="F477">
            <v>463</v>
          </cell>
          <cell r="G477">
            <v>730</v>
          </cell>
        </row>
        <row r="478">
          <cell r="A478" t="str">
            <v>E006020300B1000200</v>
          </cell>
          <cell r="B478" t="str">
            <v>NAN0000-0802170</v>
          </cell>
          <cell r="C478" t="str">
            <v>E006</v>
          </cell>
          <cell r="D478" t="str">
            <v>00</v>
          </cell>
          <cell r="E478" t="str">
            <v>โช้คอัพบานสวิง 2V No.1000  ZEKER ( Z-100 )</v>
          </cell>
          <cell r="F478">
            <v>561</v>
          </cell>
          <cell r="G478">
            <v>735</v>
          </cell>
        </row>
        <row r="479">
          <cell r="A479" t="str">
            <v>E006020300B1200100</v>
          </cell>
          <cell r="B479" t="str">
            <v>NAN0000-0802200</v>
          </cell>
          <cell r="C479" t="str">
            <v>E006</v>
          </cell>
          <cell r="D479" t="str">
            <v>00</v>
          </cell>
          <cell r="E479" t="str">
            <v>โช้คอัพบานสวิง 1V No.1200  ZEKER ( Z-300 )</v>
          </cell>
          <cell r="F479">
            <v>5</v>
          </cell>
          <cell r="G479">
            <v>730</v>
          </cell>
        </row>
        <row r="480">
          <cell r="A480" t="str">
            <v>E006020300B1200200</v>
          </cell>
          <cell r="B480" t="str">
            <v/>
          </cell>
          <cell r="C480" t="str">
            <v>E006</v>
          </cell>
          <cell r="D480" t="str">
            <v>00</v>
          </cell>
          <cell r="E480" t="str">
            <v>โช้คอัพบานสวิง 2V No.1200  ZEKER ( Z-100 )</v>
          </cell>
          <cell r="F480">
            <v>0</v>
          </cell>
          <cell r="G480">
            <v>735</v>
          </cell>
        </row>
        <row r="481">
          <cell r="A481" t="str">
            <v>E006030800C0010400</v>
          </cell>
          <cell r="B481" t="str">
            <v>NAHVZRL-401</v>
          </cell>
          <cell r="C481" t="str">
            <v>E006</v>
          </cell>
          <cell r="D481" t="str">
            <v>00</v>
          </cell>
          <cell r="E481" t="str">
            <v>ลูกล้อรางแขวน 4 ล้อ ZEKER #RL-401</v>
          </cell>
          <cell r="F481">
            <v>80</v>
          </cell>
          <cell r="G481">
            <v>80</v>
          </cell>
        </row>
        <row r="482">
          <cell r="A482" t="str">
            <v>E007020300B1000100</v>
          </cell>
          <cell r="B482" t="str">
            <v>NAN0000-0808150</v>
          </cell>
          <cell r="C482" t="str">
            <v>E007</v>
          </cell>
          <cell r="D482" t="str">
            <v>00</v>
          </cell>
          <cell r="E482" t="str">
            <v>โช้คอัพบานสวิง 1V No.1000  DORMA #RTS65</v>
          </cell>
          <cell r="F482">
            <v>3</v>
          </cell>
          <cell r="G482">
            <v>801.87</v>
          </cell>
        </row>
        <row r="483">
          <cell r="A483" t="str">
            <v>E008010903A2601701</v>
          </cell>
          <cell r="B483" t="str">
            <v>NAN0004-0123000</v>
          </cell>
          <cell r="C483" t="str">
            <v>E008</v>
          </cell>
          <cell r="D483" t="str">
            <v>03</v>
          </cell>
          <cell r="E483" t="str">
            <v>ยางอัดหน้าต่าง สีดำ PS</v>
          </cell>
          <cell r="F483">
            <v>60</v>
          </cell>
          <cell r="G483">
            <v>37</v>
          </cell>
        </row>
        <row r="484">
          <cell r="A484" t="str">
            <v>E008060202F1200000</v>
          </cell>
          <cell r="B484" t="str">
            <v>NAN0002-0109000</v>
          </cell>
          <cell r="C484" t="str">
            <v>E008</v>
          </cell>
          <cell r="D484" t="str">
            <v>02</v>
          </cell>
          <cell r="E484" t="str">
            <v>ยางกันชนกลมยาว 2 นิ้ว สีชา</v>
          </cell>
          <cell r="F484">
            <v>30</v>
          </cell>
          <cell r="G484">
            <v>1.95</v>
          </cell>
        </row>
        <row r="485">
          <cell r="A485" t="str">
            <v>E008060202F2150000</v>
          </cell>
          <cell r="B485" t="str">
            <v>NAN0002-0108000</v>
          </cell>
          <cell r="C485" t="str">
            <v>E008</v>
          </cell>
          <cell r="D485" t="str">
            <v>02</v>
          </cell>
          <cell r="E485" t="str">
            <v>ยางกันชนกลมสั้น 1-1/2 นิ้ว สีชา</v>
          </cell>
          <cell r="F485">
            <v>553</v>
          </cell>
          <cell r="G485">
            <v>1.4</v>
          </cell>
        </row>
        <row r="486">
          <cell r="A486" t="str">
            <v>E008060202F3100000</v>
          </cell>
          <cell r="B486" t="str">
            <v>NAN0002-0110000</v>
          </cell>
          <cell r="C486" t="str">
            <v>E008</v>
          </cell>
          <cell r="D486" t="str">
            <v>02</v>
          </cell>
          <cell r="E486" t="str">
            <v>ยางกันชนเหลี่ยม 1 นิ้ว สีชา</v>
          </cell>
          <cell r="F486">
            <v>502</v>
          </cell>
          <cell r="G486">
            <v>1.4</v>
          </cell>
        </row>
        <row r="487">
          <cell r="A487" t="str">
            <v>E008060202F5000000</v>
          </cell>
          <cell r="B487" t="str">
            <v>NAN0002-0119000</v>
          </cell>
          <cell r="C487" t="str">
            <v>E008</v>
          </cell>
          <cell r="D487" t="str">
            <v>02</v>
          </cell>
          <cell r="E487" t="str">
            <v>ยางล็อคเสาเกี่ยว สีชา</v>
          </cell>
          <cell r="F487">
            <v>23</v>
          </cell>
          <cell r="G487">
            <v>2.9</v>
          </cell>
        </row>
        <row r="488">
          <cell r="A488" t="str">
            <v>E008060202F6000000</v>
          </cell>
          <cell r="B488" t="str">
            <v>NAN0002-0115000</v>
          </cell>
          <cell r="C488" t="str">
            <v>E008</v>
          </cell>
          <cell r="D488" t="str">
            <v>02</v>
          </cell>
          <cell r="E488" t="str">
            <v>ยางอุดรูบานเลื่อน สีชา</v>
          </cell>
          <cell r="F488">
            <v>5600</v>
          </cell>
          <cell r="G488">
            <v>0.2</v>
          </cell>
        </row>
        <row r="489">
          <cell r="A489" t="str">
            <v>E008060203F1200000</v>
          </cell>
          <cell r="B489" t="str">
            <v>NAN0004-0109000</v>
          </cell>
          <cell r="C489" t="str">
            <v>E008</v>
          </cell>
          <cell r="D489" t="str">
            <v>03</v>
          </cell>
          <cell r="E489" t="str">
            <v>ยางกันชนกลมยาว 2 นิ้ว สีดำ</v>
          </cell>
          <cell r="F489">
            <v>2544</v>
          </cell>
          <cell r="G489">
            <v>1.95</v>
          </cell>
        </row>
        <row r="490">
          <cell r="A490" t="str">
            <v>E008060203F2150000</v>
          </cell>
          <cell r="B490" t="str">
            <v>NAN0004-0108000</v>
          </cell>
          <cell r="C490" t="str">
            <v>E008</v>
          </cell>
          <cell r="D490" t="str">
            <v>03</v>
          </cell>
          <cell r="E490" t="str">
            <v>ยางกันชนกลมสั้น 1-1/2 นิ้ว สีดำ</v>
          </cell>
          <cell r="F490">
            <v>10270</v>
          </cell>
          <cell r="G490">
            <v>1.4</v>
          </cell>
        </row>
        <row r="491">
          <cell r="A491" t="str">
            <v>E008060203F3100000</v>
          </cell>
          <cell r="B491" t="str">
            <v>NAN0004-0110000</v>
          </cell>
          <cell r="C491" t="str">
            <v>E008</v>
          </cell>
          <cell r="D491" t="str">
            <v>03</v>
          </cell>
          <cell r="E491" t="str">
            <v>ยางกันชนเหลี่ยม 1 นิ้ว สีดำ</v>
          </cell>
          <cell r="F491">
            <v>16804</v>
          </cell>
          <cell r="G491">
            <v>1.4</v>
          </cell>
        </row>
        <row r="492">
          <cell r="A492" t="str">
            <v>E008060203F5000000</v>
          </cell>
          <cell r="B492" t="str">
            <v>NAN0004-0119000</v>
          </cell>
          <cell r="C492" t="str">
            <v>E008</v>
          </cell>
          <cell r="D492" t="str">
            <v>03</v>
          </cell>
          <cell r="E492" t="str">
            <v>ยางล็อคเสาเกี่ยว สีดำ</v>
          </cell>
          <cell r="F492">
            <v>3219</v>
          </cell>
          <cell r="G492">
            <v>2.9</v>
          </cell>
        </row>
        <row r="493">
          <cell r="A493" t="str">
            <v>E008060203F6000000</v>
          </cell>
          <cell r="B493" t="str">
            <v>NAN0004-0115000</v>
          </cell>
          <cell r="C493" t="str">
            <v>E008</v>
          </cell>
          <cell r="D493" t="str">
            <v>03</v>
          </cell>
          <cell r="E493" t="str">
            <v>ยางอุดรูบานเลื่อน สีดำ</v>
          </cell>
          <cell r="F493">
            <v>60920</v>
          </cell>
          <cell r="G493">
            <v>0.2</v>
          </cell>
        </row>
        <row r="494">
          <cell r="A494" t="str">
            <v>E008060204F1200000</v>
          </cell>
          <cell r="B494" t="str">
            <v>NAN0011-0109000</v>
          </cell>
          <cell r="C494" t="str">
            <v>E008</v>
          </cell>
          <cell r="D494" t="str">
            <v>04</v>
          </cell>
          <cell r="E494" t="str">
            <v>ยางกันชนกลมยาว 2 นิ้ว สีอบขาว</v>
          </cell>
          <cell r="F494">
            <v>814</v>
          </cell>
          <cell r="G494">
            <v>2.4</v>
          </cell>
        </row>
        <row r="495">
          <cell r="A495" t="str">
            <v>E008060204F2150000</v>
          </cell>
          <cell r="B495" t="str">
            <v>NAN0011-0108000</v>
          </cell>
          <cell r="C495" t="str">
            <v>E008</v>
          </cell>
          <cell r="D495" t="str">
            <v>04</v>
          </cell>
          <cell r="E495" t="str">
            <v>ยางกันชนกลมสั้น 1-1/2 นิ้ว สีอบขาว</v>
          </cell>
          <cell r="F495">
            <v>4498</v>
          </cell>
          <cell r="G495">
            <v>1.9</v>
          </cell>
        </row>
        <row r="496">
          <cell r="A496" t="str">
            <v>E008060204F3100000</v>
          </cell>
          <cell r="B496" t="str">
            <v>NAN0011-0110000</v>
          </cell>
          <cell r="C496" t="str">
            <v>E008</v>
          </cell>
          <cell r="D496" t="str">
            <v>04</v>
          </cell>
          <cell r="E496" t="str">
            <v>ยางกันชนเหลี่ยม 1 นิ้ว สีอบขาว</v>
          </cell>
          <cell r="F496">
            <v>4744</v>
          </cell>
          <cell r="G496">
            <v>1.9</v>
          </cell>
        </row>
        <row r="497">
          <cell r="A497" t="str">
            <v>E008060204F5000000</v>
          </cell>
          <cell r="B497" t="str">
            <v>NAN0011-0119000</v>
          </cell>
          <cell r="C497" t="str">
            <v>E008</v>
          </cell>
          <cell r="D497" t="str">
            <v>04</v>
          </cell>
          <cell r="E497" t="str">
            <v>ยางล็อคเสาเกี่ยว สีอบขาว</v>
          </cell>
          <cell r="F497">
            <v>1771</v>
          </cell>
          <cell r="G497">
            <v>2.9</v>
          </cell>
        </row>
        <row r="498">
          <cell r="A498" t="str">
            <v>E008060204F6000000</v>
          </cell>
          <cell r="B498" t="str">
            <v>NAN0011-0115000</v>
          </cell>
          <cell r="C498" t="str">
            <v>E008</v>
          </cell>
          <cell r="D498" t="str">
            <v>04</v>
          </cell>
          <cell r="E498" t="str">
            <v>ยางอุดรูบานเลื่อน สีอบขาว</v>
          </cell>
          <cell r="F498">
            <v>54500</v>
          </cell>
          <cell r="G498">
            <v>0.21</v>
          </cell>
        </row>
        <row r="499">
          <cell r="A499" t="str">
            <v>E008060205F1200000</v>
          </cell>
          <cell r="B499" t="str">
            <v>NAN0006-0109000</v>
          </cell>
          <cell r="C499" t="str">
            <v>E008</v>
          </cell>
          <cell r="D499" t="str">
            <v>05</v>
          </cell>
          <cell r="E499" t="str">
            <v>ยางกันชนกลมยาว 2 นิ้ว สีเทา</v>
          </cell>
          <cell r="F499">
            <v>185</v>
          </cell>
          <cell r="G499">
            <v>1.95</v>
          </cell>
        </row>
        <row r="500">
          <cell r="A500" t="str">
            <v>E008060205F2150000</v>
          </cell>
          <cell r="B500" t="str">
            <v>NAN0006-0108000</v>
          </cell>
          <cell r="C500" t="str">
            <v>E008</v>
          </cell>
          <cell r="D500" t="str">
            <v>05</v>
          </cell>
          <cell r="E500" t="str">
            <v>ยางกันชนกลมสั้น 1-1/2 นิ้ว สีเทา</v>
          </cell>
          <cell r="F500">
            <v>549</v>
          </cell>
          <cell r="G500">
            <v>1.4</v>
          </cell>
        </row>
        <row r="501">
          <cell r="A501" t="str">
            <v>E008060205F3100000</v>
          </cell>
          <cell r="B501" t="str">
            <v>NAN0006-0110000</v>
          </cell>
          <cell r="C501" t="str">
            <v>E008</v>
          </cell>
          <cell r="D501" t="str">
            <v>05</v>
          </cell>
          <cell r="E501" t="str">
            <v>ยางกันชนเหลี่ยม 1 นิ้ว สีเทา</v>
          </cell>
          <cell r="F501">
            <v>716</v>
          </cell>
          <cell r="G501">
            <v>1.4</v>
          </cell>
        </row>
        <row r="502">
          <cell r="A502" t="str">
            <v>E008060205F5000000</v>
          </cell>
          <cell r="B502" t="str">
            <v>NAN0006-0119000</v>
          </cell>
          <cell r="C502" t="str">
            <v>E008</v>
          </cell>
          <cell r="D502" t="str">
            <v>05</v>
          </cell>
          <cell r="E502" t="str">
            <v>ยางล็อคเสาเกี่ยว สีเทา</v>
          </cell>
          <cell r="F502">
            <v>90</v>
          </cell>
          <cell r="G502">
            <v>2.9</v>
          </cell>
        </row>
        <row r="503">
          <cell r="A503" t="str">
            <v>E008060205F6000000</v>
          </cell>
          <cell r="B503" t="str">
            <v>NAN0006-0115000</v>
          </cell>
          <cell r="C503" t="str">
            <v>E008</v>
          </cell>
          <cell r="D503" t="str">
            <v>05</v>
          </cell>
          <cell r="E503" t="str">
            <v>ยางอุดรูบานเลื่อน สีเทา</v>
          </cell>
          <cell r="F503">
            <v>5480</v>
          </cell>
          <cell r="G503">
            <v>0.2</v>
          </cell>
        </row>
        <row r="504">
          <cell r="A504" t="str">
            <v>E00901000000000000</v>
          </cell>
          <cell r="B504" t="str">
            <v>NAN0000</v>
          </cell>
          <cell r="C504" t="str">
            <v>E009</v>
          </cell>
          <cell r="D504" t="str">
            <v>00</v>
          </cell>
          <cell r="E504" t="str">
            <v>ยางยี่ห้อ SMP (กลุ่ม)</v>
          </cell>
          <cell r="F504">
            <v>0</v>
          </cell>
          <cell r="G504">
            <v>0</v>
          </cell>
        </row>
        <row r="505">
          <cell r="A505" t="str">
            <v>E009010003A0302201</v>
          </cell>
          <cell r="B505" t="str">
            <v>NAN0004-0153003</v>
          </cell>
          <cell r="C505" t="str">
            <v>E009</v>
          </cell>
          <cell r="D505" t="str">
            <v>03</v>
          </cell>
          <cell r="E505" t="str">
            <v>ยางลูกศรอัดตู้ 03 สีดำ SMP</v>
          </cell>
          <cell r="F505">
            <v>0</v>
          </cell>
          <cell r="G505">
            <v>0</v>
          </cell>
        </row>
        <row r="506">
          <cell r="A506" t="str">
            <v>E009010003A0402501</v>
          </cell>
          <cell r="B506" t="str">
            <v>NAN0004-0154000</v>
          </cell>
          <cell r="C506" t="str">
            <v>E009</v>
          </cell>
          <cell r="D506" t="str">
            <v>03</v>
          </cell>
          <cell r="E506" t="str">
            <v>ยางเดิน 04 สีดำ SMP</v>
          </cell>
          <cell r="F506">
            <v>2521</v>
          </cell>
          <cell r="G506">
            <v>73.5</v>
          </cell>
        </row>
        <row r="507">
          <cell r="A507" t="str">
            <v>E009010003A0502501</v>
          </cell>
          <cell r="B507" t="str">
            <v>NAN0004-0155000</v>
          </cell>
          <cell r="C507" t="str">
            <v>E009</v>
          </cell>
          <cell r="D507" t="str">
            <v>03</v>
          </cell>
          <cell r="E507" t="str">
            <v>ยางอัดใหญ่ 05 สีดำ SMP</v>
          </cell>
          <cell r="F507">
            <v>2020</v>
          </cell>
          <cell r="G507">
            <v>68.599999999999994</v>
          </cell>
        </row>
        <row r="508">
          <cell r="A508" t="str">
            <v>E009010003A0602501</v>
          </cell>
          <cell r="B508" t="str">
            <v>NAN0004-0156000</v>
          </cell>
          <cell r="C508" t="str">
            <v>E009</v>
          </cell>
          <cell r="D508" t="str">
            <v>03</v>
          </cell>
          <cell r="E508" t="str">
            <v>ยางอัดเล็ก 06 สีดำ SMP</v>
          </cell>
          <cell r="F508">
            <v>1645</v>
          </cell>
          <cell r="G508">
            <v>53.9</v>
          </cell>
        </row>
        <row r="509">
          <cell r="A509" t="str">
            <v>E009010003A1302201</v>
          </cell>
          <cell r="B509" t="str">
            <v>NAN0004-0164000</v>
          </cell>
          <cell r="C509" t="str">
            <v>E009</v>
          </cell>
          <cell r="D509" t="str">
            <v>03</v>
          </cell>
          <cell r="E509" t="str">
            <v>ยางอัดจิ๋ว 13 สีดำ SMP</v>
          </cell>
          <cell r="F509">
            <v>456</v>
          </cell>
          <cell r="G509">
            <v>49</v>
          </cell>
        </row>
        <row r="510">
          <cell r="A510" t="str">
            <v>E009010003A1502501</v>
          </cell>
          <cell r="B510" t="str">
            <v>NAN0004-0166000</v>
          </cell>
          <cell r="C510" t="str">
            <v>E009</v>
          </cell>
          <cell r="D510" t="str">
            <v>03</v>
          </cell>
          <cell r="E510" t="str">
            <v>ยางอัดใหญ่ 1.25 หุน สีดำ SMP</v>
          </cell>
          <cell r="F510">
            <v>396</v>
          </cell>
          <cell r="G510">
            <v>98</v>
          </cell>
        </row>
        <row r="511">
          <cell r="A511" t="str">
            <v>E009010004A0402501</v>
          </cell>
          <cell r="B511" t="str">
            <v>NAN0011-0154000</v>
          </cell>
          <cell r="C511" t="str">
            <v>E009</v>
          </cell>
          <cell r="D511" t="str">
            <v>04</v>
          </cell>
          <cell r="E511" t="str">
            <v>ยางเดิน 04 สีอบขาว SMP</v>
          </cell>
          <cell r="F511">
            <v>0</v>
          </cell>
          <cell r="G511">
            <v>79.5</v>
          </cell>
        </row>
        <row r="512">
          <cell r="A512" t="str">
            <v>E009010005A0602501</v>
          </cell>
          <cell r="B512" t="str">
            <v>NAN0006-0156000</v>
          </cell>
          <cell r="C512" t="str">
            <v>E009</v>
          </cell>
          <cell r="D512" t="str">
            <v>05</v>
          </cell>
          <cell r="E512" t="str">
            <v>ยางอัดเล็ก 06 สีเทา SMP</v>
          </cell>
          <cell r="F512">
            <v>4</v>
          </cell>
          <cell r="G512">
            <v>53.9</v>
          </cell>
        </row>
        <row r="513">
          <cell r="A513" t="str">
            <v>E009010203A0102501</v>
          </cell>
          <cell r="B513" t="str">
            <v>NAN0004-0151000</v>
          </cell>
          <cell r="C513" t="str">
            <v>E009</v>
          </cell>
          <cell r="D513" t="str">
            <v>03</v>
          </cell>
          <cell r="E513" t="str">
            <v>ยางบานเลื่อน 2 หุน 01 สีดำ SMP</v>
          </cell>
          <cell r="F513">
            <v>1746</v>
          </cell>
          <cell r="G513">
            <v>78.400000000000006</v>
          </cell>
        </row>
        <row r="514">
          <cell r="A514" t="str">
            <v>E009010203A0105001</v>
          </cell>
          <cell r="B514" t="str">
            <v/>
          </cell>
          <cell r="C514" t="str">
            <v>E009</v>
          </cell>
          <cell r="D514" t="str">
            <v>03</v>
          </cell>
          <cell r="E514" t="str">
            <v>ยางบานเลื่อน 2 หุน 01 สีดำ SMP (50 ม.)</v>
          </cell>
          <cell r="F514">
            <v>0</v>
          </cell>
          <cell r="G514">
            <v>0</v>
          </cell>
        </row>
        <row r="515">
          <cell r="A515" t="str">
            <v>E009010203A0202501</v>
          </cell>
          <cell r="B515" t="str">
            <v>NAN0004-0152000</v>
          </cell>
          <cell r="C515" t="str">
            <v>E009</v>
          </cell>
          <cell r="D515" t="str">
            <v>03</v>
          </cell>
          <cell r="E515" t="str">
            <v>ยางบานเลื่อน 1 1/2 หุน 02 สีดำ SMP</v>
          </cell>
          <cell r="F515">
            <v>2168</v>
          </cell>
          <cell r="G515">
            <v>78.400000000000006</v>
          </cell>
        </row>
        <row r="516">
          <cell r="A516" t="str">
            <v>E009010203A0205001</v>
          </cell>
          <cell r="B516" t="str">
            <v>NAN0004-0152050</v>
          </cell>
          <cell r="C516" t="str">
            <v>E009</v>
          </cell>
          <cell r="D516" t="str">
            <v>03</v>
          </cell>
          <cell r="E516" t="str">
            <v>ยางบานเลื่อน 1 1/2 หุน 02 สีดำ SMP (50 ม.)</v>
          </cell>
          <cell r="F516">
            <v>0</v>
          </cell>
          <cell r="G516">
            <v>0</v>
          </cell>
        </row>
        <row r="517">
          <cell r="A517" t="str">
            <v>E009010203A0210001</v>
          </cell>
          <cell r="B517" t="str">
            <v>NAN0004-0152100</v>
          </cell>
          <cell r="C517" t="str">
            <v>E009</v>
          </cell>
          <cell r="D517" t="str">
            <v>03</v>
          </cell>
          <cell r="E517" t="str">
            <v>ยางบานเลื่อน 1 1/2 หุน 02 สีดำ SMP (100 ม.)</v>
          </cell>
          <cell r="F517">
            <v>0</v>
          </cell>
          <cell r="G517">
            <v>0</v>
          </cell>
        </row>
        <row r="518">
          <cell r="A518" t="str">
            <v>E009010204A0102501</v>
          </cell>
          <cell r="B518" t="str">
            <v>NAN0011-0151000</v>
          </cell>
          <cell r="C518" t="str">
            <v>E009</v>
          </cell>
          <cell r="D518" t="str">
            <v>04</v>
          </cell>
          <cell r="E518" t="str">
            <v>ยางบานเลื่อน 2 หุน 01 สีอบขาว SMP</v>
          </cell>
          <cell r="F518">
            <v>0</v>
          </cell>
          <cell r="G518">
            <v>0</v>
          </cell>
        </row>
        <row r="519">
          <cell r="A519" t="str">
            <v>E009010205A0205001</v>
          </cell>
          <cell r="B519" t="str">
            <v>NAN0006-0152050</v>
          </cell>
          <cell r="C519" t="str">
            <v>E009</v>
          </cell>
          <cell r="D519" t="str">
            <v>05</v>
          </cell>
          <cell r="E519" t="str">
            <v>ยางบานเลื่อน 1 1/2 หุน 02 สีเทา SMP (50 ม.)</v>
          </cell>
          <cell r="F519">
            <v>0</v>
          </cell>
          <cell r="G519">
            <v>0</v>
          </cell>
        </row>
        <row r="520">
          <cell r="A520" t="str">
            <v>E009010603A1202501</v>
          </cell>
          <cell r="B520" t="str">
            <v>NAN0004-0167000</v>
          </cell>
          <cell r="C520" t="str">
            <v>E009</v>
          </cell>
          <cell r="D520" t="str">
            <v>03</v>
          </cell>
          <cell r="E520" t="str">
            <v>ยางอัดลูกโป่ง 12 สีดำ SMP</v>
          </cell>
          <cell r="F520">
            <v>1188</v>
          </cell>
          <cell r="G520">
            <v>61.25</v>
          </cell>
        </row>
        <row r="521">
          <cell r="A521" t="str">
            <v>E009010903A0702501</v>
          </cell>
          <cell r="B521" t="str">
            <v>NAN0004-0157000</v>
          </cell>
          <cell r="C521" t="str">
            <v>E009</v>
          </cell>
          <cell r="D521" t="str">
            <v>03</v>
          </cell>
          <cell r="E521" t="str">
            <v>ยางอัดมุ้งไฟเบอร์ 07 สีดำ SMP</v>
          </cell>
          <cell r="F521">
            <v>917</v>
          </cell>
          <cell r="G521">
            <v>24.5</v>
          </cell>
        </row>
        <row r="522">
          <cell r="A522" t="str">
            <v>E009010903A1001301</v>
          </cell>
          <cell r="B522" t="str">
            <v>NAN0004-0161000</v>
          </cell>
          <cell r="C522" t="str">
            <v>E009</v>
          </cell>
          <cell r="D522" t="str">
            <v>03</v>
          </cell>
          <cell r="E522" t="str">
            <v>ยางกันยุง 10 สีดำ SMP</v>
          </cell>
          <cell r="F522">
            <v>888</v>
          </cell>
          <cell r="G522">
            <v>61.25</v>
          </cell>
        </row>
        <row r="523">
          <cell r="A523" t="str">
            <v>E009010904A0702501</v>
          </cell>
          <cell r="B523" t="str">
            <v>NAN0011-0157000</v>
          </cell>
          <cell r="C523" t="str">
            <v>E009</v>
          </cell>
          <cell r="D523" t="str">
            <v>04</v>
          </cell>
          <cell r="E523" t="str">
            <v>ยางอัดมุ้งไฟเบอร์ 07 สีอบขาว SMP</v>
          </cell>
          <cell r="F523">
            <v>0</v>
          </cell>
          <cell r="G523">
            <v>26.5</v>
          </cell>
        </row>
        <row r="524">
          <cell r="A524" t="str">
            <v>E009010904A1001301</v>
          </cell>
          <cell r="B524" t="str">
            <v>NAN0011-0161000</v>
          </cell>
          <cell r="C524" t="str">
            <v>E009</v>
          </cell>
          <cell r="D524" t="str">
            <v>04</v>
          </cell>
          <cell r="E524" t="str">
            <v>ยางกันยุง 10 สีอบขาว SMP</v>
          </cell>
          <cell r="F524">
            <v>0</v>
          </cell>
          <cell r="G524">
            <v>66.25</v>
          </cell>
        </row>
        <row r="525">
          <cell r="A525" t="str">
            <v>E009010905A0702501</v>
          </cell>
          <cell r="B525" t="str">
            <v>NAN0006-0157000</v>
          </cell>
          <cell r="C525" t="str">
            <v>E009</v>
          </cell>
          <cell r="D525" t="str">
            <v>05</v>
          </cell>
          <cell r="E525" t="str">
            <v>ยางอัดมุ้งไฟเบอร์ 07 สีเทา SMP</v>
          </cell>
          <cell r="F525">
            <v>0</v>
          </cell>
          <cell r="G525">
            <v>24.5</v>
          </cell>
        </row>
        <row r="526">
          <cell r="A526" t="str">
            <v>E009010905A1001301</v>
          </cell>
          <cell r="B526" t="str">
            <v>NAN0006-0161000</v>
          </cell>
          <cell r="C526" t="str">
            <v>E009</v>
          </cell>
          <cell r="D526" t="str">
            <v>05</v>
          </cell>
          <cell r="E526" t="str">
            <v>ยางกันยุง 10 สีเทา SMP</v>
          </cell>
          <cell r="F526">
            <v>0</v>
          </cell>
          <cell r="G526">
            <v>61.25</v>
          </cell>
        </row>
        <row r="527">
          <cell r="A527" t="str">
            <v>E009010907A2601801</v>
          </cell>
          <cell r="B527" t="str">
            <v>NAN0004-0153000</v>
          </cell>
          <cell r="C527" t="str">
            <v>E009</v>
          </cell>
          <cell r="D527" t="str">
            <v>07</v>
          </cell>
          <cell r="E527" t="str">
            <v>ยางอัดหน้าต่าง เทา/ดำ SMP-4026</v>
          </cell>
          <cell r="F527">
            <v>788</v>
          </cell>
          <cell r="G527">
            <v>22.5</v>
          </cell>
        </row>
        <row r="528">
          <cell r="A528" t="str">
            <v>E009010909A2601801</v>
          </cell>
          <cell r="B528" t="str">
            <v>NAN0002-0153000</v>
          </cell>
          <cell r="C528" t="str">
            <v>E009</v>
          </cell>
          <cell r="D528" t="str">
            <v>09</v>
          </cell>
          <cell r="E528" t="str">
            <v>ยางอัดหน้าต่าง ชา/ดำ SMP-4026</v>
          </cell>
          <cell r="F528">
            <v>202</v>
          </cell>
          <cell r="G528">
            <v>22.5</v>
          </cell>
        </row>
        <row r="529">
          <cell r="A529" t="str">
            <v>E010010003A0402501</v>
          </cell>
          <cell r="B529" t="str">
            <v>NAN0004-0170040</v>
          </cell>
          <cell r="C529" t="str">
            <v>E010</v>
          </cell>
          <cell r="D529" t="str">
            <v>03</v>
          </cell>
          <cell r="E529" t="str">
            <v>ยางเดิน 04 สีดำ SPP</v>
          </cell>
          <cell r="F529">
            <v>796</v>
          </cell>
          <cell r="G529">
            <v>58.878500000000003</v>
          </cell>
        </row>
        <row r="530">
          <cell r="A530" t="str">
            <v>E010010003A0502501</v>
          </cell>
          <cell r="B530" t="str">
            <v>NAN0004-0170050</v>
          </cell>
          <cell r="C530" t="str">
            <v>E010</v>
          </cell>
          <cell r="D530" t="str">
            <v>03</v>
          </cell>
          <cell r="E530" t="str">
            <v>ยางอัดใหญ่ 05 สีดำ SPP</v>
          </cell>
          <cell r="F530">
            <v>634</v>
          </cell>
          <cell r="G530">
            <v>54.953299999999999</v>
          </cell>
        </row>
        <row r="531">
          <cell r="A531" t="str">
            <v>E010010003A0602301</v>
          </cell>
          <cell r="B531" t="str">
            <v>NAN0004-0170060</v>
          </cell>
          <cell r="C531" t="str">
            <v>E010</v>
          </cell>
          <cell r="D531" t="str">
            <v>03</v>
          </cell>
          <cell r="E531" t="str">
            <v>ยางอัดเล็ก 06 สีดำ SPP</v>
          </cell>
          <cell r="F531">
            <v>795</v>
          </cell>
          <cell r="G531">
            <v>43.177599999999998</v>
          </cell>
        </row>
        <row r="532">
          <cell r="A532" t="str">
            <v>E010010003A1302101</v>
          </cell>
          <cell r="B532" t="str">
            <v>NAN0004-0170130</v>
          </cell>
          <cell r="C532" t="str">
            <v>E010</v>
          </cell>
          <cell r="D532" t="str">
            <v>03</v>
          </cell>
          <cell r="E532" t="str">
            <v>ยางอัดจิ๋ว 13  สีดำ  SPP</v>
          </cell>
          <cell r="F532">
            <v>140</v>
          </cell>
          <cell r="G532">
            <v>39.25</v>
          </cell>
        </row>
        <row r="533">
          <cell r="A533" t="str">
            <v>E010010003A1502301</v>
          </cell>
          <cell r="B533" t="str">
            <v>NAN0004-0170150</v>
          </cell>
          <cell r="C533" t="str">
            <v>E010</v>
          </cell>
          <cell r="D533" t="str">
            <v>03</v>
          </cell>
          <cell r="E533" t="str">
            <v>ยางอัดยักษ์ 1.25 หุน 15 สีดำ SPP</v>
          </cell>
          <cell r="F533">
            <v>75</v>
          </cell>
          <cell r="G533">
            <v>78.5</v>
          </cell>
        </row>
        <row r="534">
          <cell r="A534" t="str">
            <v>E010010203A0102501</v>
          </cell>
          <cell r="B534" t="str">
            <v>NAN0004-0170010</v>
          </cell>
          <cell r="C534" t="str">
            <v>E010</v>
          </cell>
          <cell r="D534" t="str">
            <v>03</v>
          </cell>
          <cell r="E534" t="str">
            <v>ยางบานเลื่อน 2 หุน 01 สีดำ SPP</v>
          </cell>
          <cell r="F534">
            <v>453</v>
          </cell>
          <cell r="G534">
            <v>62.8</v>
          </cell>
        </row>
        <row r="535">
          <cell r="A535" t="str">
            <v>E010010203A0202501</v>
          </cell>
          <cell r="B535" t="str">
            <v>NAN0004-0170020</v>
          </cell>
          <cell r="C535" t="str">
            <v>E010</v>
          </cell>
          <cell r="D535" t="str">
            <v>03</v>
          </cell>
          <cell r="E535" t="str">
            <v>ยางบานเลื่อน 1 1/2 หุน 02 สีดำ SPP</v>
          </cell>
          <cell r="F535">
            <v>519</v>
          </cell>
          <cell r="G535">
            <v>62.8</v>
          </cell>
        </row>
        <row r="536">
          <cell r="A536" t="str">
            <v>E010010603A1202601</v>
          </cell>
          <cell r="B536" t="str">
            <v>NAN0004-0170120</v>
          </cell>
          <cell r="C536" t="str">
            <v>E010</v>
          </cell>
          <cell r="D536" t="str">
            <v>03</v>
          </cell>
          <cell r="E536" t="str">
            <v>ยางลูกโป่งฐานนิ่ม 12  สีดำ SPP</v>
          </cell>
          <cell r="F536">
            <v>74</v>
          </cell>
          <cell r="G536">
            <v>49.07</v>
          </cell>
        </row>
        <row r="537">
          <cell r="A537" t="str">
            <v>E010010603Z1202501</v>
          </cell>
          <cell r="B537" t="str">
            <v>NAN0004-0170125</v>
          </cell>
          <cell r="C537" t="str">
            <v>E010</v>
          </cell>
          <cell r="D537" t="str">
            <v>03</v>
          </cell>
          <cell r="E537" t="str">
            <v>ยางอัดลูกโป่งฐานแข็ง #12 (ปีกขาว) สีดำ SPP</v>
          </cell>
          <cell r="F537">
            <v>32</v>
          </cell>
          <cell r="G537">
            <v>70.989999999999995</v>
          </cell>
        </row>
        <row r="538">
          <cell r="A538" t="str">
            <v>E010010903A0702601</v>
          </cell>
          <cell r="B538" t="str">
            <v>NAN0004-0170070</v>
          </cell>
          <cell r="C538" t="str">
            <v>E010</v>
          </cell>
          <cell r="D538" t="str">
            <v>03</v>
          </cell>
          <cell r="E538" t="str">
            <v>ยางอัดมุ้ง-เล็ก 07 สีดำ SPP</v>
          </cell>
          <cell r="F538">
            <v>171</v>
          </cell>
          <cell r="G538">
            <v>19.63</v>
          </cell>
        </row>
        <row r="539">
          <cell r="A539" t="str">
            <v>E010010903A1001301</v>
          </cell>
          <cell r="B539" t="str">
            <v>NAN0004-0170100</v>
          </cell>
          <cell r="C539" t="str">
            <v>E010</v>
          </cell>
          <cell r="D539" t="str">
            <v>03</v>
          </cell>
          <cell r="E539" t="str">
            <v>ยางกันยุง 10 สีดำ SPP</v>
          </cell>
          <cell r="F539">
            <v>236</v>
          </cell>
          <cell r="G539">
            <v>49.27</v>
          </cell>
        </row>
        <row r="540">
          <cell r="A540" t="str">
            <v>E010010903A2601801</v>
          </cell>
          <cell r="B540" t="str">
            <v/>
          </cell>
          <cell r="C540" t="str">
            <v>E010</v>
          </cell>
          <cell r="D540" t="str">
            <v>03</v>
          </cell>
          <cell r="E540" t="str">
            <v>ยางอัดหน้าต่าง เทา/ดำ SPP</v>
          </cell>
          <cell r="F540">
            <v>0</v>
          </cell>
          <cell r="G540">
            <v>29</v>
          </cell>
        </row>
        <row r="541">
          <cell r="A541" t="str">
            <v>E010050201E0100000</v>
          </cell>
          <cell r="B541" t="str">
            <v>NAN0001-0384000</v>
          </cell>
          <cell r="C541" t="str">
            <v>E010</v>
          </cell>
          <cell r="D541" t="str">
            <v>01</v>
          </cell>
          <cell r="E541" t="str">
            <v>กุญแจเกี่ยวลูกบิด สีขาวอลู SPP</v>
          </cell>
          <cell r="F541">
            <v>72</v>
          </cell>
          <cell r="G541">
            <v>126.17</v>
          </cell>
        </row>
        <row r="542">
          <cell r="A542" t="str">
            <v>E010050202E0100000</v>
          </cell>
          <cell r="B542" t="str">
            <v>NAN0002-0384000</v>
          </cell>
          <cell r="C542" t="str">
            <v>E010</v>
          </cell>
          <cell r="D542" t="str">
            <v>02</v>
          </cell>
          <cell r="E542" t="str">
            <v>กุญแจเกี่ยวลูกบิด สีชา SPP</v>
          </cell>
          <cell r="F542">
            <v>123</v>
          </cell>
          <cell r="G542">
            <v>126.17</v>
          </cell>
        </row>
        <row r="543">
          <cell r="A543" t="str">
            <v>E010050203E0100000</v>
          </cell>
          <cell r="B543" t="str">
            <v>NAN0004-0384000</v>
          </cell>
          <cell r="C543" t="str">
            <v>E010</v>
          </cell>
          <cell r="D543" t="str">
            <v>03</v>
          </cell>
          <cell r="E543" t="str">
            <v>กุญแจเกี่ยวลูกบิด สีดำ SPP</v>
          </cell>
          <cell r="F543">
            <v>213</v>
          </cell>
          <cell r="G543">
            <v>126.17</v>
          </cell>
        </row>
        <row r="544">
          <cell r="A544" t="str">
            <v>E010050204E0100000</v>
          </cell>
          <cell r="B544" t="str">
            <v>NAN0011-0384000</v>
          </cell>
          <cell r="C544" t="str">
            <v>E010</v>
          </cell>
          <cell r="D544" t="str">
            <v>04</v>
          </cell>
          <cell r="E544" t="str">
            <v>กุญแจเกี่ยวลูกบิด สีอบขาว SPP</v>
          </cell>
          <cell r="F544">
            <v>88</v>
          </cell>
          <cell r="G544">
            <v>126.17</v>
          </cell>
        </row>
        <row r="545">
          <cell r="A545" t="str">
            <v>E010050301E0000200</v>
          </cell>
          <cell r="B545" t="str">
            <v>NAN0001-0345000</v>
          </cell>
          <cell r="C545" t="str">
            <v>E010</v>
          </cell>
          <cell r="D545" t="str">
            <v>01</v>
          </cell>
          <cell r="E545" t="str">
            <v>กลอนประตูสวิง สีขาวอลู SPP</v>
          </cell>
          <cell r="F545">
            <v>256</v>
          </cell>
          <cell r="G545">
            <v>39.25</v>
          </cell>
        </row>
        <row r="546">
          <cell r="A546" t="str">
            <v>E010050301E0200000</v>
          </cell>
          <cell r="B546" t="str">
            <v>NAN0001-0382000</v>
          </cell>
          <cell r="C546" t="str">
            <v>E010</v>
          </cell>
          <cell r="D546" t="str">
            <v>01</v>
          </cell>
          <cell r="E546" t="str">
            <v>กุญแจสวิงลูกบิด สีขาวอลู SPP</v>
          </cell>
          <cell r="F546">
            <v>51</v>
          </cell>
          <cell r="G546">
            <v>126.17</v>
          </cell>
        </row>
        <row r="547">
          <cell r="A547" t="str">
            <v>E010050302E0000200</v>
          </cell>
          <cell r="B547" t="str">
            <v>NAN0002-0345000</v>
          </cell>
          <cell r="C547" t="str">
            <v>E010</v>
          </cell>
          <cell r="D547" t="str">
            <v>02</v>
          </cell>
          <cell r="E547" t="str">
            <v>กลอนประตูสวิง สีชา SPP</v>
          </cell>
          <cell r="F547">
            <v>129</v>
          </cell>
          <cell r="G547">
            <v>39.25</v>
          </cell>
        </row>
        <row r="548">
          <cell r="A548" t="str">
            <v>E010050302E0200000</v>
          </cell>
          <cell r="B548" t="str">
            <v>NAN0002-0382000</v>
          </cell>
          <cell r="C548" t="str">
            <v>E010</v>
          </cell>
          <cell r="D548" t="str">
            <v>02</v>
          </cell>
          <cell r="E548" t="str">
            <v>กุญแจสวิงลูกบิด สีชา SPP</v>
          </cell>
          <cell r="F548">
            <v>73</v>
          </cell>
          <cell r="G548">
            <v>126.17</v>
          </cell>
        </row>
        <row r="549">
          <cell r="A549" t="str">
            <v>E010050303E0000200</v>
          </cell>
          <cell r="B549" t="str">
            <v>NAN0004-0345000</v>
          </cell>
          <cell r="C549" t="str">
            <v>E010</v>
          </cell>
          <cell r="D549" t="str">
            <v>03</v>
          </cell>
          <cell r="E549" t="str">
            <v>กลอนประตูสวิง สีดำ SPP</v>
          </cell>
          <cell r="F549">
            <v>630</v>
          </cell>
          <cell r="G549">
            <v>39.25</v>
          </cell>
        </row>
        <row r="550">
          <cell r="A550" t="str">
            <v>E010050303E0200000</v>
          </cell>
          <cell r="B550" t="str">
            <v>NAN0004-0382000</v>
          </cell>
          <cell r="C550" t="str">
            <v>E010</v>
          </cell>
          <cell r="D550" t="str">
            <v>03</v>
          </cell>
          <cell r="E550" t="str">
            <v>กุญแจสวิงลูกบิด สีดำ SPP</v>
          </cell>
          <cell r="F550">
            <v>303</v>
          </cell>
          <cell r="G550">
            <v>126.17</v>
          </cell>
        </row>
        <row r="551">
          <cell r="A551" t="str">
            <v>E010050304E0000200</v>
          </cell>
          <cell r="B551" t="str">
            <v>NAN0011-0345000</v>
          </cell>
          <cell r="C551" t="str">
            <v>E010</v>
          </cell>
          <cell r="D551" t="str">
            <v>04</v>
          </cell>
          <cell r="E551" t="str">
            <v>กลอนประตูสวิง สีอบขาว SPP</v>
          </cell>
          <cell r="F551">
            <v>243</v>
          </cell>
          <cell r="G551">
            <v>39.25</v>
          </cell>
        </row>
        <row r="552">
          <cell r="A552" t="str">
            <v>E010050304E0200000</v>
          </cell>
          <cell r="B552" t="str">
            <v>NAN0011-0382000</v>
          </cell>
          <cell r="C552" t="str">
            <v>E010</v>
          </cell>
          <cell r="D552" t="str">
            <v>04</v>
          </cell>
          <cell r="E552" t="str">
            <v>กุญแจสวิงลูกบิด สีอบขาว SPP</v>
          </cell>
          <cell r="F552">
            <v>178</v>
          </cell>
          <cell r="G552">
            <v>126.17</v>
          </cell>
        </row>
        <row r="553">
          <cell r="A553" t="str">
            <v>E010090900I9000000</v>
          </cell>
          <cell r="B553" t="str">
            <v>NAN0000-1013000</v>
          </cell>
          <cell r="C553" t="str">
            <v>E010</v>
          </cell>
          <cell r="D553" t="str">
            <v>00</v>
          </cell>
          <cell r="E553" t="str">
            <v>ฉากข้อต่อมุ้ง SPP</v>
          </cell>
          <cell r="F553">
            <v>2210</v>
          </cell>
          <cell r="G553">
            <v>4.67</v>
          </cell>
        </row>
        <row r="554">
          <cell r="A554" t="str">
            <v>E011010907A2601801</v>
          </cell>
          <cell r="B554" t="str">
            <v>NAN0006-0103000</v>
          </cell>
          <cell r="C554" t="str">
            <v>E011</v>
          </cell>
          <cell r="D554" t="str">
            <v>07</v>
          </cell>
          <cell r="E554" t="str">
            <v>ยางอัดหน้าต่าง เทา/ดำ (ตราช้าง)</v>
          </cell>
          <cell r="F554">
            <v>878</v>
          </cell>
          <cell r="G554">
            <v>31</v>
          </cell>
        </row>
        <row r="555">
          <cell r="A555" t="str">
            <v>E011010909A2601801</v>
          </cell>
          <cell r="B555" t="str">
            <v>NAN0002-0103000</v>
          </cell>
          <cell r="C555" t="str">
            <v>E011</v>
          </cell>
          <cell r="D555" t="str">
            <v>09</v>
          </cell>
          <cell r="E555" t="str">
            <v>ยางอัดหน้าต่าง ชา/ดำ (ตราช้าง)</v>
          </cell>
          <cell r="F555">
            <v>418</v>
          </cell>
          <cell r="G555">
            <v>31</v>
          </cell>
        </row>
        <row r="556">
          <cell r="A556" t="str">
            <v>E012010907A2601801</v>
          </cell>
          <cell r="B556" t="str">
            <v>NAN0006-0103100</v>
          </cell>
          <cell r="C556" t="str">
            <v>E012</v>
          </cell>
          <cell r="D556" t="str">
            <v>07</v>
          </cell>
          <cell r="E556" t="str">
            <v>ยางอัดหน้าต่าง เทา/ดำ (ตราหมี)</v>
          </cell>
          <cell r="F556">
            <v>135</v>
          </cell>
          <cell r="G556">
            <v>39</v>
          </cell>
        </row>
        <row r="557">
          <cell r="A557" t="str">
            <v>E012010909A2601801</v>
          </cell>
          <cell r="B557" t="str">
            <v>NAN0002-0103100</v>
          </cell>
          <cell r="C557" t="str">
            <v>E012</v>
          </cell>
          <cell r="D557" t="str">
            <v>09</v>
          </cell>
          <cell r="E557" t="str">
            <v>ยางอัดหน้าต่าง ชา/ดำ (ตราหมี)</v>
          </cell>
          <cell r="F557">
            <v>55</v>
          </cell>
          <cell r="G557">
            <v>39</v>
          </cell>
        </row>
        <row r="558">
          <cell r="A558" t="str">
            <v>E01301000000000000</v>
          </cell>
          <cell r="B558" t="str">
            <v>NAN0000</v>
          </cell>
          <cell r="C558" t="str">
            <v>E013</v>
          </cell>
          <cell r="D558" t="str">
            <v>00</v>
          </cell>
          <cell r="E558" t="str">
            <v>ยางยี่ห้อ SPC (กลุ่ม)</v>
          </cell>
          <cell r="F558">
            <v>0</v>
          </cell>
          <cell r="G558">
            <v>0</v>
          </cell>
        </row>
        <row r="559">
          <cell r="A559" t="str">
            <v>E013010103A0005000</v>
          </cell>
          <cell r="B559" t="str">
            <v>NAN0004-0141050</v>
          </cell>
          <cell r="C559" t="str">
            <v>E013</v>
          </cell>
          <cell r="D559" t="str">
            <v>03</v>
          </cell>
          <cell r="E559" t="str">
            <v>ยางปีศาจ สีดำ MWS ยาว 50 เมตร/ม้วน</v>
          </cell>
          <cell r="F559">
            <v>0</v>
          </cell>
          <cell r="G559">
            <v>0</v>
          </cell>
        </row>
        <row r="560">
          <cell r="A560" t="str">
            <v>E013010103A1805000</v>
          </cell>
          <cell r="B560" t="str">
            <v/>
          </cell>
          <cell r="C560" t="str">
            <v>E013</v>
          </cell>
          <cell r="D560" t="str">
            <v>03</v>
          </cell>
          <cell r="E560" t="str">
            <v>ยางกด 18 อรหันต์ (ยูโร และยูเนี่ยน) สีดำ 50เมตร/ม้วน</v>
          </cell>
          <cell r="F560">
            <v>5</v>
          </cell>
          <cell r="G560">
            <v>0</v>
          </cell>
        </row>
        <row r="561">
          <cell r="A561" t="str">
            <v>E014030000C0000100</v>
          </cell>
          <cell r="B561" t="str">
            <v>NAN0000-0716000</v>
          </cell>
          <cell r="C561" t="str">
            <v>E014</v>
          </cell>
          <cell r="D561" t="str">
            <v>00</v>
          </cell>
          <cell r="E561" t="str">
            <v>ลูกล้อลูกปืนรางหนีบ GETON (บานเลื่อนล้อตู้)</v>
          </cell>
          <cell r="F561">
            <v>10</v>
          </cell>
          <cell r="G561">
            <v>18.05</v>
          </cell>
        </row>
        <row r="562">
          <cell r="A562" t="str">
            <v>E014030210C0010100</v>
          </cell>
          <cell r="B562" t="str">
            <v>NAN0000-0710444</v>
          </cell>
          <cell r="C562" t="str">
            <v>E014</v>
          </cell>
          <cell r="D562">
            <v>10</v>
          </cell>
          <cell r="E562" t="str">
            <v>ลูกล้อบานเลื่อนเดี่ยว (เขียว) GETON (รับนน. 30Kg.)</v>
          </cell>
          <cell r="F562">
            <v>13269</v>
          </cell>
          <cell r="G562">
            <v>18.100000000000001</v>
          </cell>
        </row>
        <row r="563">
          <cell r="A563" t="str">
            <v>E014030211C0010100</v>
          </cell>
          <cell r="B563" t="str">
            <v>NAN0000-0710333</v>
          </cell>
          <cell r="C563" t="str">
            <v>E014</v>
          </cell>
          <cell r="D563">
            <v>11</v>
          </cell>
          <cell r="E563" t="str">
            <v>ลูกล้อบานเลื่อนเดี่ยว (แดง) GETON (รับนน. 50Kg.)</v>
          </cell>
          <cell r="F563">
            <v>9187</v>
          </cell>
          <cell r="G563">
            <v>26.65</v>
          </cell>
        </row>
        <row r="564">
          <cell r="A564" t="str">
            <v>E014030211C0010200</v>
          </cell>
          <cell r="B564" t="str">
            <v>NAN0000-0711000</v>
          </cell>
          <cell r="C564" t="str">
            <v>E014</v>
          </cell>
          <cell r="D564">
            <v>11</v>
          </cell>
          <cell r="E564" t="str">
            <v>ลูกล้อบานเลื่อนคู่ GETON (รับนน. 70Kg.)</v>
          </cell>
          <cell r="F564">
            <v>5111</v>
          </cell>
          <cell r="G564">
            <v>18.100000000000001</v>
          </cell>
        </row>
        <row r="565">
          <cell r="A565" t="str">
            <v>E014030212C0010100</v>
          </cell>
          <cell r="B565" t="str">
            <v>NAN0000-0710222</v>
          </cell>
          <cell r="C565" t="str">
            <v>E014</v>
          </cell>
          <cell r="D565">
            <v>12</v>
          </cell>
          <cell r="E565" t="str">
            <v>ลูกล้อบานเลื่อนเดี่ยว (น้ำเงิน) GETON (รับนน. 25Kg.)</v>
          </cell>
          <cell r="F565">
            <v>65</v>
          </cell>
          <cell r="G565">
            <v>15.73</v>
          </cell>
        </row>
        <row r="566">
          <cell r="A566" t="str">
            <v>E014030800C0010100</v>
          </cell>
          <cell r="B566" t="str">
            <v>NAN0000-0713000</v>
          </cell>
          <cell r="C566" t="str">
            <v>E014</v>
          </cell>
          <cell r="D566" t="str">
            <v>00</v>
          </cell>
          <cell r="E566" t="str">
            <v>ลูกล้อไกด์ GETON (กันแกว่งรางแขวน)</v>
          </cell>
          <cell r="F566">
            <v>218</v>
          </cell>
          <cell r="G566">
            <v>16.68</v>
          </cell>
        </row>
        <row r="567">
          <cell r="A567" t="str">
            <v>E014030800C0010400</v>
          </cell>
          <cell r="B567" t="str">
            <v>NAN0000-0712000</v>
          </cell>
          <cell r="C567" t="str">
            <v>E014</v>
          </cell>
          <cell r="D567" t="str">
            <v>00</v>
          </cell>
          <cell r="E567" t="str">
            <v>ลูกล้อรางแขวน 4 ล้อ (เดี่ยว) GETON (รับนน. 80Kg.)</v>
          </cell>
          <cell r="F567">
            <v>2436</v>
          </cell>
          <cell r="G567">
            <v>108.35</v>
          </cell>
        </row>
        <row r="568">
          <cell r="A568" t="str">
            <v>E014030900C0000100</v>
          </cell>
          <cell r="B568" t="str">
            <v>NAN0000-0714000</v>
          </cell>
          <cell r="C568" t="str">
            <v>E014</v>
          </cell>
          <cell r="D568" t="str">
            <v>00</v>
          </cell>
          <cell r="E568" t="str">
            <v>ลูกล้อมุ้งพลาสติก GETON</v>
          </cell>
          <cell r="F568">
            <v>4697</v>
          </cell>
          <cell r="G568">
            <v>8.6</v>
          </cell>
        </row>
        <row r="569">
          <cell r="A569" t="str">
            <v>E014030900C0010100</v>
          </cell>
          <cell r="B569" t="str">
            <v>NAN0000-0715000</v>
          </cell>
          <cell r="C569" t="str">
            <v>E014</v>
          </cell>
          <cell r="D569" t="str">
            <v>00</v>
          </cell>
          <cell r="E569" t="str">
            <v>ลูกล้อมุ้งเหล็ก GETON</v>
          </cell>
          <cell r="F569">
            <v>0</v>
          </cell>
          <cell r="G569">
            <v>0</v>
          </cell>
        </row>
        <row r="570">
          <cell r="A570" t="str">
            <v>E014090900I5000000</v>
          </cell>
          <cell r="B570" t="str">
            <v>NAN0000-0502000</v>
          </cell>
          <cell r="C570" t="str">
            <v>E014</v>
          </cell>
          <cell r="D570" t="str">
            <v>00</v>
          </cell>
          <cell r="E570" t="str">
            <v>ลูกกลิ้งอัดมุ้ง GETON</v>
          </cell>
          <cell r="F570">
            <v>168</v>
          </cell>
          <cell r="G570">
            <v>43</v>
          </cell>
        </row>
        <row r="571">
          <cell r="A571" t="str">
            <v>E01502000000000000</v>
          </cell>
          <cell r="B571" t="str">
            <v>NAN0000</v>
          </cell>
          <cell r="C571" t="str">
            <v>E015</v>
          </cell>
          <cell r="D571" t="str">
            <v>00</v>
          </cell>
          <cell r="E571" t="str">
            <v>โช้ค ยี่ห้อ HOYA (กลุ่ม)</v>
          </cell>
          <cell r="F571">
            <v>1</v>
          </cell>
          <cell r="G571">
            <v>0</v>
          </cell>
        </row>
        <row r="572">
          <cell r="A572" t="str">
            <v>E015020201B0100000</v>
          </cell>
          <cell r="B572" t="str">
            <v>NAN0001-0806100</v>
          </cell>
          <cell r="C572" t="str">
            <v>E015</v>
          </cell>
          <cell r="D572" t="str">
            <v>01</v>
          </cell>
          <cell r="E572" t="str">
            <v>โช้คอัพบานเลื่อนรางแขวน สีขาวอลู ขนาด 100 ซม. HOYA</v>
          </cell>
          <cell r="F572">
            <v>5</v>
          </cell>
          <cell r="G572">
            <v>913.55</v>
          </cell>
        </row>
        <row r="573">
          <cell r="A573" t="str">
            <v>E015020201B0120000</v>
          </cell>
          <cell r="B573" t="str">
            <v>NAN0001-0806120</v>
          </cell>
          <cell r="C573" t="str">
            <v>E015</v>
          </cell>
          <cell r="D573" t="str">
            <v>01</v>
          </cell>
          <cell r="E573" t="str">
            <v>โช้คอัพบานเลื่อนรางแขวน สีขาวอลู ขนาด 120 ซม. HOYA</v>
          </cell>
          <cell r="F573">
            <v>10</v>
          </cell>
          <cell r="G573">
            <v>1183.6400000000001</v>
          </cell>
        </row>
        <row r="574">
          <cell r="A574" t="str">
            <v>E015020201B0150000</v>
          </cell>
          <cell r="B574" t="e">
            <v>#N/A</v>
          </cell>
          <cell r="C574" t="str">
            <v>E015</v>
          </cell>
          <cell r="D574" t="e">
            <v>#N/A</v>
          </cell>
          <cell r="E574" t="str">
            <v>โช้คอัพบานเลื่อนรางแขวน สีขาวอลู ขนาด 150 ซม. HOYA</v>
          </cell>
          <cell r="F574">
            <v>0</v>
          </cell>
          <cell r="G574">
            <v>1493.46</v>
          </cell>
        </row>
        <row r="575">
          <cell r="A575" t="str">
            <v>E015020202B0100000</v>
          </cell>
          <cell r="B575" t="str">
            <v>NAN0002-0806100</v>
          </cell>
          <cell r="C575" t="str">
            <v>E015</v>
          </cell>
          <cell r="D575" t="str">
            <v>02</v>
          </cell>
          <cell r="E575" t="str">
            <v>โช้คอัพบานเลื่อนรางแขวน สีชา ขนาด 100 ซม. HOYA</v>
          </cell>
          <cell r="F575">
            <v>4</v>
          </cell>
          <cell r="G575">
            <v>934.38</v>
          </cell>
        </row>
        <row r="576">
          <cell r="A576" t="str">
            <v>E015020202B0120000</v>
          </cell>
          <cell r="B576" t="str">
            <v>NAN0002-0806120</v>
          </cell>
          <cell r="C576" t="str">
            <v>E015</v>
          </cell>
          <cell r="D576" t="str">
            <v>02</v>
          </cell>
          <cell r="E576" t="str">
            <v>โช้คอัพบานเลื่อนรางแขวน สีชา ขนาด 120ซม. HOYA</v>
          </cell>
          <cell r="F576">
            <v>1</v>
          </cell>
          <cell r="G576">
            <v>1207.48</v>
          </cell>
        </row>
        <row r="577">
          <cell r="A577" t="str">
            <v>E015030900C0030100</v>
          </cell>
          <cell r="B577" t="str">
            <v>NAN0000-0764000</v>
          </cell>
          <cell r="C577" t="str">
            <v>E015</v>
          </cell>
          <cell r="D577" t="str">
            <v>00</v>
          </cell>
          <cell r="E577" t="str">
            <v xml:space="preserve">ลูกล้อมุ้งพลาสติก (มีลูกปืน) HOYA </v>
          </cell>
          <cell r="F577">
            <v>915</v>
          </cell>
          <cell r="G577">
            <v>6.07</v>
          </cell>
        </row>
        <row r="578">
          <cell r="A578" t="str">
            <v>E015040303D3010200</v>
          </cell>
          <cell r="B578" t="str">
            <v/>
          </cell>
          <cell r="C578" t="str">
            <v>E015</v>
          </cell>
          <cell r="D578" t="str">
            <v>03</v>
          </cell>
          <cell r="E578" t="str">
            <v>มือจับสแตนเลส HOYA รุ่น 102 สีพ่นดำ ขนาด 305*25*75</v>
          </cell>
          <cell r="F578">
            <v>15</v>
          </cell>
          <cell r="G578">
            <v>70.930000000000007</v>
          </cell>
        </row>
        <row r="579">
          <cell r="A579" t="str">
            <v>E015040314D3010100</v>
          </cell>
          <cell r="B579" t="str">
            <v>NAN0000-0269101</v>
          </cell>
          <cell r="C579" t="str">
            <v>E015</v>
          </cell>
          <cell r="D579">
            <v>14</v>
          </cell>
          <cell r="E579" t="str">
            <v>มือจับสแตนเลส HOYA รุ่น 101 PS ขนาด 305x25x75</v>
          </cell>
          <cell r="F579">
            <v>17</v>
          </cell>
          <cell r="G579">
            <v>67.849999999999994</v>
          </cell>
        </row>
        <row r="580">
          <cell r="A580" t="str">
            <v>E015040801D8000000</v>
          </cell>
          <cell r="B580" t="str">
            <v>NAN0001-0207000</v>
          </cell>
          <cell r="C580" t="str">
            <v>E015</v>
          </cell>
          <cell r="D580" t="str">
            <v>01</v>
          </cell>
          <cell r="E580" t="str">
            <v>มือจับรางแขวน สีขาวอลู (คู่) HOYA</v>
          </cell>
          <cell r="F580">
            <v>114</v>
          </cell>
          <cell r="G580">
            <v>67.849999999999994</v>
          </cell>
        </row>
        <row r="581">
          <cell r="A581" t="str">
            <v>E015040802D8000000</v>
          </cell>
          <cell r="B581" t="str">
            <v>NAN0002-0207000</v>
          </cell>
          <cell r="C581" t="str">
            <v>E015</v>
          </cell>
          <cell r="D581" t="str">
            <v>02</v>
          </cell>
          <cell r="E581" t="str">
            <v>มือจับรางแขวน สีชา (คู่) HOYA</v>
          </cell>
          <cell r="F581">
            <v>31</v>
          </cell>
          <cell r="G581">
            <v>67.849999999999994</v>
          </cell>
        </row>
        <row r="582">
          <cell r="A582" t="str">
            <v>E015040803D8000000</v>
          </cell>
          <cell r="B582" t="str">
            <v>NAN0004-0207000</v>
          </cell>
          <cell r="C582" t="str">
            <v>E015</v>
          </cell>
          <cell r="D582" t="str">
            <v>03</v>
          </cell>
          <cell r="E582" t="str">
            <v>มือจับรางแขวน สีดำ (คู่) HOYA</v>
          </cell>
          <cell r="F582">
            <v>287</v>
          </cell>
          <cell r="G582">
            <v>70.930000000000007</v>
          </cell>
        </row>
        <row r="583">
          <cell r="A583" t="str">
            <v>E015040804D8000000</v>
          </cell>
          <cell r="B583" t="str">
            <v>NAN0011-0207000</v>
          </cell>
          <cell r="C583" t="str">
            <v>E015</v>
          </cell>
          <cell r="D583" t="str">
            <v>04</v>
          </cell>
          <cell r="E583" t="str">
            <v>มือจับรางแขวน สีอบขาว (คู่) HOYA</v>
          </cell>
          <cell r="F583">
            <v>347</v>
          </cell>
          <cell r="G583">
            <v>70.930000000000007</v>
          </cell>
        </row>
        <row r="584">
          <cell r="A584" t="str">
            <v>E015050201E0100000</v>
          </cell>
          <cell r="B584" t="str">
            <v/>
          </cell>
          <cell r="C584" t="str">
            <v>E015</v>
          </cell>
          <cell r="D584" t="str">
            <v>01</v>
          </cell>
          <cell r="E584" t="str">
            <v>กุญแจเกี่ยวลูกบิด สีขาวอลู HOYA</v>
          </cell>
          <cell r="F584">
            <v>10</v>
          </cell>
          <cell r="G584">
            <v>124.3</v>
          </cell>
        </row>
        <row r="585">
          <cell r="A585" t="str">
            <v>E015050202E0100000</v>
          </cell>
          <cell r="B585" t="str">
            <v/>
          </cell>
          <cell r="C585" t="str">
            <v>E015</v>
          </cell>
          <cell r="D585" t="str">
            <v>02</v>
          </cell>
          <cell r="E585" t="str">
            <v>กุญแจเกี่ยวลูกบิด สีชา HOYA</v>
          </cell>
          <cell r="F585">
            <v>20</v>
          </cell>
          <cell r="G585">
            <v>124.3</v>
          </cell>
        </row>
        <row r="586">
          <cell r="A586" t="str">
            <v>E015050203E0100000</v>
          </cell>
          <cell r="B586" t="str">
            <v/>
          </cell>
          <cell r="C586" t="str">
            <v>E015</v>
          </cell>
          <cell r="D586" t="str">
            <v>03</v>
          </cell>
          <cell r="E586" t="str">
            <v>กุญแจเกี่ยวลูกบิด สีดำ HOYA</v>
          </cell>
          <cell r="F586">
            <v>99</v>
          </cell>
          <cell r="G586">
            <v>124.3</v>
          </cell>
        </row>
        <row r="587">
          <cell r="A587" t="str">
            <v>E015050204E0100000</v>
          </cell>
          <cell r="B587" t="str">
            <v/>
          </cell>
          <cell r="C587" t="str">
            <v>E015</v>
          </cell>
          <cell r="D587" t="str">
            <v>04</v>
          </cell>
          <cell r="E587" t="str">
            <v>กุญแจเกี่ยวลูกบิด สีอบขาว HOYA</v>
          </cell>
          <cell r="F587">
            <v>154</v>
          </cell>
          <cell r="G587">
            <v>124.3</v>
          </cell>
        </row>
        <row r="588">
          <cell r="A588" t="str">
            <v>E015050301E0200000</v>
          </cell>
          <cell r="B588" t="str">
            <v/>
          </cell>
          <cell r="C588" t="str">
            <v>E015</v>
          </cell>
          <cell r="D588" t="str">
            <v>01</v>
          </cell>
          <cell r="E588" t="str">
            <v>กุญแจสวิงลูกบิด สีขาวอลู HOYA</v>
          </cell>
          <cell r="F588">
            <v>5</v>
          </cell>
          <cell r="G588">
            <v>124.3</v>
          </cell>
        </row>
        <row r="589">
          <cell r="A589" t="str">
            <v>E015050302E0200000</v>
          </cell>
          <cell r="B589" t="str">
            <v/>
          </cell>
          <cell r="C589" t="str">
            <v>E015</v>
          </cell>
          <cell r="D589" t="str">
            <v>02</v>
          </cell>
          <cell r="E589" t="str">
            <v>กุญแจสวิงลูกบิด สีชา HOYA</v>
          </cell>
          <cell r="F589">
            <v>0</v>
          </cell>
          <cell r="G589">
            <v>124.3</v>
          </cell>
        </row>
        <row r="590">
          <cell r="A590" t="str">
            <v>E015050303E0200000</v>
          </cell>
          <cell r="B590" t="str">
            <v/>
          </cell>
          <cell r="C590" t="str">
            <v>E015</v>
          </cell>
          <cell r="D590" t="str">
            <v>03</v>
          </cell>
          <cell r="E590" t="str">
            <v>กุญแจสวิงลูกบิด สีดำ HOYA</v>
          </cell>
          <cell r="F590">
            <v>189</v>
          </cell>
          <cell r="G590">
            <v>124.3</v>
          </cell>
        </row>
        <row r="591">
          <cell r="A591" t="str">
            <v>E015050304E0200000</v>
          </cell>
          <cell r="B591" t="str">
            <v/>
          </cell>
          <cell r="C591" t="str">
            <v>E015</v>
          </cell>
          <cell r="D591" t="str">
            <v>04</v>
          </cell>
          <cell r="E591" t="str">
            <v>กุญแจสวิงลูกบิด สีอบขาว HOYA</v>
          </cell>
          <cell r="F591">
            <v>218</v>
          </cell>
          <cell r="G591">
            <v>124.3</v>
          </cell>
        </row>
        <row r="592">
          <cell r="A592" t="str">
            <v>E015060203F4000000</v>
          </cell>
          <cell r="B592" t="str">
            <v>NAN0004-0118A00</v>
          </cell>
          <cell r="C592" t="str">
            <v>E015</v>
          </cell>
          <cell r="D592" t="str">
            <v>03</v>
          </cell>
          <cell r="E592" t="str">
            <v>ยางไกด์รางแขวน สีดำ</v>
          </cell>
          <cell r="F592">
            <v>2223</v>
          </cell>
          <cell r="G592">
            <v>6.08</v>
          </cell>
        </row>
        <row r="593">
          <cell r="A593" t="str">
            <v>E01509000000000000</v>
          </cell>
          <cell r="B593" t="str">
            <v>NAN0000</v>
          </cell>
          <cell r="C593" t="str">
            <v>E015</v>
          </cell>
          <cell r="D593" t="str">
            <v>00</v>
          </cell>
          <cell r="E593" t="str">
            <v>มุ้ง ยี่ห้อHOYA (กลุ่ม)</v>
          </cell>
          <cell r="F593">
            <v>74</v>
          </cell>
          <cell r="G593">
            <v>0</v>
          </cell>
        </row>
        <row r="594">
          <cell r="A594" t="str">
            <v>E015090901I1110000</v>
          </cell>
          <cell r="B594" t="str">
            <v>NAN0001-0621000</v>
          </cell>
          <cell r="C594" t="str">
            <v>E015</v>
          </cell>
          <cell r="D594" t="str">
            <v>01</v>
          </cell>
          <cell r="E594" t="str">
            <v>บานพับประตูมุ้ง อย่างดี สีขาวอลู HOYA</v>
          </cell>
          <cell r="F594">
            <v>90</v>
          </cell>
          <cell r="G594">
            <v>10.130000000000001</v>
          </cell>
        </row>
        <row r="595">
          <cell r="A595" t="str">
            <v>E015090901I1210000</v>
          </cell>
          <cell r="B595" t="str">
            <v>NAN0001-0620000</v>
          </cell>
          <cell r="C595" t="str">
            <v>E015</v>
          </cell>
          <cell r="D595" t="str">
            <v>01</v>
          </cell>
          <cell r="E595" t="str">
            <v xml:space="preserve">บานพับหน้าต่างมุ้ง อย่างดี สีขาวอลู HOYA </v>
          </cell>
          <cell r="F595">
            <v>0</v>
          </cell>
          <cell r="G595">
            <v>0</v>
          </cell>
        </row>
        <row r="596">
          <cell r="A596" t="str">
            <v>E015090901I8100000</v>
          </cell>
          <cell r="B596" t="str">
            <v>NAN0001-0204000</v>
          </cell>
          <cell r="C596" t="str">
            <v>E015</v>
          </cell>
          <cell r="D596" t="str">
            <v>01</v>
          </cell>
          <cell r="E596" t="str">
            <v>มือจับประตูมุ้ง สีขาวอลู HOYA</v>
          </cell>
          <cell r="F596">
            <v>1394</v>
          </cell>
          <cell r="G596">
            <v>7.94</v>
          </cell>
        </row>
        <row r="597">
          <cell r="A597" t="str">
            <v>E015090902I1110000</v>
          </cell>
          <cell r="B597" t="str">
            <v>NAN0002-0621000</v>
          </cell>
          <cell r="C597" t="str">
            <v>E015</v>
          </cell>
          <cell r="D597" t="str">
            <v>02</v>
          </cell>
          <cell r="E597" t="str">
            <v>บานพับประตูมุ้ง อย่างดี สีชา HOYA</v>
          </cell>
          <cell r="F597">
            <v>0</v>
          </cell>
          <cell r="G597">
            <v>0</v>
          </cell>
        </row>
        <row r="598">
          <cell r="A598" t="str">
            <v>E015090902I1210000</v>
          </cell>
          <cell r="B598" t="str">
            <v>NAN0002-0620000</v>
          </cell>
          <cell r="C598" t="str">
            <v>E015</v>
          </cell>
          <cell r="D598" t="str">
            <v>02</v>
          </cell>
          <cell r="E598" t="str">
            <v>บานพับหน้าต่างมุ้ง อย่างดี สีชา HOYA</v>
          </cell>
          <cell r="F598">
            <v>0</v>
          </cell>
          <cell r="G598">
            <v>0</v>
          </cell>
        </row>
        <row r="599">
          <cell r="A599" t="str">
            <v>E015090902I8100000</v>
          </cell>
          <cell r="B599" t="str">
            <v>NAN0002-0204000</v>
          </cell>
          <cell r="C599" t="str">
            <v>E015</v>
          </cell>
          <cell r="D599" t="str">
            <v>02</v>
          </cell>
          <cell r="E599" t="str">
            <v xml:space="preserve">มือจับประตูมุ้ง สีชา HOYA </v>
          </cell>
          <cell r="F599">
            <v>710</v>
          </cell>
          <cell r="G599">
            <v>7.94</v>
          </cell>
        </row>
        <row r="600">
          <cell r="A600" t="str">
            <v>E015090903I6100000</v>
          </cell>
          <cell r="B600" t="str">
            <v>NAN0004-0205000</v>
          </cell>
          <cell r="C600" t="str">
            <v>E015</v>
          </cell>
          <cell r="D600" t="str">
            <v>03</v>
          </cell>
          <cell r="E600" t="str">
            <v>มือจับมุ้งแม่เหล็ก สีดำ บานเดี่ยว</v>
          </cell>
          <cell r="F600">
            <v>1038</v>
          </cell>
          <cell r="G600">
            <v>10.51</v>
          </cell>
        </row>
        <row r="601">
          <cell r="A601" t="str">
            <v>E015090903I6200000</v>
          </cell>
          <cell r="B601" t="str">
            <v>NAN0004-0206000</v>
          </cell>
          <cell r="C601" t="str">
            <v>E015</v>
          </cell>
          <cell r="D601" t="str">
            <v>03</v>
          </cell>
          <cell r="E601" t="str">
            <v>มือจับมุ้งแม่เหล็ก สีดำ บานคู่</v>
          </cell>
          <cell r="F601">
            <v>863</v>
          </cell>
          <cell r="G601">
            <v>12.61</v>
          </cell>
        </row>
        <row r="602">
          <cell r="A602" t="str">
            <v>E015090903I7100000</v>
          </cell>
          <cell r="B602" t="str">
            <v>NAN0004-0503000</v>
          </cell>
          <cell r="C602" t="str">
            <v>E015</v>
          </cell>
          <cell r="D602" t="str">
            <v>03</v>
          </cell>
          <cell r="E602" t="str">
            <v>แผ่นมือจับมุ้ง สีดำ HOYA รุ่นเหลี่ยม</v>
          </cell>
          <cell r="F602">
            <v>2558</v>
          </cell>
          <cell r="G602">
            <v>1.68</v>
          </cell>
        </row>
        <row r="603">
          <cell r="A603" t="str">
            <v>E015090903I8100000</v>
          </cell>
          <cell r="B603" t="str">
            <v>NAN0004-0204000</v>
          </cell>
          <cell r="C603" t="str">
            <v>E015</v>
          </cell>
          <cell r="D603" t="str">
            <v>03</v>
          </cell>
          <cell r="E603" t="str">
            <v>มือจับประตูมุ้ง สีดำ HOYA</v>
          </cell>
          <cell r="F603">
            <v>579</v>
          </cell>
          <cell r="G603">
            <v>7.94</v>
          </cell>
        </row>
        <row r="604">
          <cell r="A604" t="str">
            <v>E015090904I1110000</v>
          </cell>
          <cell r="B604" t="str">
            <v>NAN0011-0621000</v>
          </cell>
          <cell r="C604" t="str">
            <v>E015</v>
          </cell>
          <cell r="D604" t="str">
            <v>04</v>
          </cell>
          <cell r="E604" t="str">
            <v>บานพับประตูมุ้ง อย่างดี สีอบขาว HOYA</v>
          </cell>
          <cell r="F604">
            <v>0</v>
          </cell>
          <cell r="G604">
            <v>10.130000000000001</v>
          </cell>
        </row>
        <row r="605">
          <cell r="A605" t="str">
            <v>E015090904I1210000</v>
          </cell>
          <cell r="B605" t="str">
            <v>NAN0011-0620000</v>
          </cell>
          <cell r="C605" t="str">
            <v>E015</v>
          </cell>
          <cell r="D605" t="str">
            <v>04</v>
          </cell>
          <cell r="E605" t="str">
            <v xml:space="preserve">บานพับหน้าต่างมุ้ง อย่างดี สีอบขาว HOYA </v>
          </cell>
          <cell r="F605">
            <v>13</v>
          </cell>
          <cell r="G605">
            <v>8.94</v>
          </cell>
        </row>
        <row r="606">
          <cell r="A606" t="str">
            <v>E015090904I6100000</v>
          </cell>
          <cell r="B606" t="str">
            <v>NAN0011-0205000</v>
          </cell>
          <cell r="C606" t="str">
            <v>E015</v>
          </cell>
          <cell r="D606" t="str">
            <v>04</v>
          </cell>
          <cell r="E606" t="str">
            <v>มือจับมุ้งแม่เหล็ก สีอบขาว บานเดี่ยว</v>
          </cell>
          <cell r="F606">
            <v>1189</v>
          </cell>
          <cell r="G606">
            <v>11.35</v>
          </cell>
        </row>
        <row r="607">
          <cell r="A607" t="str">
            <v>E015090904I6200000</v>
          </cell>
          <cell r="B607" t="str">
            <v>NAN0011-0206000</v>
          </cell>
          <cell r="C607" t="str">
            <v>E015</v>
          </cell>
          <cell r="D607" t="str">
            <v>04</v>
          </cell>
          <cell r="E607" t="str">
            <v>มือจับมุ้งแม่เหล็ก สีอบขาว บานคู่</v>
          </cell>
          <cell r="F607">
            <v>1175</v>
          </cell>
          <cell r="G607">
            <v>14.29</v>
          </cell>
        </row>
        <row r="608">
          <cell r="A608" t="str">
            <v>E015090904I7100000</v>
          </cell>
          <cell r="B608" t="str">
            <v>NAN0011-0503000</v>
          </cell>
          <cell r="C608" t="str">
            <v>E015</v>
          </cell>
          <cell r="D608" t="str">
            <v>04</v>
          </cell>
          <cell r="E608" t="str">
            <v>แผ่นมือจับมุ้ง สีอบขาว HOYA รุ่นเหลี่ยม</v>
          </cell>
          <cell r="F608">
            <v>1091</v>
          </cell>
          <cell r="G608">
            <v>2.1</v>
          </cell>
        </row>
        <row r="609">
          <cell r="A609" t="str">
            <v>E015090904I8100000</v>
          </cell>
          <cell r="B609" t="str">
            <v>NAN0011-0204000</v>
          </cell>
          <cell r="C609" t="str">
            <v>E015</v>
          </cell>
          <cell r="D609" t="str">
            <v>04</v>
          </cell>
          <cell r="E609" t="str">
            <v>มือจับประตูมุ้ง สีอบขาว HOYA</v>
          </cell>
          <cell r="F609">
            <v>548</v>
          </cell>
          <cell r="G609">
            <v>7.94</v>
          </cell>
        </row>
        <row r="610">
          <cell r="A610" t="str">
            <v>E015141300N0500000</v>
          </cell>
          <cell r="B610" t="str">
            <v>NTH002-06006</v>
          </cell>
          <cell r="C610" t="str">
            <v>E015</v>
          </cell>
          <cell r="D610" t="str">
            <v>00</v>
          </cell>
          <cell r="E610" t="str">
            <v>ตลับเมตร 5 ม.x 6 หุน HOYA #Power Tape</v>
          </cell>
          <cell r="F610">
            <v>8</v>
          </cell>
          <cell r="G610">
            <v>40.89</v>
          </cell>
        </row>
        <row r="611">
          <cell r="A611" t="str">
            <v>E01701000000000000</v>
          </cell>
          <cell r="B611" t="str">
            <v/>
          </cell>
          <cell r="C611" t="str">
            <v>E017</v>
          </cell>
          <cell r="D611" t="str">
            <v>00</v>
          </cell>
          <cell r="E611" t="str">
            <v>ยางยี่ห้อ PBM (กลุ่ม)</v>
          </cell>
          <cell r="F611">
            <v>2</v>
          </cell>
          <cell r="G611">
            <v>0</v>
          </cell>
        </row>
        <row r="612">
          <cell r="A612" t="str">
            <v>E017010603A1205000</v>
          </cell>
          <cell r="B612" t="str">
            <v>NAN0015-0180550</v>
          </cell>
          <cell r="C612" t="str">
            <v>E017</v>
          </cell>
          <cell r="D612" t="str">
            <v>03</v>
          </cell>
          <cell r="E612" t="str">
            <v>BI-FOLD ยางลูกโป่งฐานแข็งใส 5มม. (50ม.) PBM #015-12PB50</v>
          </cell>
          <cell r="F612">
            <v>33</v>
          </cell>
          <cell r="G612">
            <v>364.49</v>
          </cell>
        </row>
        <row r="613">
          <cell r="A613" t="str">
            <v>E017020300B1000100</v>
          </cell>
          <cell r="B613" t="str">
            <v>NAN0000-0809150</v>
          </cell>
          <cell r="C613" t="str">
            <v>E017</v>
          </cell>
          <cell r="D613" t="str">
            <v>00</v>
          </cell>
          <cell r="E613" t="str">
            <v>โช้คอัพบานสวิง 1V No.1000  PBM</v>
          </cell>
          <cell r="F613">
            <v>20</v>
          </cell>
          <cell r="G613">
            <v>607.48</v>
          </cell>
        </row>
        <row r="614">
          <cell r="A614" t="str">
            <v>E017020300B1000200</v>
          </cell>
          <cell r="B614" t="str">
            <v>NAN0000-0809170</v>
          </cell>
          <cell r="C614" t="str">
            <v>E017</v>
          </cell>
          <cell r="D614" t="str">
            <v>00</v>
          </cell>
          <cell r="E614" t="str">
            <v>โช้คอัพบานสวิง 2V No.1000  PBM</v>
          </cell>
          <cell r="F614">
            <v>1</v>
          </cell>
          <cell r="G614">
            <v>607.48</v>
          </cell>
        </row>
        <row r="615">
          <cell r="A615" t="str">
            <v>E01703000000000000</v>
          </cell>
          <cell r="B615" t="str">
            <v>NAN0000</v>
          </cell>
          <cell r="C615" t="str">
            <v>E017</v>
          </cell>
          <cell r="D615" t="str">
            <v>00</v>
          </cell>
          <cell r="E615" t="str">
            <v>ลูกล้อ ยี่ห้อ PBM (กลุ่ม)</v>
          </cell>
          <cell r="F615">
            <v>111</v>
          </cell>
          <cell r="G615">
            <v>0</v>
          </cell>
        </row>
        <row r="616">
          <cell r="A616" t="str">
            <v>E017030200C1518100</v>
          </cell>
          <cell r="B616" t="str">
            <v/>
          </cell>
          <cell r="C616" t="str">
            <v>E017</v>
          </cell>
          <cell r="D616" t="str">
            <v>00</v>
          </cell>
          <cell r="E616" t="str">
            <v>ล้อตลับสแตนเลสเดี่ยว PBM #050-05-1518 (รับนน. 25-30 kg.)</v>
          </cell>
          <cell r="F616">
            <v>259</v>
          </cell>
          <cell r="G616">
            <v>25.23</v>
          </cell>
        </row>
        <row r="617">
          <cell r="A617" t="str">
            <v>E017030200C1518200</v>
          </cell>
          <cell r="B617" t="str">
            <v/>
          </cell>
          <cell r="C617" t="str">
            <v>E017</v>
          </cell>
          <cell r="D617" t="str">
            <v>00</v>
          </cell>
          <cell r="E617" t="str">
            <v>ล้อตลับสแตนเลสคู่ PBM #050-1518-2  (รับนน.35-40 kg.)</v>
          </cell>
          <cell r="F617">
            <v>184</v>
          </cell>
          <cell r="G617">
            <v>50.47</v>
          </cell>
        </row>
        <row r="618">
          <cell r="A618" t="str">
            <v>E017030210C0500200</v>
          </cell>
          <cell r="B618" t="str">
            <v>NAN0000-0780010</v>
          </cell>
          <cell r="C618" t="str">
            <v>E017</v>
          </cell>
          <cell r="D618">
            <v>10</v>
          </cell>
          <cell r="E618" t="str">
            <v>ลูกล้อบานเลื่อนเดี่ยว (เขียว) PBM  #050-02 (รับนน. 30Kg.)</v>
          </cell>
          <cell r="F618">
            <v>30447</v>
          </cell>
          <cell r="G618">
            <v>9.14</v>
          </cell>
        </row>
        <row r="619">
          <cell r="A619" t="str">
            <v>E017030211C0500300</v>
          </cell>
          <cell r="B619" t="str">
            <v>NAN0000-0780000</v>
          </cell>
          <cell r="C619" t="str">
            <v>E017</v>
          </cell>
          <cell r="D619">
            <v>11</v>
          </cell>
          <cell r="E619" t="str">
            <v>ลูกล้อบานเลื่อนเดี่ยว (แดง) PBM #050-03 (รับนน. 40Kg.)</v>
          </cell>
          <cell r="F619">
            <v>1166</v>
          </cell>
          <cell r="G619">
            <v>14.95</v>
          </cell>
        </row>
        <row r="620">
          <cell r="A620" t="str">
            <v>E017030211C0500400</v>
          </cell>
          <cell r="B620" t="str">
            <v>NAN0000-0781000</v>
          </cell>
          <cell r="C620" t="str">
            <v>E017</v>
          </cell>
          <cell r="D620">
            <v>11</v>
          </cell>
          <cell r="E620" t="str">
            <v>ลูกล้อบานเลื่อนคู่ PBM #050-04 (รับนน. 60Kg.)</v>
          </cell>
          <cell r="F620">
            <v>1078</v>
          </cell>
          <cell r="G620">
            <v>27.1</v>
          </cell>
        </row>
        <row r="621">
          <cell r="A621" t="str">
            <v>E017030800C0500900</v>
          </cell>
          <cell r="B621" t="str">
            <v>NAN0000-0780040</v>
          </cell>
          <cell r="C621" t="str">
            <v>E017</v>
          </cell>
          <cell r="D621" t="str">
            <v>00</v>
          </cell>
          <cell r="E621" t="str">
            <v>ล้อรางแขวน 4 ล้อ (คู่)  PBM #050-09 (รับนน. 40Kg.)  (ซื้อ)</v>
          </cell>
          <cell r="F621">
            <v>2</v>
          </cell>
          <cell r="G621">
            <v>88.79</v>
          </cell>
        </row>
        <row r="622">
          <cell r="A622" t="str">
            <v>E017030800C0500901</v>
          </cell>
          <cell r="B622" t="str">
            <v>NAN0000-0780041</v>
          </cell>
          <cell r="C622" t="str">
            <v>E017</v>
          </cell>
          <cell r="D622" t="str">
            <v>00</v>
          </cell>
          <cell r="E622" t="str">
            <v>ล้อรางแขวน 4 ล้อ (คู่)  #050-09  PBM พร้อมไกด์กันแกว่ง</v>
          </cell>
          <cell r="F622">
            <v>710</v>
          </cell>
          <cell r="G622">
            <v>88.79</v>
          </cell>
        </row>
        <row r="623">
          <cell r="A623" t="str">
            <v>E017030800C0500902</v>
          </cell>
          <cell r="B623" t="str">
            <v/>
          </cell>
          <cell r="C623" t="str">
            <v>E017</v>
          </cell>
          <cell r="D623" t="str">
            <v>00</v>
          </cell>
          <cell r="E623" t="str">
            <v>ไกด์กันแกว่ง สีดำ PBM #050-09-2 (ของแถม)</v>
          </cell>
          <cell r="F623">
            <v>0</v>
          </cell>
          <cell r="G623">
            <v>0</v>
          </cell>
        </row>
        <row r="624">
          <cell r="A624" t="str">
            <v>E017030900C0501900</v>
          </cell>
          <cell r="B624" t="str">
            <v>NAN0000-0784000</v>
          </cell>
          <cell r="C624" t="str">
            <v>E017</v>
          </cell>
          <cell r="D624" t="str">
            <v>00</v>
          </cell>
          <cell r="E624" t="str">
            <v>ลูกล้อมุ้งพลาสติก (ลูกปืน) PBM #050-19</v>
          </cell>
          <cell r="F624">
            <v>138</v>
          </cell>
          <cell r="G624">
            <v>6.07</v>
          </cell>
        </row>
        <row r="625">
          <cell r="A625" t="str">
            <v>E01704000000000000</v>
          </cell>
          <cell r="B625" t="str">
            <v>NAN0000</v>
          </cell>
          <cell r="C625" t="str">
            <v>E017</v>
          </cell>
          <cell r="D625" t="str">
            <v>00</v>
          </cell>
          <cell r="E625" t="str">
            <v>มือจับ ยี่ห้อ PBM (กลุ่ม)</v>
          </cell>
          <cell r="F625">
            <v>100</v>
          </cell>
          <cell r="G625">
            <v>0</v>
          </cell>
        </row>
        <row r="626">
          <cell r="A626" t="str">
            <v>E017040101D1001210</v>
          </cell>
          <cell r="B626" t="str">
            <v>NAN0001-0291210</v>
          </cell>
          <cell r="C626" t="str">
            <v>E017</v>
          </cell>
          <cell r="D626" t="str">
            <v>01</v>
          </cell>
          <cell r="E626" t="str">
            <v>มือจับกระทุ้งซ้าย (แปะ) สีขาวอลู/หลังดำ PBM #012</v>
          </cell>
          <cell r="F626">
            <v>66</v>
          </cell>
          <cell r="G626">
            <v>39.25</v>
          </cell>
        </row>
        <row r="627">
          <cell r="A627" t="str">
            <v>E017040101D1001220</v>
          </cell>
          <cell r="B627" t="str">
            <v>NAN0001-0291220</v>
          </cell>
          <cell r="C627" t="str">
            <v>E017</v>
          </cell>
          <cell r="D627" t="str">
            <v>01</v>
          </cell>
          <cell r="E627" t="str">
            <v>มือจับกระทุ้งขวา (แปะ) สีขาวอลู/หลังดำ PBM #012</v>
          </cell>
          <cell r="F627">
            <v>89</v>
          </cell>
          <cell r="G627">
            <v>39.25</v>
          </cell>
        </row>
        <row r="628">
          <cell r="A628" t="str">
            <v>E017040101D1001910</v>
          </cell>
          <cell r="B628" t="str">
            <v>NAN0001-0291910</v>
          </cell>
          <cell r="C628" t="str">
            <v>E017</v>
          </cell>
          <cell r="D628" t="str">
            <v>01</v>
          </cell>
          <cell r="E628" t="str">
            <v>มือจับกระทุ้งซ้าย (แปะ/ลูกกลิ้ง) สีขาวอลู PBM #019</v>
          </cell>
          <cell r="F628">
            <v>43</v>
          </cell>
          <cell r="G628">
            <v>48.6</v>
          </cell>
        </row>
        <row r="629">
          <cell r="A629" t="str">
            <v>E017040101D1001920</v>
          </cell>
          <cell r="B629" t="str">
            <v>NAN0001-0291920</v>
          </cell>
          <cell r="C629" t="str">
            <v>E017</v>
          </cell>
          <cell r="D629" t="str">
            <v>01</v>
          </cell>
          <cell r="E629" t="str">
            <v>มือจับกระทุ้งขวา (แปะ/ลูกกลิ้ง) สีขาวอลู PBM #019</v>
          </cell>
          <cell r="F629">
            <v>60</v>
          </cell>
          <cell r="G629">
            <v>48.6</v>
          </cell>
        </row>
        <row r="630">
          <cell r="A630" t="str">
            <v>E017040101D1503000</v>
          </cell>
          <cell r="B630" t="str">
            <v>NAN0001-0290000</v>
          </cell>
          <cell r="C630" t="str">
            <v>E017</v>
          </cell>
          <cell r="D630" t="str">
            <v>01</v>
          </cell>
          <cell r="E630" t="str">
            <v>มือจับบานเปิด สีขาวอลู PBM #030-S-02</v>
          </cell>
          <cell r="F630">
            <v>0</v>
          </cell>
          <cell r="G630">
            <v>0</v>
          </cell>
        </row>
        <row r="631">
          <cell r="A631" t="str">
            <v>E017040101D1503003</v>
          </cell>
          <cell r="B631" t="str">
            <v>NAN0001-0290100</v>
          </cell>
          <cell r="C631" t="str">
            <v>E017</v>
          </cell>
          <cell r="D631" t="str">
            <v>01</v>
          </cell>
          <cell r="E631" t="str">
            <v>มือจับบานเปิดดัมมี่ สีขาวอลู PBM #030-S0-02</v>
          </cell>
          <cell r="F631">
            <v>0</v>
          </cell>
          <cell r="G631">
            <v>0</v>
          </cell>
        </row>
        <row r="632">
          <cell r="A632" t="str">
            <v>E017040103D1001211</v>
          </cell>
          <cell r="B632" t="str">
            <v>NAN0004-0291210</v>
          </cell>
          <cell r="C632" t="str">
            <v>E017</v>
          </cell>
          <cell r="D632" t="str">
            <v>03</v>
          </cell>
          <cell r="E632" t="str">
            <v>มือจับกระทุ้งซ้าย (แปะ) สีดำ/หลังดำ PBM #012</v>
          </cell>
          <cell r="F632">
            <v>114</v>
          </cell>
          <cell r="G632">
            <v>39.25</v>
          </cell>
        </row>
        <row r="633">
          <cell r="A633" t="str">
            <v>E017040103D1001212</v>
          </cell>
          <cell r="B633" t="str">
            <v>NAN0004-0291211</v>
          </cell>
          <cell r="C633" t="str">
            <v>E017</v>
          </cell>
          <cell r="D633" t="str">
            <v>03</v>
          </cell>
          <cell r="E633" t="str">
            <v>มือจับกระทุ้งซ้าย (แปะ) สีดำ/หลังขาว PBM #012</v>
          </cell>
          <cell r="F633">
            <v>197</v>
          </cell>
          <cell r="G633">
            <v>39.25</v>
          </cell>
        </row>
        <row r="634">
          <cell r="A634" t="str">
            <v>E017040103D1001221</v>
          </cell>
          <cell r="B634" t="str">
            <v>NAN0004-0291220</v>
          </cell>
          <cell r="C634" t="str">
            <v>E017</v>
          </cell>
          <cell r="D634" t="str">
            <v>03</v>
          </cell>
          <cell r="E634" t="str">
            <v>มือจับกระทุ้งขวา (แปะ) สีดำ/หลังดำ PBM #012</v>
          </cell>
          <cell r="F634">
            <v>242</v>
          </cell>
          <cell r="G634">
            <v>39.25</v>
          </cell>
        </row>
        <row r="635">
          <cell r="A635" t="str">
            <v>E017040103D1001222</v>
          </cell>
          <cell r="B635" t="str">
            <v>NAN0004-0291221</v>
          </cell>
          <cell r="C635" t="str">
            <v>E017</v>
          </cell>
          <cell r="D635" t="str">
            <v>03</v>
          </cell>
          <cell r="E635" t="str">
            <v>มือจับกระทุ้งขวา (แปะ) สีดำ/หลังขาว PBM #012</v>
          </cell>
          <cell r="F635">
            <v>290</v>
          </cell>
          <cell r="G635">
            <v>39.25</v>
          </cell>
        </row>
        <row r="636">
          <cell r="A636" t="str">
            <v>E017040103D1001401</v>
          </cell>
          <cell r="B636" t="str">
            <v>NAN0004-0291410</v>
          </cell>
          <cell r="C636" t="str">
            <v>E017</v>
          </cell>
          <cell r="D636" t="str">
            <v>03</v>
          </cell>
          <cell r="E636" t="str">
            <v>มือจับกระทุ้งซ้าย (แปะ/หางกลม) สีดำ #014 PBM</v>
          </cell>
          <cell r="F636">
            <v>12</v>
          </cell>
          <cell r="G636">
            <v>44.86</v>
          </cell>
        </row>
        <row r="637">
          <cell r="A637" t="str">
            <v>E017040103D1001402</v>
          </cell>
          <cell r="B637" t="str">
            <v>NAN0004-0291420</v>
          </cell>
          <cell r="C637" t="str">
            <v>E017</v>
          </cell>
          <cell r="D637" t="str">
            <v>03</v>
          </cell>
          <cell r="E637" t="str">
            <v>มือจับกระทุ้งขวา (แปะ/หางกลม) สีดำ #014 PBM</v>
          </cell>
          <cell r="F637">
            <v>39</v>
          </cell>
          <cell r="G637">
            <v>44.86</v>
          </cell>
        </row>
        <row r="638">
          <cell r="A638" t="str">
            <v>E017040103D1001910</v>
          </cell>
          <cell r="B638" t="str">
            <v>NAN0004-0291910</v>
          </cell>
          <cell r="C638" t="str">
            <v>E017</v>
          </cell>
          <cell r="D638" t="str">
            <v>03</v>
          </cell>
          <cell r="E638" t="str">
            <v>มือจับกระทุ้งซ้าย (แปะ/ลูกกลิ้ง) สีดำ PBM #019</v>
          </cell>
          <cell r="F638">
            <v>386</v>
          </cell>
          <cell r="G638">
            <v>44.86</v>
          </cell>
        </row>
        <row r="639">
          <cell r="A639" t="str">
            <v>E017040103D1001920</v>
          </cell>
          <cell r="B639" t="str">
            <v>NAN0004-0291920</v>
          </cell>
          <cell r="C639" t="str">
            <v>E017</v>
          </cell>
          <cell r="D639" t="str">
            <v>03</v>
          </cell>
          <cell r="E639" t="str">
            <v>มือจับกระทุ้งขวา (แปะ/ลูกกลิ้ง) สีดำ PBM #019</v>
          </cell>
          <cell r="F639">
            <v>860</v>
          </cell>
          <cell r="G639">
            <v>44.86</v>
          </cell>
        </row>
        <row r="640">
          <cell r="A640" t="str">
            <v>E017040103D1503000</v>
          </cell>
          <cell r="B640" t="str">
            <v>NAN0004-0290000</v>
          </cell>
          <cell r="C640" t="str">
            <v>E017</v>
          </cell>
          <cell r="D640" t="str">
            <v>03</v>
          </cell>
          <cell r="E640" t="str">
            <v>มือจับบานเปิด สีดำ PBM #030-B-02</v>
          </cell>
          <cell r="F640">
            <v>46</v>
          </cell>
          <cell r="G640">
            <v>196.26</v>
          </cell>
        </row>
        <row r="641">
          <cell r="A641" t="str">
            <v>E017040103D1503003</v>
          </cell>
          <cell r="B641" t="str">
            <v>NAN0004-0290100</v>
          </cell>
          <cell r="C641" t="str">
            <v>E017</v>
          </cell>
          <cell r="D641" t="str">
            <v>03</v>
          </cell>
          <cell r="E641" t="str">
            <v>มือจับบานเปิดดัมมี่ สีดำ PBM #030-B0-02</v>
          </cell>
          <cell r="F641">
            <v>56</v>
          </cell>
          <cell r="G641">
            <v>196.26</v>
          </cell>
        </row>
        <row r="642">
          <cell r="A642" t="str">
            <v>E017040104D1001211</v>
          </cell>
          <cell r="B642" t="str">
            <v>NAN0011-0291210</v>
          </cell>
          <cell r="C642" t="str">
            <v>E017</v>
          </cell>
          <cell r="D642" t="str">
            <v>04</v>
          </cell>
          <cell r="E642" t="str">
            <v>มือจับกระทุ้งซ้าย (แปะ) สีอบขาว/หลังดำ PBM #012</v>
          </cell>
          <cell r="F642">
            <v>244</v>
          </cell>
          <cell r="G642">
            <v>29.91</v>
          </cell>
        </row>
        <row r="643">
          <cell r="A643" t="str">
            <v>E017040104D1001212</v>
          </cell>
          <cell r="B643" t="str">
            <v>NAN0011-0291211</v>
          </cell>
          <cell r="C643" t="str">
            <v>E017</v>
          </cell>
          <cell r="D643" t="str">
            <v>04</v>
          </cell>
          <cell r="E643" t="str">
            <v>มือจับกระทุ้งซ้าย (แปะ) สีอบขาว/หลังขาว PBM #012</v>
          </cell>
          <cell r="F643">
            <v>0</v>
          </cell>
          <cell r="G643">
            <v>29.91</v>
          </cell>
        </row>
        <row r="644">
          <cell r="A644" t="str">
            <v>E017040104D1001221</v>
          </cell>
          <cell r="B644" t="str">
            <v>NAN0011-0291220</v>
          </cell>
          <cell r="C644" t="str">
            <v>E017</v>
          </cell>
          <cell r="D644" t="str">
            <v>04</v>
          </cell>
          <cell r="E644" t="str">
            <v>มือจับกระทุ้งขวา (แปะ) สีอบขาว/หลังดำ PBM #012</v>
          </cell>
          <cell r="F644">
            <v>508</v>
          </cell>
          <cell r="G644">
            <v>29.91</v>
          </cell>
        </row>
        <row r="645">
          <cell r="A645" t="str">
            <v>E017040104D1001222</v>
          </cell>
          <cell r="B645" t="str">
            <v>NAN0011-0291221</v>
          </cell>
          <cell r="C645" t="str">
            <v>E017</v>
          </cell>
          <cell r="D645" t="str">
            <v>04</v>
          </cell>
          <cell r="E645" t="str">
            <v>มือจับกระทุ้งขวา (แปะ) สีอบขาว/หลังขาว PBM #012</v>
          </cell>
          <cell r="F645">
            <v>0</v>
          </cell>
          <cell r="G645">
            <v>29.91</v>
          </cell>
        </row>
        <row r="646">
          <cell r="A646" t="str">
            <v>E017040104D1001910</v>
          </cell>
          <cell r="B646" t="str">
            <v>NAN0011-0291910</v>
          </cell>
          <cell r="C646" t="str">
            <v>E017</v>
          </cell>
          <cell r="D646" t="str">
            <v>04</v>
          </cell>
          <cell r="E646" t="str">
            <v xml:space="preserve">มือจับกระทุ้งซ้าย (แปะ/ลูกกลิ้ง) สีอบขาว PBM #019 </v>
          </cell>
          <cell r="F646">
            <v>411</v>
          </cell>
          <cell r="G646">
            <v>44.86</v>
          </cell>
        </row>
        <row r="647">
          <cell r="A647" t="str">
            <v>E017040104D1001920</v>
          </cell>
          <cell r="B647" t="str">
            <v>NAN0011-0291920</v>
          </cell>
          <cell r="C647" t="str">
            <v>E017</v>
          </cell>
          <cell r="D647" t="str">
            <v>04</v>
          </cell>
          <cell r="E647" t="str">
            <v>มือจับกระทุ้งขวา (แปะ/ลูกกลิ้ง) สีอบขาว PBM #019</v>
          </cell>
          <cell r="F647">
            <v>506</v>
          </cell>
          <cell r="G647">
            <v>44.86</v>
          </cell>
        </row>
        <row r="648">
          <cell r="A648" t="str">
            <v>E017040104D1503000</v>
          </cell>
          <cell r="B648" t="str">
            <v>NAN0011-0290000</v>
          </cell>
          <cell r="C648" t="str">
            <v>E017</v>
          </cell>
          <cell r="D648" t="str">
            <v>04</v>
          </cell>
          <cell r="E648" t="str">
            <v>มือจับบานเปิด สีอบขาว PBM #030-W-02</v>
          </cell>
          <cell r="F648">
            <v>36</v>
          </cell>
          <cell r="G648">
            <v>196.26</v>
          </cell>
        </row>
        <row r="649">
          <cell r="A649" t="str">
            <v>E017040104D1503003</v>
          </cell>
          <cell r="B649" t="str">
            <v>NAN0011-0290100</v>
          </cell>
          <cell r="C649" t="str">
            <v>E017</v>
          </cell>
          <cell r="D649" t="str">
            <v>04</v>
          </cell>
          <cell r="E649" t="str">
            <v>มือจับบานเปิดดัมมี่ สีอบขาว PBM #030-W0-02</v>
          </cell>
          <cell r="F649">
            <v>63</v>
          </cell>
          <cell r="G649">
            <v>196.26</v>
          </cell>
        </row>
        <row r="650">
          <cell r="A650" t="str">
            <v>E017040202D2120100</v>
          </cell>
          <cell r="B650" t="str">
            <v>NAN0002-0292000</v>
          </cell>
          <cell r="C650" t="str">
            <v>E017</v>
          </cell>
          <cell r="D650" t="str">
            <v>02</v>
          </cell>
          <cell r="E650" t="str">
            <v>มือจับล็อค รุ่นเล็ก สีชา PBM #201</v>
          </cell>
          <cell r="F650">
            <v>40</v>
          </cell>
          <cell r="G650">
            <v>26.17</v>
          </cell>
        </row>
        <row r="651">
          <cell r="A651" t="str">
            <v>E017040204D2120100</v>
          </cell>
          <cell r="B651" t="str">
            <v>NAN0011-0292000</v>
          </cell>
          <cell r="C651" t="str">
            <v>E017</v>
          </cell>
          <cell r="D651" t="str">
            <v>04</v>
          </cell>
          <cell r="E651" t="str">
            <v>มือจับล็อค รุ่นเล็ก สีอบขาว PBM #201</v>
          </cell>
          <cell r="F651">
            <v>0</v>
          </cell>
          <cell r="G651">
            <v>0</v>
          </cell>
        </row>
        <row r="652">
          <cell r="A652" t="str">
            <v>E017040204D2320100</v>
          </cell>
          <cell r="B652" t="str">
            <v>NAN0011-0292060</v>
          </cell>
          <cell r="C652" t="str">
            <v>E017</v>
          </cell>
          <cell r="D652" t="str">
            <v>04</v>
          </cell>
          <cell r="E652" t="str">
            <v>มือจับเรียบมีรู รุ่นเล็ก สีอบขาว PBM #201-03</v>
          </cell>
          <cell r="F652">
            <v>1</v>
          </cell>
          <cell r="G652">
            <v>26.17</v>
          </cell>
        </row>
        <row r="653">
          <cell r="A653" t="str">
            <v>E017040204D2420100</v>
          </cell>
          <cell r="B653" t="str">
            <v>NAN0011-0292070</v>
          </cell>
          <cell r="C653" t="str">
            <v>E017</v>
          </cell>
          <cell r="D653" t="str">
            <v>04</v>
          </cell>
          <cell r="E653" t="str">
            <v>มือจับเรียบไม่มีรู รุ่นเล็ก สีอบขาว PBM #201-04</v>
          </cell>
          <cell r="F653">
            <v>0</v>
          </cell>
          <cell r="G653">
            <v>0</v>
          </cell>
        </row>
        <row r="654">
          <cell r="A654" t="str">
            <v>E01705000000000000</v>
          </cell>
          <cell r="B654" t="str">
            <v>NAN0000</v>
          </cell>
          <cell r="C654" t="str">
            <v>E017</v>
          </cell>
          <cell r="D654" t="str">
            <v>00</v>
          </cell>
          <cell r="E654" t="str">
            <v>กุญแจ-กลอน ยี่ห้อ PBM (กลุ่ม)</v>
          </cell>
          <cell r="F654">
            <v>1</v>
          </cell>
          <cell r="G654">
            <v>0</v>
          </cell>
        </row>
        <row r="655">
          <cell r="A655" t="str">
            <v>E017050100E0306500</v>
          </cell>
          <cell r="B655" t="str">
            <v>NAN0000-0290020</v>
          </cell>
          <cell r="C655" t="str">
            <v>E017</v>
          </cell>
          <cell r="D655" t="str">
            <v>00</v>
          </cell>
          <cell r="E655" t="str">
            <v>ไส้กุญแจบานเปิด PBM #030-65</v>
          </cell>
          <cell r="F655">
            <v>72</v>
          </cell>
          <cell r="G655">
            <v>255.14</v>
          </cell>
        </row>
        <row r="656">
          <cell r="A656" t="str">
            <v>E017050100E0358500</v>
          </cell>
          <cell r="B656" t="str">
            <v>NAN0000-0290010</v>
          </cell>
          <cell r="C656" t="str">
            <v>E017</v>
          </cell>
          <cell r="D656" t="str">
            <v>00</v>
          </cell>
          <cell r="E656" t="str">
            <v>เสื้อกุญแจบานเปิด PBM #030-3585</v>
          </cell>
          <cell r="F656">
            <v>37</v>
          </cell>
          <cell r="G656">
            <v>255.14</v>
          </cell>
        </row>
        <row r="657">
          <cell r="A657" t="str">
            <v>E017050203E0516800</v>
          </cell>
          <cell r="B657" t="str">
            <v>NAN0004-0372000</v>
          </cell>
          <cell r="C657" t="str">
            <v>E017</v>
          </cell>
          <cell r="D657" t="str">
            <v>03</v>
          </cell>
          <cell r="E657" t="str">
            <v>กุญแจเกี่ยวลูกบิด PBM สีดำ #5168-01</v>
          </cell>
          <cell r="F657">
            <v>85</v>
          </cell>
          <cell r="G657">
            <v>130.84</v>
          </cell>
        </row>
        <row r="658">
          <cell r="A658" t="str">
            <v>E017050204E0516800</v>
          </cell>
          <cell r="B658" t="str">
            <v>NAN0011-0372000</v>
          </cell>
          <cell r="C658" t="str">
            <v>E017</v>
          </cell>
          <cell r="D658" t="str">
            <v>04</v>
          </cell>
          <cell r="E658" t="str">
            <v>กุญแจเกี่ยวลูกบิด PBM สีอบขาว #5168-01</v>
          </cell>
          <cell r="F658">
            <v>45</v>
          </cell>
          <cell r="G658">
            <v>130.84</v>
          </cell>
        </row>
        <row r="659">
          <cell r="A659" t="str">
            <v>E017050301E0516800</v>
          </cell>
          <cell r="B659" t="str">
            <v>NAN0001-0371000</v>
          </cell>
          <cell r="C659" t="str">
            <v>E017</v>
          </cell>
          <cell r="D659" t="str">
            <v>01</v>
          </cell>
          <cell r="E659" t="str">
            <v>กุญแจสวิงลูกบิด สีขาวอลู PBM #5168-02</v>
          </cell>
          <cell r="F659">
            <v>0</v>
          </cell>
          <cell r="G659">
            <v>157.01</v>
          </cell>
        </row>
        <row r="660">
          <cell r="A660" t="str">
            <v>E017050302E0516800</v>
          </cell>
          <cell r="B660" t="str">
            <v>NAN0002-0371000</v>
          </cell>
          <cell r="C660" t="str">
            <v>E017</v>
          </cell>
          <cell r="D660" t="str">
            <v>02</v>
          </cell>
          <cell r="E660" t="str">
            <v>กุญแจสวิงลูกบิด PBM สีชา #5168-02</v>
          </cell>
          <cell r="F660">
            <v>0</v>
          </cell>
          <cell r="G660">
            <v>157.01</v>
          </cell>
        </row>
        <row r="661">
          <cell r="A661" t="str">
            <v>E017050303E0516800</v>
          </cell>
          <cell r="B661" t="str">
            <v>NAN0004-0371000</v>
          </cell>
          <cell r="C661" t="str">
            <v>E017</v>
          </cell>
          <cell r="D661" t="str">
            <v>03</v>
          </cell>
          <cell r="E661" t="str">
            <v>กุญแจสวิงลูกบิด PBM สีดำ #5168-02</v>
          </cell>
          <cell r="F661">
            <v>51</v>
          </cell>
          <cell r="G661">
            <v>157.01</v>
          </cell>
        </row>
        <row r="662">
          <cell r="A662" t="str">
            <v>E017050304E0516800</v>
          </cell>
          <cell r="B662" t="str">
            <v>NAN0011-0371000</v>
          </cell>
          <cell r="C662" t="str">
            <v>E017</v>
          </cell>
          <cell r="D662" t="str">
            <v>04</v>
          </cell>
          <cell r="E662" t="str">
            <v>กุญแจสวิงลูกบิด PBM สีอบขาว #5168-02</v>
          </cell>
          <cell r="F662">
            <v>90</v>
          </cell>
          <cell r="G662">
            <v>157.01</v>
          </cell>
        </row>
        <row r="663">
          <cell r="A663" t="str">
            <v>E01708000000000000</v>
          </cell>
          <cell r="B663" t="str">
            <v>NAN0000</v>
          </cell>
          <cell r="C663" t="str">
            <v>E017</v>
          </cell>
          <cell r="D663" t="str">
            <v>00</v>
          </cell>
          <cell r="E663" t="str">
            <v>บานพับ ยี่ห้อ PBM (กลุ่ม)</v>
          </cell>
          <cell r="F663">
            <v>101</v>
          </cell>
          <cell r="G663">
            <v>0</v>
          </cell>
        </row>
        <row r="664">
          <cell r="A664" t="str">
            <v>E017080100H0000800</v>
          </cell>
          <cell r="B664" t="str">
            <v>NAN0000-0650008</v>
          </cell>
          <cell r="C664" t="str">
            <v>E017</v>
          </cell>
          <cell r="D664" t="str">
            <v>00</v>
          </cell>
          <cell r="E664" t="str">
            <v>บานพับกระทุ้งสี่แขน 8 นิ้ว PBM #201-8</v>
          </cell>
          <cell r="F664">
            <v>39</v>
          </cell>
          <cell r="G664">
            <v>48.6</v>
          </cell>
        </row>
        <row r="665">
          <cell r="A665" t="str">
            <v>E017080100H0001000</v>
          </cell>
          <cell r="B665" t="str">
            <v>NAN0000-0650010</v>
          </cell>
          <cell r="C665" t="str">
            <v>E017</v>
          </cell>
          <cell r="D665" t="str">
            <v>00</v>
          </cell>
          <cell r="E665" t="str">
            <v>บานพับกระทุ้งสี่แขน 10 นิ้ว PBM #201-10</v>
          </cell>
          <cell r="F665">
            <v>56</v>
          </cell>
          <cell r="G665">
            <v>60.75</v>
          </cell>
        </row>
        <row r="666">
          <cell r="A666" t="str">
            <v>E017080100H0001200</v>
          </cell>
          <cell r="B666" t="str">
            <v>NAN0000-0650012</v>
          </cell>
          <cell r="C666" t="str">
            <v>E017</v>
          </cell>
          <cell r="D666" t="str">
            <v>00</v>
          </cell>
          <cell r="E666" t="str">
            <v>บานพับกระทุ้งสี่แขน 12 นิ้ว PBM #201-12</v>
          </cell>
          <cell r="F666">
            <v>49</v>
          </cell>
          <cell r="G666">
            <v>72.900000000000006</v>
          </cell>
        </row>
        <row r="667">
          <cell r="A667" t="str">
            <v>E017080100H0001400</v>
          </cell>
          <cell r="B667" t="str">
            <v>NAN0000-0650014</v>
          </cell>
          <cell r="C667" t="str">
            <v>E017</v>
          </cell>
          <cell r="D667" t="str">
            <v>00</v>
          </cell>
          <cell r="E667" t="str">
            <v>บานพับกระทุ้งสี่แขน 14 นิ้ว PBM #201-14</v>
          </cell>
          <cell r="F667">
            <v>39</v>
          </cell>
          <cell r="G667">
            <v>85.05</v>
          </cell>
        </row>
        <row r="668">
          <cell r="A668" t="str">
            <v>E017080100H0001600</v>
          </cell>
          <cell r="B668" t="str">
            <v>NAN0000-0650016</v>
          </cell>
          <cell r="C668" t="str">
            <v>E017</v>
          </cell>
          <cell r="D668" t="str">
            <v>00</v>
          </cell>
          <cell r="E668" t="str">
            <v>บานพับกระทุ้งสี่แขน 16 นิ้ว PBM #201-16</v>
          </cell>
          <cell r="F668">
            <v>33</v>
          </cell>
          <cell r="G668">
            <v>97.2</v>
          </cell>
        </row>
        <row r="669">
          <cell r="A669" t="str">
            <v>E017080100H1351200</v>
          </cell>
          <cell r="B669" t="str">
            <v/>
          </cell>
          <cell r="C669" t="str">
            <v>E017</v>
          </cell>
          <cell r="D669" t="str">
            <v>00</v>
          </cell>
          <cell r="E669" t="str">
            <v>EURO บานพับ 4 Bar 12 นิ้ว PBM #304-13512</v>
          </cell>
          <cell r="F669">
            <v>6</v>
          </cell>
          <cell r="G669">
            <v>41.12</v>
          </cell>
        </row>
        <row r="670">
          <cell r="A670" t="str">
            <v>E017080101H0004001</v>
          </cell>
          <cell r="B670" t="str">
            <v>NAN0001-0650000</v>
          </cell>
          <cell r="C670" t="str">
            <v>E017</v>
          </cell>
          <cell r="D670" t="str">
            <v>01</v>
          </cell>
          <cell r="E670" t="str">
            <v>บานพับข้อเสือ ข้างขวา-R สีขาวอลู PBM #040</v>
          </cell>
          <cell r="F670">
            <v>0</v>
          </cell>
          <cell r="G670">
            <v>0</v>
          </cell>
        </row>
        <row r="671">
          <cell r="A671" t="str">
            <v>E017080101H0004002</v>
          </cell>
          <cell r="B671" t="str">
            <v>NAN0001-0650010</v>
          </cell>
          <cell r="C671" t="str">
            <v>E017</v>
          </cell>
          <cell r="D671" t="str">
            <v>01</v>
          </cell>
          <cell r="E671" t="str">
            <v>บานพับข้อเสือ ข้าวซ้าย-L สีขาวอลู PBM #040</v>
          </cell>
          <cell r="F671">
            <v>0</v>
          </cell>
          <cell r="G671">
            <v>0</v>
          </cell>
        </row>
        <row r="672">
          <cell r="A672" t="str">
            <v>E017080103H0000500</v>
          </cell>
          <cell r="B672" t="str">
            <v/>
          </cell>
          <cell r="C672" t="str">
            <v>E017</v>
          </cell>
          <cell r="D672" t="str">
            <v>03</v>
          </cell>
          <cell r="E672" t="str">
            <v>บานพับบานเปิด ORM สีดำ PBM #Hinge-05</v>
          </cell>
          <cell r="F672">
            <v>0</v>
          </cell>
          <cell r="G672">
            <v>0</v>
          </cell>
        </row>
        <row r="673">
          <cell r="A673" t="str">
            <v>E017080103H0000701</v>
          </cell>
          <cell r="B673" t="str">
            <v>NAN0014-0651000</v>
          </cell>
          <cell r="C673" t="str">
            <v>E017</v>
          </cell>
          <cell r="D673" t="str">
            <v>03</v>
          </cell>
          <cell r="E673" t="str">
            <v>บานพับบานเปิด เรียบ สีดำ PBM #Hinge-07</v>
          </cell>
          <cell r="F673">
            <v>269</v>
          </cell>
          <cell r="G673">
            <v>76.64</v>
          </cell>
        </row>
        <row r="674">
          <cell r="A674" t="str">
            <v>E017080103H0004003</v>
          </cell>
          <cell r="B674" t="str">
            <v>NAN0004-0650000</v>
          </cell>
          <cell r="C674" t="str">
            <v>E017</v>
          </cell>
          <cell r="D674" t="str">
            <v>03</v>
          </cell>
          <cell r="E674" t="str">
            <v>บานพับข้อเสือ ข้างขวา-R สีดำ PBM #040</v>
          </cell>
          <cell r="F674">
            <v>15</v>
          </cell>
          <cell r="G674">
            <v>172.9</v>
          </cell>
        </row>
        <row r="675">
          <cell r="A675" t="str">
            <v>E017080103H0004004</v>
          </cell>
          <cell r="B675" t="str">
            <v>NAN0004-0650010</v>
          </cell>
          <cell r="C675" t="str">
            <v>E017</v>
          </cell>
          <cell r="D675" t="str">
            <v>03</v>
          </cell>
          <cell r="E675" t="str">
            <v>บานพับข้อเสือ ข้างซ้าย-L สีดำ PBM #040</v>
          </cell>
          <cell r="F675">
            <v>16</v>
          </cell>
          <cell r="G675">
            <v>172.9</v>
          </cell>
        </row>
        <row r="676">
          <cell r="A676" t="str">
            <v>E017080103H0007101</v>
          </cell>
          <cell r="B676" t="str">
            <v>NAN0004-0652000</v>
          </cell>
          <cell r="C676" t="str">
            <v>E017</v>
          </cell>
          <cell r="D676" t="str">
            <v>03</v>
          </cell>
          <cell r="E676" t="str">
            <v>บานพับบานเปิด แบบหลบติ่ง สีดำ PBM #Hinge-07.1</v>
          </cell>
          <cell r="F676">
            <v>325</v>
          </cell>
          <cell r="G676">
            <v>76.64</v>
          </cell>
        </row>
        <row r="677">
          <cell r="A677" t="str">
            <v>E017080104H0000400</v>
          </cell>
          <cell r="B677" t="str">
            <v/>
          </cell>
          <cell r="C677" t="str">
            <v>E017</v>
          </cell>
          <cell r="D677" t="str">
            <v>04</v>
          </cell>
          <cell r="E677" t="str">
            <v>บานพับบานเปิดยูเนี่ยน สีอบขาว PBM #Hinge-04</v>
          </cell>
          <cell r="F677">
            <v>0</v>
          </cell>
          <cell r="G677">
            <v>0</v>
          </cell>
        </row>
        <row r="678">
          <cell r="A678" t="str">
            <v>E017080104H0000702</v>
          </cell>
          <cell r="B678" t="str">
            <v>NAN0011-0651000</v>
          </cell>
          <cell r="C678" t="str">
            <v>E017</v>
          </cell>
          <cell r="D678" t="str">
            <v>04</v>
          </cell>
          <cell r="E678" t="str">
            <v>บานพับบานเปิด เรียบ สีอบขาว PBM #Hinge-07</v>
          </cell>
          <cell r="F678">
            <v>199</v>
          </cell>
          <cell r="G678">
            <v>76.64</v>
          </cell>
        </row>
        <row r="679">
          <cell r="A679" t="str">
            <v>E017080104H0004005</v>
          </cell>
          <cell r="B679" t="str">
            <v>NAN0011-0650000</v>
          </cell>
          <cell r="C679" t="str">
            <v>E017</v>
          </cell>
          <cell r="D679" t="str">
            <v>04</v>
          </cell>
          <cell r="E679" t="str">
            <v>บานพับข้อเสือ ข้างขวา-R สีอบขาว PBM #040</v>
          </cell>
          <cell r="F679">
            <v>35</v>
          </cell>
          <cell r="G679">
            <v>172.9</v>
          </cell>
        </row>
        <row r="680">
          <cell r="A680" t="str">
            <v>E017080104H0004006</v>
          </cell>
          <cell r="B680" t="str">
            <v>NAN0011-0650010</v>
          </cell>
          <cell r="C680" t="str">
            <v>E017</v>
          </cell>
          <cell r="D680" t="str">
            <v>04</v>
          </cell>
          <cell r="E680" t="str">
            <v>บานพับข้อเสือ ข้างซ้าย-L สีอบขาว PBM #040</v>
          </cell>
          <cell r="F680">
            <v>23</v>
          </cell>
          <cell r="G680">
            <v>172.9</v>
          </cell>
        </row>
        <row r="681">
          <cell r="A681" t="str">
            <v>E017080104H0007102</v>
          </cell>
          <cell r="B681" t="str">
            <v>NAN0011-0652000</v>
          </cell>
          <cell r="C681" t="str">
            <v>E017</v>
          </cell>
          <cell r="D681" t="str">
            <v>04</v>
          </cell>
          <cell r="E681" t="str">
            <v>บานพับบานเปิด แบบหลบติ่ง สีอบขาว PBM #Hinge-07.1</v>
          </cell>
          <cell r="F681">
            <v>433</v>
          </cell>
          <cell r="G681">
            <v>76.64</v>
          </cell>
        </row>
        <row r="682">
          <cell r="A682" t="str">
            <v>E01709000000000000</v>
          </cell>
          <cell r="B682" t="str">
            <v>NAN0000</v>
          </cell>
          <cell r="C682" t="str">
            <v>E017</v>
          </cell>
          <cell r="D682" t="str">
            <v>00</v>
          </cell>
          <cell r="E682" t="str">
            <v>มุ้ง ยี่ห้อ PBM (กลุ่ม)</v>
          </cell>
          <cell r="F682">
            <v>0</v>
          </cell>
          <cell r="G682">
            <v>0</v>
          </cell>
        </row>
        <row r="683">
          <cell r="A683" t="str">
            <v>E017090903I3363000</v>
          </cell>
          <cell r="B683" t="str">
            <v/>
          </cell>
          <cell r="C683" t="str">
            <v>E017</v>
          </cell>
          <cell r="D683" t="str">
            <v>03</v>
          </cell>
          <cell r="E683" t="str">
            <v>มุ้งไฟเบอร์ สีดำ 36 นิ้ว PBM</v>
          </cell>
          <cell r="F683">
            <v>2</v>
          </cell>
          <cell r="G683">
            <v>471.03</v>
          </cell>
        </row>
        <row r="684">
          <cell r="A684" t="str">
            <v>E017090903I3483000</v>
          </cell>
          <cell r="B684" t="str">
            <v>NAN0004-0550048</v>
          </cell>
          <cell r="C684" t="str">
            <v>E017</v>
          </cell>
          <cell r="D684" t="str">
            <v>03</v>
          </cell>
          <cell r="E684" t="str">
            <v>มุ้งไฟเบอร์ สีดำ 48 นิ้ว PBM</v>
          </cell>
          <cell r="F684">
            <v>2</v>
          </cell>
          <cell r="G684">
            <v>628.04</v>
          </cell>
        </row>
        <row r="685">
          <cell r="A685" t="str">
            <v>E017090905I3303000</v>
          </cell>
          <cell r="B685" t="str">
            <v>NAN0006-0550030</v>
          </cell>
          <cell r="C685" t="str">
            <v>E017</v>
          </cell>
          <cell r="D685" t="str">
            <v>05</v>
          </cell>
          <cell r="E685" t="str">
            <v>มุ้งไฟเบอร์ สีเทา 30 นิ้ว PBM</v>
          </cell>
          <cell r="F685">
            <v>0</v>
          </cell>
          <cell r="G685">
            <v>392.52</v>
          </cell>
        </row>
        <row r="686">
          <cell r="A686" t="str">
            <v>E017090905I3363000</v>
          </cell>
          <cell r="B686" t="str">
            <v>NAN0006-0550036</v>
          </cell>
          <cell r="C686" t="str">
            <v>E017</v>
          </cell>
          <cell r="D686" t="str">
            <v>05</v>
          </cell>
          <cell r="E686" t="str">
            <v>มุ้งไฟเบอร์ สีเทา 36 นิ้ว PBM</v>
          </cell>
          <cell r="F686">
            <v>0</v>
          </cell>
          <cell r="G686">
            <v>471.03</v>
          </cell>
        </row>
        <row r="687">
          <cell r="A687" t="str">
            <v>E017090905I3423000</v>
          </cell>
          <cell r="B687" t="str">
            <v>NAN0006-0550042</v>
          </cell>
          <cell r="C687" t="str">
            <v>E017</v>
          </cell>
          <cell r="D687" t="str">
            <v>05</v>
          </cell>
          <cell r="E687" t="str">
            <v>มุ้งไฟเบอร์ สีเทา 42 นิ้ว PBM</v>
          </cell>
          <cell r="F687">
            <v>5</v>
          </cell>
          <cell r="G687">
            <v>549.53</v>
          </cell>
        </row>
        <row r="688">
          <cell r="A688" t="str">
            <v>E017090905I3483000</v>
          </cell>
          <cell r="B688" t="str">
            <v>NAN0006-0550048</v>
          </cell>
          <cell r="C688" t="str">
            <v>E017</v>
          </cell>
          <cell r="D688" t="str">
            <v>05</v>
          </cell>
          <cell r="E688" t="str">
            <v>มุ้งไฟเบอร์ สีเทา 48 นิ้ว PBM</v>
          </cell>
          <cell r="F688">
            <v>2</v>
          </cell>
          <cell r="G688">
            <v>628.04</v>
          </cell>
        </row>
        <row r="689">
          <cell r="A689" t="str">
            <v>E017090905I3603000</v>
          </cell>
          <cell r="B689" t="str">
            <v>NAN0006-0550060</v>
          </cell>
          <cell r="C689" t="str">
            <v>E017</v>
          </cell>
          <cell r="D689" t="str">
            <v>05</v>
          </cell>
          <cell r="E689" t="str">
            <v>มุ้งไฟเบอร์ สีเทา 60 นิ้ว PBM</v>
          </cell>
          <cell r="F689">
            <v>0</v>
          </cell>
          <cell r="G689">
            <v>785.05</v>
          </cell>
        </row>
        <row r="690">
          <cell r="A690" t="str">
            <v>E01712000000000000</v>
          </cell>
          <cell r="B690" t="str">
            <v>NAN0000</v>
          </cell>
          <cell r="C690" t="str">
            <v>E017</v>
          </cell>
          <cell r="D690" t="str">
            <v>00</v>
          </cell>
          <cell r="E690" t="str">
            <v>ACC ALU ยี่ห้อ PBM (กลุ่ม)</v>
          </cell>
          <cell r="F690">
            <v>74</v>
          </cell>
          <cell r="G690">
            <v>0</v>
          </cell>
        </row>
        <row r="691">
          <cell r="A691" t="str">
            <v>E017120100L2020900</v>
          </cell>
          <cell r="B691" t="str">
            <v/>
          </cell>
          <cell r="C691" t="str">
            <v>E017</v>
          </cell>
          <cell r="D691" t="str">
            <v>00</v>
          </cell>
          <cell r="E691" t="str">
            <v>แป้นรับล็อค 09มิล PBM #0202-09</v>
          </cell>
          <cell r="F691">
            <v>124</v>
          </cell>
          <cell r="G691">
            <v>9.35</v>
          </cell>
        </row>
        <row r="692">
          <cell r="A692" t="str">
            <v>E017120205L5040500</v>
          </cell>
          <cell r="B692" t="str">
            <v>NAN0000-1111100</v>
          </cell>
          <cell r="C692" t="str">
            <v>E017</v>
          </cell>
          <cell r="D692" t="str">
            <v>05</v>
          </cell>
          <cell r="E692" t="str">
            <v>สักหลาดบานเลื่อนสีเทา 5*4 PBM #100-54450 (450 ม.)</v>
          </cell>
          <cell r="F692">
            <v>2</v>
          </cell>
          <cell r="G692">
            <v>327.10000000000002</v>
          </cell>
        </row>
        <row r="693">
          <cell r="A693" t="str">
            <v>E017120205L5061000</v>
          </cell>
          <cell r="B693" t="str">
            <v>NAN0000-1111100</v>
          </cell>
          <cell r="C693" t="str">
            <v>E017</v>
          </cell>
          <cell r="D693" t="str">
            <v>05</v>
          </cell>
          <cell r="E693" t="str">
            <v>สักหลาดบานเลื่อนสีเทา 5x6 PBM #100-56100 (100 ม.)</v>
          </cell>
          <cell r="F693">
            <v>23</v>
          </cell>
          <cell r="G693">
            <v>76.64</v>
          </cell>
        </row>
        <row r="694">
          <cell r="A694" t="str">
            <v>E017120305L7080500</v>
          </cell>
          <cell r="B694" t="str">
            <v>NAN0000-1112050</v>
          </cell>
          <cell r="C694" t="str">
            <v>E017</v>
          </cell>
          <cell r="D694" t="str">
            <v>05</v>
          </cell>
          <cell r="E694" t="str">
            <v>สักหลาดบานสวิงสีเทา 7x8 PBM #100-78050 (50 ม.)</v>
          </cell>
          <cell r="F694">
            <v>4</v>
          </cell>
          <cell r="G694">
            <v>61.68</v>
          </cell>
        </row>
        <row r="695">
          <cell r="A695" t="str">
            <v>E017120701L0230000</v>
          </cell>
          <cell r="B695" t="str">
            <v/>
          </cell>
          <cell r="C695" t="str">
            <v>E017</v>
          </cell>
          <cell r="D695" t="str">
            <v>01</v>
          </cell>
          <cell r="E695" t="str">
            <v>EURO เส้นอลูมิเนียม C 19.5 mm. สีขาวอลู PBM #0202-300C (ยาว 3เมตร)</v>
          </cell>
          <cell r="F695">
            <v>31</v>
          </cell>
          <cell r="G695">
            <v>46.73</v>
          </cell>
        </row>
        <row r="696">
          <cell r="A696" t="str">
            <v>E017120703L0230000</v>
          </cell>
          <cell r="B696" t="str">
            <v/>
          </cell>
          <cell r="C696" t="str">
            <v>E017</v>
          </cell>
          <cell r="D696" t="str">
            <v>03</v>
          </cell>
          <cell r="E696" t="str">
            <v>EURO เส้นอลูมิเนียม C 19.5 mm. สีดำ PBM #0202-300B (ยาว 3เมตร)</v>
          </cell>
          <cell r="F696">
            <v>63</v>
          </cell>
          <cell r="G696">
            <v>46.73</v>
          </cell>
        </row>
        <row r="697">
          <cell r="A697" t="str">
            <v>E017141303N0000000</v>
          </cell>
          <cell r="B697" t="str">
            <v>NTN0004-2902000</v>
          </cell>
          <cell r="C697" t="str">
            <v>E017</v>
          </cell>
          <cell r="D697" t="str">
            <v>03</v>
          </cell>
          <cell r="E697" t="str">
            <v>พลาสติกปิดหัวน็อต สีดำ PBM #EPM</v>
          </cell>
          <cell r="F697">
            <v>46500</v>
          </cell>
          <cell r="G697">
            <v>14.95</v>
          </cell>
        </row>
        <row r="698">
          <cell r="A698" t="str">
            <v>E017141304N0000000</v>
          </cell>
          <cell r="B698" t="str">
            <v>NTN0011-2902000</v>
          </cell>
          <cell r="C698" t="str">
            <v>E017</v>
          </cell>
          <cell r="D698" t="str">
            <v>04</v>
          </cell>
          <cell r="E698" t="str">
            <v>พลาสติกปิดหัวน็อต สีอบขาว PBM #EPM</v>
          </cell>
          <cell r="F698">
            <v>100700</v>
          </cell>
          <cell r="G698">
            <v>14.95</v>
          </cell>
        </row>
        <row r="699">
          <cell r="A699" t="str">
            <v>E017141305N0000000</v>
          </cell>
          <cell r="B699" t="str">
            <v>NTN0006-2902000</v>
          </cell>
          <cell r="C699" t="str">
            <v>E017</v>
          </cell>
          <cell r="D699" t="str">
            <v>05</v>
          </cell>
          <cell r="E699" t="str">
            <v>พลาสติกปิดหัวน็อต สีเทา PBM #EPM</v>
          </cell>
          <cell r="F699">
            <v>6000</v>
          </cell>
          <cell r="G699">
            <v>14.95</v>
          </cell>
        </row>
        <row r="700">
          <cell r="A700" t="str">
            <v>E018030210C0010100</v>
          </cell>
          <cell r="B700" t="str">
            <v>NAN0000-0770100</v>
          </cell>
          <cell r="C700" t="str">
            <v>E018</v>
          </cell>
          <cell r="D700">
            <v>10</v>
          </cell>
          <cell r="E700" t="str">
            <v>ลูกล้อบานเลื่อนเดี่ยว (เขียว)  MASUTA (รับนน. 50Kg.)</v>
          </cell>
          <cell r="F700">
            <v>0</v>
          </cell>
          <cell r="G700">
            <v>0</v>
          </cell>
        </row>
        <row r="701">
          <cell r="A701" t="str">
            <v>E018030211C0010200</v>
          </cell>
          <cell r="B701" t="str">
            <v>NAN0000-0770000</v>
          </cell>
          <cell r="C701" t="str">
            <v>E018</v>
          </cell>
          <cell r="D701">
            <v>11</v>
          </cell>
          <cell r="E701" t="str">
            <v>ลูกล้อบานเลื่อนเดี่ยว (แดง)  MASUTA (รับนน. 70Kg.)</v>
          </cell>
          <cell r="F701">
            <v>580</v>
          </cell>
          <cell r="G701">
            <v>16.5</v>
          </cell>
        </row>
        <row r="702">
          <cell r="A702" t="str">
            <v>E018030211C0010600</v>
          </cell>
          <cell r="B702" t="str">
            <v>NAN0000-0771000</v>
          </cell>
          <cell r="C702" t="str">
            <v>E018</v>
          </cell>
          <cell r="D702">
            <v>11</v>
          </cell>
          <cell r="E702" t="str">
            <v>ลูกล้อบานเลื่อนคู่  MASUTA (รับนน. 100Kg.)</v>
          </cell>
          <cell r="F702">
            <v>0</v>
          </cell>
          <cell r="G702">
            <v>0</v>
          </cell>
        </row>
        <row r="703">
          <cell r="A703" t="str">
            <v>E018030800C0010700</v>
          </cell>
          <cell r="B703" t="str">
            <v>NAN0000-0772000</v>
          </cell>
          <cell r="C703" t="str">
            <v>E018</v>
          </cell>
          <cell r="D703" t="str">
            <v>00</v>
          </cell>
          <cell r="E703" t="str">
            <v>ลูกล้อรางแขวน 4 ล้อ (คู่) MASUTA (รับนน. 120Kg.)</v>
          </cell>
          <cell r="F703">
            <v>0</v>
          </cell>
          <cell r="G703">
            <v>0</v>
          </cell>
        </row>
        <row r="704">
          <cell r="A704" t="str">
            <v>E018030900C0011200</v>
          </cell>
          <cell r="B704" t="str">
            <v>NAN0000-0774000</v>
          </cell>
          <cell r="C704" t="str">
            <v>E018</v>
          </cell>
          <cell r="D704" t="str">
            <v>00</v>
          </cell>
          <cell r="E704" t="str">
            <v>ลูกล้อมุ้งพลาสติก (ลูกปืน)  MASUTA (รับนน. 4-5Kg.)</v>
          </cell>
          <cell r="F704">
            <v>2</v>
          </cell>
          <cell r="G704">
            <v>5.5</v>
          </cell>
        </row>
        <row r="705">
          <cell r="A705" t="str">
            <v>E019040314D3011700</v>
          </cell>
          <cell r="B705" t="str">
            <v>NAN0000-0261117</v>
          </cell>
          <cell r="C705" t="str">
            <v>E019</v>
          </cell>
          <cell r="D705">
            <v>14</v>
          </cell>
          <cell r="E705" t="str">
            <v>มือจับสแตนเลส SUN รุ่น 117 PS ขนาด 305x25x75</v>
          </cell>
          <cell r="F705">
            <v>242</v>
          </cell>
          <cell r="G705">
            <v>160</v>
          </cell>
        </row>
        <row r="706">
          <cell r="A706" t="str">
            <v>E02004000000000000</v>
          </cell>
          <cell r="B706" t="str">
            <v>NAN0000</v>
          </cell>
          <cell r="C706" t="str">
            <v>E020</v>
          </cell>
          <cell r="D706" t="str">
            <v>00</v>
          </cell>
          <cell r="E706" t="str">
            <v>มือจับ ยี่ห้อ DEE-P (กลุ่ม)</v>
          </cell>
          <cell r="F706">
            <v>0</v>
          </cell>
          <cell r="G706">
            <v>0</v>
          </cell>
        </row>
        <row r="707">
          <cell r="A707" t="str">
            <v>E020040314D3011700</v>
          </cell>
          <cell r="B707" t="str">
            <v>NAN0000-0267117</v>
          </cell>
          <cell r="C707" t="str">
            <v>E020</v>
          </cell>
          <cell r="D707">
            <v>14</v>
          </cell>
          <cell r="E707" t="str">
            <v>มือจับสแตนเลส DEE-P รุ่น 117 PS ขนาด 305x25x75</v>
          </cell>
          <cell r="F707">
            <v>435</v>
          </cell>
          <cell r="G707">
            <v>65</v>
          </cell>
        </row>
        <row r="708">
          <cell r="A708" t="str">
            <v>E020080100H0000800</v>
          </cell>
          <cell r="B708" t="str">
            <v>NAN0000-0620008</v>
          </cell>
          <cell r="C708" t="str">
            <v>E020</v>
          </cell>
          <cell r="D708" t="str">
            <v>00</v>
          </cell>
          <cell r="E708" t="str">
            <v>บานพับกระทุ้งสี่แขน 8 นิ้ว DEE-P</v>
          </cell>
          <cell r="F708">
            <v>270</v>
          </cell>
          <cell r="G708">
            <v>44</v>
          </cell>
        </row>
        <row r="709">
          <cell r="A709" t="str">
            <v>E020080100H0001000</v>
          </cell>
          <cell r="B709" t="str">
            <v>NAN0000-0620010</v>
          </cell>
          <cell r="C709" t="str">
            <v>E020</v>
          </cell>
          <cell r="D709" t="str">
            <v>00</v>
          </cell>
          <cell r="E709" t="str">
            <v>บานพับกระทุ้งสี่แขน 10 นิ้ว DEE-P</v>
          </cell>
          <cell r="F709">
            <v>462</v>
          </cell>
          <cell r="G709">
            <v>55</v>
          </cell>
        </row>
        <row r="710">
          <cell r="A710" t="str">
            <v>E020080100H0001200</v>
          </cell>
          <cell r="B710" t="str">
            <v>NAN0000-0620012</v>
          </cell>
          <cell r="C710" t="str">
            <v>E020</v>
          </cell>
          <cell r="D710" t="str">
            <v>00</v>
          </cell>
          <cell r="E710" t="str">
            <v>บานพับกระทุ้งสี่แขน 12 นิ้ว DEE-P</v>
          </cell>
          <cell r="F710">
            <v>327</v>
          </cell>
          <cell r="G710">
            <v>66</v>
          </cell>
        </row>
        <row r="711">
          <cell r="A711" t="str">
            <v>E020080100H0001400</v>
          </cell>
          <cell r="B711" t="str">
            <v>NAN0000-0620014</v>
          </cell>
          <cell r="C711" t="str">
            <v>E020</v>
          </cell>
          <cell r="D711" t="str">
            <v>00</v>
          </cell>
          <cell r="E711" t="str">
            <v>บานพับกระทุ้งสี่แขน 14 นิ้ว DEE-P</v>
          </cell>
          <cell r="F711">
            <v>168</v>
          </cell>
          <cell r="G711">
            <v>77</v>
          </cell>
        </row>
        <row r="712">
          <cell r="A712" t="str">
            <v>E020080100H0001600</v>
          </cell>
          <cell r="B712" t="str">
            <v>NAN0000-0620016</v>
          </cell>
          <cell r="C712" t="str">
            <v>E020</v>
          </cell>
          <cell r="D712" t="str">
            <v>00</v>
          </cell>
          <cell r="E712" t="str">
            <v>บานพับกระทุ้งสี่แขน 16 นิ้ว DEE-P</v>
          </cell>
          <cell r="F712">
            <v>225</v>
          </cell>
          <cell r="G712">
            <v>88</v>
          </cell>
        </row>
        <row r="713">
          <cell r="A713" t="str">
            <v>E02102000000000000</v>
          </cell>
          <cell r="B713" t="str">
            <v>NAN0000</v>
          </cell>
          <cell r="C713" t="str">
            <v>E021</v>
          </cell>
          <cell r="D713" t="str">
            <v>00</v>
          </cell>
          <cell r="E713" t="str">
            <v>โช้ค ยี่ห้อRP (กลุ่ม)</v>
          </cell>
          <cell r="F713">
            <v>0</v>
          </cell>
          <cell r="G713">
            <v>0</v>
          </cell>
        </row>
        <row r="714">
          <cell r="A714" t="str">
            <v>E02104000000000000</v>
          </cell>
          <cell r="B714" t="str">
            <v>NAN0000</v>
          </cell>
          <cell r="C714" t="str">
            <v>E021</v>
          </cell>
          <cell r="D714" t="str">
            <v>00</v>
          </cell>
          <cell r="E714" t="str">
            <v>มือจับ ยี่ห้อ RP (กลุ่ม)</v>
          </cell>
          <cell r="F714">
            <v>1</v>
          </cell>
          <cell r="G714">
            <v>0</v>
          </cell>
        </row>
        <row r="715">
          <cell r="A715" t="str">
            <v>E021040303D3071100</v>
          </cell>
          <cell r="B715" t="str">
            <v>NAN0014-0291711</v>
          </cell>
          <cell r="C715" t="str">
            <v>E021</v>
          </cell>
          <cell r="D715" t="str">
            <v>03</v>
          </cell>
          <cell r="E715" t="str">
            <v>มือจับสแตนเลส RP รุ่น 711 ขนาด 305x25x25 สีอบดำซาติน</v>
          </cell>
          <cell r="F715">
            <v>17</v>
          </cell>
          <cell r="G715">
            <v>600</v>
          </cell>
        </row>
        <row r="716">
          <cell r="A716" t="str">
            <v>E021040306D3071200</v>
          </cell>
          <cell r="B716" t="str">
            <v>NAN0016-0294712</v>
          </cell>
          <cell r="C716" t="str">
            <v>E021</v>
          </cell>
          <cell r="D716" t="str">
            <v>06</v>
          </cell>
          <cell r="E716" t="str">
            <v>มือจับสแตนเลส RP รุ่น 712 ขนาด 305x25x25 สีเทาซาฮาร่า</v>
          </cell>
          <cell r="F716">
            <v>7</v>
          </cell>
          <cell r="G716">
            <v>600</v>
          </cell>
        </row>
        <row r="717">
          <cell r="A717" t="str">
            <v>E021040315D0071300</v>
          </cell>
          <cell r="B717" t="str">
            <v>NAN0000-0291713</v>
          </cell>
          <cell r="C717" t="str">
            <v>E021</v>
          </cell>
          <cell r="D717">
            <v>15</v>
          </cell>
          <cell r="E717" t="str">
            <v>มือจับสแตนเลส RP รุ่น 713 SS ขนาด 305x25x25 (แฮร์ไลน์)</v>
          </cell>
          <cell r="F717">
            <v>9</v>
          </cell>
          <cell r="G717">
            <v>600</v>
          </cell>
        </row>
        <row r="718">
          <cell r="A718" t="str">
            <v>E02113000000000000</v>
          </cell>
          <cell r="B718" t="str">
            <v>NGH000-00000</v>
          </cell>
          <cell r="C718" t="str">
            <v>E021</v>
          </cell>
          <cell r="D718" t="str">
            <v>00</v>
          </cell>
          <cell r="E718" t="str">
            <v>อุปกรณ์กระจก ยี่ห้อ RP (กลุ่ม)</v>
          </cell>
          <cell r="F718">
            <v>8</v>
          </cell>
          <cell r="G718">
            <v>0</v>
          </cell>
        </row>
        <row r="719">
          <cell r="A719" t="str">
            <v>E021131114M0026200</v>
          </cell>
          <cell r="B719" t="str">
            <v>NGBRP-BL262</v>
          </cell>
          <cell r="C719" t="str">
            <v>E021</v>
          </cell>
          <cell r="D719">
            <v>14</v>
          </cell>
          <cell r="E719" t="str">
            <v>ตัวหนีบกระจกห้องน้ำรุ่นเล็ก RP #BL-262</v>
          </cell>
          <cell r="F719">
            <v>81</v>
          </cell>
          <cell r="G719">
            <v>88</v>
          </cell>
        </row>
        <row r="720">
          <cell r="A720" t="str">
            <v>E022040201D2109800</v>
          </cell>
          <cell r="B720" t="str">
            <v>NAN0001-0220001</v>
          </cell>
          <cell r="C720" t="str">
            <v>E022</v>
          </cell>
          <cell r="D720" t="str">
            <v>01</v>
          </cell>
          <cell r="E720" t="str">
            <v>มือจับล็อค รุ่นใหญ่ สีขาวอลู HUSZA #SE340</v>
          </cell>
          <cell r="F720">
            <v>795</v>
          </cell>
          <cell r="G720">
            <v>41.12</v>
          </cell>
        </row>
        <row r="721">
          <cell r="A721" t="str">
            <v>E022040201D2110200</v>
          </cell>
          <cell r="B721" t="str">
            <v>NAN0001-0220000</v>
          </cell>
          <cell r="C721" t="str">
            <v>E022</v>
          </cell>
          <cell r="D721" t="str">
            <v>01</v>
          </cell>
          <cell r="E721" t="str">
            <v>มือจับล็อค สีขาวอลู HUSZA #MHZ-102</v>
          </cell>
          <cell r="F721">
            <v>43</v>
          </cell>
          <cell r="G721">
            <v>114.39</v>
          </cell>
        </row>
        <row r="722">
          <cell r="A722" t="str">
            <v>E022040201D2110300</v>
          </cell>
          <cell r="B722" t="str">
            <v>NAN0001-0221000</v>
          </cell>
          <cell r="C722" t="str">
            <v>E022</v>
          </cell>
          <cell r="D722" t="str">
            <v>01</v>
          </cell>
          <cell r="E722" t="str">
            <v>มือจับกุญแจ สีขาวอลู HUSZA #MHZ-103</v>
          </cell>
          <cell r="F722">
            <v>66</v>
          </cell>
          <cell r="G722">
            <v>134.53</v>
          </cell>
        </row>
        <row r="723">
          <cell r="A723" t="str">
            <v>E022040201D2209800</v>
          </cell>
          <cell r="B723" t="str">
            <v>NAN0001-0221001</v>
          </cell>
          <cell r="C723" t="str">
            <v>E022</v>
          </cell>
          <cell r="D723" t="str">
            <v>01</v>
          </cell>
          <cell r="E723" t="str">
            <v>มือจับกุญแจ รุ่นใหญ่ สีขาวอลู HUSZA #SE380</v>
          </cell>
          <cell r="F723">
            <v>620</v>
          </cell>
          <cell r="G723">
            <v>65.540000000000006</v>
          </cell>
        </row>
        <row r="724">
          <cell r="A724" t="str">
            <v>E022040201D2309800</v>
          </cell>
          <cell r="B724" t="str">
            <v>NAN0001-0222001</v>
          </cell>
          <cell r="C724" t="str">
            <v>E022</v>
          </cell>
          <cell r="D724" t="str">
            <v>01</v>
          </cell>
          <cell r="E724" t="str">
            <v>มือจับเรียบมีรู รุ่นใหญ่ สีขาวอลู HUSZA #SE330-1</v>
          </cell>
          <cell r="F724">
            <v>538</v>
          </cell>
          <cell r="G724">
            <v>25.23</v>
          </cell>
        </row>
        <row r="725">
          <cell r="A725" t="str">
            <v>E022040201D2310000</v>
          </cell>
          <cell r="B725" t="str">
            <v>NAN0001-0222000</v>
          </cell>
          <cell r="C725" t="str">
            <v>E022</v>
          </cell>
          <cell r="D725" t="str">
            <v>01</v>
          </cell>
          <cell r="E725" t="str">
            <v>มือจับเรียบมีรู สีขาวอลู HUSZA #MHZ-100</v>
          </cell>
          <cell r="F725">
            <v>64</v>
          </cell>
          <cell r="G725">
            <v>87.48</v>
          </cell>
        </row>
        <row r="726">
          <cell r="A726" t="str">
            <v>E022040201D2409800</v>
          </cell>
          <cell r="B726" t="str">
            <v>NAN0001-0223001</v>
          </cell>
          <cell r="C726" t="str">
            <v>E022</v>
          </cell>
          <cell r="D726" t="str">
            <v>01</v>
          </cell>
          <cell r="E726" t="str">
            <v>มือจับเรียบไม่มีรู รุ่นใหญ่ สีขาวอลู HUSZA #SE330-2</v>
          </cell>
          <cell r="F726">
            <v>329</v>
          </cell>
          <cell r="G726">
            <v>25.23</v>
          </cell>
        </row>
        <row r="727">
          <cell r="A727" t="str">
            <v>E022040201D2410100</v>
          </cell>
          <cell r="B727" t="str">
            <v>NAN0001-0223000</v>
          </cell>
          <cell r="C727" t="str">
            <v>E022</v>
          </cell>
          <cell r="D727" t="str">
            <v>01</v>
          </cell>
          <cell r="E727" t="str">
            <v>มือจับเรียบไม่มีรู สีขาวอลู HUSZA #MHZ-101</v>
          </cell>
          <cell r="F727">
            <v>50</v>
          </cell>
          <cell r="G727">
            <v>87.48</v>
          </cell>
        </row>
        <row r="728">
          <cell r="A728" t="str">
            <v>E022040202D2109800</v>
          </cell>
          <cell r="B728" t="str">
            <v>NAN0002-0220001</v>
          </cell>
          <cell r="C728" t="str">
            <v>E022</v>
          </cell>
          <cell r="D728" t="str">
            <v>02</v>
          </cell>
          <cell r="E728" t="str">
            <v>มือจับล็อค รุ่นใหญ่ สีชา HUSZA #SE340</v>
          </cell>
          <cell r="F728">
            <v>1005</v>
          </cell>
          <cell r="G728">
            <v>41.12</v>
          </cell>
        </row>
        <row r="729">
          <cell r="A729" t="str">
            <v>E022040202D2110200</v>
          </cell>
          <cell r="B729" t="str">
            <v>NAN0002-0220000</v>
          </cell>
          <cell r="C729" t="str">
            <v>E022</v>
          </cell>
          <cell r="D729" t="str">
            <v>02</v>
          </cell>
          <cell r="E729" t="str">
            <v>มือจับล็อค สีชา HUSZA MHZ-102</v>
          </cell>
          <cell r="F729">
            <v>111</v>
          </cell>
          <cell r="G729">
            <v>114.39</v>
          </cell>
        </row>
        <row r="730">
          <cell r="A730" t="str">
            <v>E022040202D2209800</v>
          </cell>
          <cell r="B730" t="str">
            <v>NAN0002-0221001</v>
          </cell>
          <cell r="C730" t="str">
            <v>E022</v>
          </cell>
          <cell r="D730" t="str">
            <v>02</v>
          </cell>
          <cell r="E730" t="str">
            <v>มือจับกุญแจ รุ่นใหญ่ สีชา HUSZA #SE380</v>
          </cell>
          <cell r="F730">
            <v>758</v>
          </cell>
          <cell r="G730">
            <v>65.540000000000006</v>
          </cell>
        </row>
        <row r="731">
          <cell r="A731" t="str">
            <v>E022040202D2210300</v>
          </cell>
          <cell r="B731" t="str">
            <v>NAN0002-0221000</v>
          </cell>
          <cell r="C731" t="str">
            <v>E022</v>
          </cell>
          <cell r="D731" t="str">
            <v>02</v>
          </cell>
          <cell r="E731" t="str">
            <v>มือจับกุญแจ สีชา HUSZA MHZ-103</v>
          </cell>
          <cell r="F731">
            <v>79</v>
          </cell>
          <cell r="G731">
            <v>134.59</v>
          </cell>
        </row>
        <row r="732">
          <cell r="A732" t="str">
            <v>E022040202D2309800</v>
          </cell>
          <cell r="B732" t="str">
            <v>NAN0002-0222001</v>
          </cell>
          <cell r="C732" t="str">
            <v>E022</v>
          </cell>
          <cell r="D732" t="str">
            <v>02</v>
          </cell>
          <cell r="E732" t="str">
            <v>มือจับเรียบมีรู รุ่นใหญ่ สีชา HUSZA #SE330-1</v>
          </cell>
          <cell r="F732">
            <v>782</v>
          </cell>
          <cell r="G732">
            <v>25.23</v>
          </cell>
        </row>
        <row r="733">
          <cell r="A733" t="str">
            <v>E022040202D2310000</v>
          </cell>
          <cell r="B733" t="str">
            <v>NAN0002-0222000</v>
          </cell>
          <cell r="C733" t="str">
            <v>E022</v>
          </cell>
          <cell r="D733" t="str">
            <v>02</v>
          </cell>
          <cell r="E733" t="str">
            <v>มือจับเรียบมีรู สีชา HUSZA  MHZ-100</v>
          </cell>
          <cell r="F733">
            <v>55</v>
          </cell>
          <cell r="G733">
            <v>87.48</v>
          </cell>
        </row>
        <row r="734">
          <cell r="A734" t="str">
            <v>E022040202D2409800</v>
          </cell>
          <cell r="B734" t="str">
            <v>NAN0002-0223001</v>
          </cell>
          <cell r="C734" t="str">
            <v>E022</v>
          </cell>
          <cell r="D734" t="str">
            <v>02</v>
          </cell>
          <cell r="E734" t="str">
            <v>มือจับเรียบไม่มีรู รุ่นใหญ่ สีชา HUSZA #SE330-2</v>
          </cell>
          <cell r="F734">
            <v>1262</v>
          </cell>
          <cell r="G734">
            <v>25.23</v>
          </cell>
        </row>
        <row r="735">
          <cell r="A735" t="str">
            <v>E022040202D2410100</v>
          </cell>
          <cell r="B735" t="str">
            <v>NAN0002-0223000</v>
          </cell>
          <cell r="C735" t="str">
            <v>E022</v>
          </cell>
          <cell r="D735" t="str">
            <v>02</v>
          </cell>
          <cell r="E735" t="str">
            <v>มือจับเรียบไม่มีรู สีชา HUSZA MHZ-101</v>
          </cell>
          <cell r="F735">
            <v>97</v>
          </cell>
          <cell r="G735">
            <v>87.48</v>
          </cell>
        </row>
        <row r="736">
          <cell r="A736" t="str">
            <v>E022040203D2109800</v>
          </cell>
          <cell r="B736" t="str">
            <v>NAN0004-0220001</v>
          </cell>
          <cell r="C736" t="str">
            <v>E022</v>
          </cell>
          <cell r="D736" t="str">
            <v>03</v>
          </cell>
          <cell r="E736" t="str">
            <v>มือจับล็อค รุ่นใหญ่ สีดำ HUSZA #SE340</v>
          </cell>
          <cell r="F736">
            <v>5075</v>
          </cell>
          <cell r="G736">
            <v>41.12</v>
          </cell>
        </row>
        <row r="737">
          <cell r="A737" t="str">
            <v>E022040203D2110200</v>
          </cell>
          <cell r="B737" t="str">
            <v>NAN0004-0220000</v>
          </cell>
          <cell r="C737" t="str">
            <v>E022</v>
          </cell>
          <cell r="D737" t="str">
            <v>03</v>
          </cell>
          <cell r="E737" t="str">
            <v>มือจับล็อค สีดำ HUSZA  MHZ-102</v>
          </cell>
          <cell r="F737">
            <v>205</v>
          </cell>
          <cell r="G737">
            <v>114.39</v>
          </cell>
        </row>
        <row r="738">
          <cell r="A738" t="str">
            <v>E022040203D2209800</v>
          </cell>
          <cell r="B738" t="str">
            <v>NAN0004-0221001</v>
          </cell>
          <cell r="C738" t="str">
            <v>E022</v>
          </cell>
          <cell r="D738" t="str">
            <v>03</v>
          </cell>
          <cell r="E738" t="str">
            <v>มือจับกุญแจ รุ่นใหญ่ สีดำ HUSZA #SE380</v>
          </cell>
          <cell r="F738">
            <v>1426</v>
          </cell>
          <cell r="G738">
            <v>65.540000000000006</v>
          </cell>
        </row>
        <row r="739">
          <cell r="A739" t="str">
            <v>E022040203D2210300</v>
          </cell>
          <cell r="B739" t="str">
            <v>NAN0004-0221000</v>
          </cell>
          <cell r="C739" t="str">
            <v>E022</v>
          </cell>
          <cell r="D739" t="str">
            <v>03</v>
          </cell>
          <cell r="E739" t="str">
            <v>มือจับกุญแจ สีดำ HUSZA MHZ-103</v>
          </cell>
          <cell r="F739">
            <v>210</v>
          </cell>
          <cell r="G739">
            <v>134.59</v>
          </cell>
        </row>
        <row r="740">
          <cell r="A740" t="str">
            <v>E022040203D2309800</v>
          </cell>
          <cell r="B740" t="str">
            <v>NAN0004-0222001</v>
          </cell>
          <cell r="C740" t="str">
            <v>E022</v>
          </cell>
          <cell r="D740" t="str">
            <v>03</v>
          </cell>
          <cell r="E740" t="str">
            <v>มือจับเรียบมีรู รุ่นใหญ่ สีดำ HUSZA #SE330-1</v>
          </cell>
          <cell r="F740">
            <v>1622</v>
          </cell>
          <cell r="G740">
            <v>25.23</v>
          </cell>
        </row>
        <row r="741">
          <cell r="A741" t="str">
            <v>E022040203D2310000</v>
          </cell>
          <cell r="B741" t="str">
            <v>NAN0004-0222000</v>
          </cell>
          <cell r="C741" t="str">
            <v>E022</v>
          </cell>
          <cell r="D741" t="str">
            <v>03</v>
          </cell>
          <cell r="E741" t="str">
            <v>มือจับเรียบมีรู สีดำ HUSZA MHZ-100</v>
          </cell>
          <cell r="F741">
            <v>317</v>
          </cell>
          <cell r="G741">
            <v>87.48</v>
          </cell>
        </row>
        <row r="742">
          <cell r="A742" t="str">
            <v>E022040203D2409800</v>
          </cell>
          <cell r="B742" t="str">
            <v>NAN0004-0223001</v>
          </cell>
          <cell r="C742" t="str">
            <v>E022</v>
          </cell>
          <cell r="D742" t="str">
            <v>03</v>
          </cell>
          <cell r="E742" t="str">
            <v>มือจับเรียบไม่มีรู รุ่นใหญ่ สีดำ HUSZA #SE330-2</v>
          </cell>
          <cell r="F742">
            <v>1769</v>
          </cell>
          <cell r="G742">
            <v>25.23</v>
          </cell>
        </row>
        <row r="743">
          <cell r="A743" t="str">
            <v>E022040203D2410100</v>
          </cell>
          <cell r="B743" t="str">
            <v>NAN0004-0223000</v>
          </cell>
          <cell r="C743" t="str">
            <v>E022</v>
          </cell>
          <cell r="D743" t="str">
            <v>03</v>
          </cell>
          <cell r="E743" t="str">
            <v>มือจับเรียบไม่มีรู สีดำ HUSZA  MHZ-101</v>
          </cell>
          <cell r="F743">
            <v>297</v>
          </cell>
          <cell r="G743">
            <v>87.48</v>
          </cell>
        </row>
        <row r="744">
          <cell r="A744" t="str">
            <v>E022040204D2109800</v>
          </cell>
          <cell r="B744" t="str">
            <v>NAN0011-0220001</v>
          </cell>
          <cell r="C744" t="str">
            <v>E022</v>
          </cell>
          <cell r="D744" t="str">
            <v>04</v>
          </cell>
          <cell r="E744" t="str">
            <v>มือจับล็อค รุ่นใหญ่ สีอบขาว HUSZA #SE340</v>
          </cell>
          <cell r="F744">
            <v>5567</v>
          </cell>
          <cell r="G744">
            <v>41.12</v>
          </cell>
        </row>
        <row r="745">
          <cell r="A745" t="str">
            <v>E022040204D2110200</v>
          </cell>
          <cell r="B745" t="str">
            <v>NAN0011-0220000</v>
          </cell>
          <cell r="C745" t="str">
            <v>E022</v>
          </cell>
          <cell r="D745" t="str">
            <v>04</v>
          </cell>
          <cell r="E745" t="str">
            <v>มือจับล็อค สีอบขาว HUSZA  MHZ-102</v>
          </cell>
          <cell r="F745">
            <v>286</v>
          </cell>
          <cell r="G745">
            <v>114.39</v>
          </cell>
        </row>
        <row r="746">
          <cell r="A746" t="str">
            <v>E022040204D2209800</v>
          </cell>
          <cell r="B746" t="str">
            <v>NAN0011-0221001</v>
          </cell>
          <cell r="C746" t="str">
            <v>E022</v>
          </cell>
          <cell r="D746" t="str">
            <v>04</v>
          </cell>
          <cell r="E746" t="str">
            <v>มือจับกุญแจ รุ่นใหญ่ สีอบขาว HUSZA #SE380</v>
          </cell>
          <cell r="F746">
            <v>1337</v>
          </cell>
          <cell r="G746">
            <v>65.540000000000006</v>
          </cell>
        </row>
        <row r="747">
          <cell r="A747" t="str">
            <v>E022040204D2210300</v>
          </cell>
          <cell r="B747" t="str">
            <v>NAN0011-0221000</v>
          </cell>
          <cell r="C747" t="str">
            <v>E022</v>
          </cell>
          <cell r="D747" t="str">
            <v>04</v>
          </cell>
          <cell r="E747" t="str">
            <v>มือจับกุญแจ สีอบขาว HUSZA MHZ-103</v>
          </cell>
          <cell r="F747">
            <v>185</v>
          </cell>
          <cell r="G747">
            <v>134.59</v>
          </cell>
        </row>
        <row r="748">
          <cell r="A748" t="str">
            <v>E022040204D2309800</v>
          </cell>
          <cell r="B748" t="str">
            <v>NAN0011-0222001</v>
          </cell>
          <cell r="C748" t="str">
            <v>E022</v>
          </cell>
          <cell r="D748" t="str">
            <v>04</v>
          </cell>
          <cell r="E748" t="str">
            <v>มือจับเรียบมีรู รุ่นใหญ่ สีอบขาว HUSZA #SE330-1</v>
          </cell>
          <cell r="F748">
            <v>1843</v>
          </cell>
          <cell r="G748">
            <v>25.23</v>
          </cell>
        </row>
        <row r="749">
          <cell r="A749" t="str">
            <v>E022040204D2310000</v>
          </cell>
          <cell r="B749" t="str">
            <v>NAN0011-0222000</v>
          </cell>
          <cell r="C749" t="str">
            <v>E022</v>
          </cell>
          <cell r="D749" t="str">
            <v>04</v>
          </cell>
          <cell r="E749" t="str">
            <v>มือจับเรียบมีรู สีอบขาว HUSZA MHZ-100</v>
          </cell>
          <cell r="F749">
            <v>134</v>
          </cell>
          <cell r="G749">
            <v>87.48</v>
          </cell>
        </row>
        <row r="750">
          <cell r="A750" t="str">
            <v>E022040204D2409800</v>
          </cell>
          <cell r="B750" t="str">
            <v>NAN0011-0223001</v>
          </cell>
          <cell r="C750" t="str">
            <v>E022</v>
          </cell>
          <cell r="D750" t="str">
            <v>04</v>
          </cell>
          <cell r="E750" t="str">
            <v>มือจับเรียบไม่มีรู รุ่นใหญ่ สีอบขาว HUSZA #SE330-2</v>
          </cell>
          <cell r="F750">
            <v>1843</v>
          </cell>
          <cell r="G750">
            <v>25.23</v>
          </cell>
        </row>
        <row r="751">
          <cell r="A751" t="str">
            <v>E022040204D2410100</v>
          </cell>
          <cell r="B751" t="str">
            <v>NAN0011-0223000</v>
          </cell>
          <cell r="C751" t="str">
            <v>E022</v>
          </cell>
          <cell r="D751" t="str">
            <v>04</v>
          </cell>
          <cell r="E751" t="str">
            <v>มือจับเรียบไม่มีรู สีอบขาว HUSZA MHZ-101</v>
          </cell>
          <cell r="F751">
            <v>141</v>
          </cell>
          <cell r="G751">
            <v>87.48</v>
          </cell>
        </row>
        <row r="752">
          <cell r="A752" t="str">
            <v>E022040206D2109800</v>
          </cell>
          <cell r="B752" t="str">
            <v>NAN0036-0220001</v>
          </cell>
          <cell r="C752" t="str">
            <v>E022</v>
          </cell>
          <cell r="D752" t="str">
            <v>06</v>
          </cell>
          <cell r="E752" t="str">
            <v>มือจับล็อค รุ่นใหญ่ สีเทาซาฮาร่า HUSZA #SE340</v>
          </cell>
          <cell r="F752">
            <v>117</v>
          </cell>
          <cell r="G752">
            <v>56.07</v>
          </cell>
        </row>
        <row r="753">
          <cell r="A753" t="str">
            <v>E022050201E0100000</v>
          </cell>
          <cell r="B753" t="str">
            <v>NAN0001-0301000</v>
          </cell>
          <cell r="C753" t="str">
            <v>E022</v>
          </cell>
          <cell r="D753" t="str">
            <v>01</v>
          </cell>
          <cell r="E753" t="str">
            <v>กุญแจลูกบิดบานเลื่อนคอม้า (ดอกแบน) สีขาวอลู HUSZA</v>
          </cell>
          <cell r="F753">
            <v>0</v>
          </cell>
          <cell r="G753">
            <v>121.12</v>
          </cell>
        </row>
        <row r="754">
          <cell r="A754" t="str">
            <v>E022050202E0100000</v>
          </cell>
          <cell r="B754" t="str">
            <v>NAN0002-0301000</v>
          </cell>
          <cell r="C754" t="str">
            <v>E022</v>
          </cell>
          <cell r="D754" t="str">
            <v>02</v>
          </cell>
          <cell r="E754" t="str">
            <v>กุญแจลูกบิดบานเลื่อนคอม้า (ดอกแบน) สีชา HUSZA</v>
          </cell>
          <cell r="F754">
            <v>0</v>
          </cell>
          <cell r="G754">
            <v>121.12</v>
          </cell>
        </row>
        <row r="755">
          <cell r="A755" t="str">
            <v>E022050203E0100000</v>
          </cell>
          <cell r="B755" t="str">
            <v>NAN0004-0301000</v>
          </cell>
          <cell r="C755" t="str">
            <v>E022</v>
          </cell>
          <cell r="D755" t="str">
            <v>03</v>
          </cell>
          <cell r="E755" t="str">
            <v>กุญแจลูกบิดบานเลื่อนคอม้า (ดอกแบน) สีดำ HUSZA</v>
          </cell>
          <cell r="F755">
            <v>32</v>
          </cell>
          <cell r="G755">
            <v>134.58000000000001</v>
          </cell>
        </row>
        <row r="756">
          <cell r="A756" t="str">
            <v>E022050204E0100000</v>
          </cell>
          <cell r="B756" t="str">
            <v>NAN0011-0301000</v>
          </cell>
          <cell r="C756" t="str">
            <v>E022</v>
          </cell>
          <cell r="D756" t="str">
            <v>04</v>
          </cell>
          <cell r="E756" t="str">
            <v>กุญแจลูกบิดบานเลื่อนคอม้า (ดอกแบน) สีอบขาว HUSZA</v>
          </cell>
          <cell r="F756">
            <v>13</v>
          </cell>
          <cell r="G756">
            <v>134.58000000000001</v>
          </cell>
        </row>
        <row r="757">
          <cell r="A757" t="str">
            <v>E022080100H0000800</v>
          </cell>
          <cell r="B757" t="str">
            <v>NAN0000-0631008</v>
          </cell>
          <cell r="C757" t="str">
            <v>E022</v>
          </cell>
          <cell r="D757" t="str">
            <v>00</v>
          </cell>
          <cell r="E757" t="str">
            <v>บานพับกระทุ้งสี่แขน 8 นิ้ว HUSZA</v>
          </cell>
          <cell r="F757">
            <v>732</v>
          </cell>
          <cell r="G757">
            <v>39.427999999999997</v>
          </cell>
        </row>
        <row r="758">
          <cell r="A758" t="str">
            <v>E022080100H0001000</v>
          </cell>
          <cell r="B758" t="str">
            <v>NAN0000-0631010</v>
          </cell>
          <cell r="C758" t="str">
            <v>E022</v>
          </cell>
          <cell r="D758" t="str">
            <v>00</v>
          </cell>
          <cell r="E758" t="str">
            <v>บานพับกระทุ้งสี่แขน 10 นิ้ว HUSZA</v>
          </cell>
          <cell r="F758">
            <v>886</v>
          </cell>
          <cell r="G758">
            <v>50.466999999999999</v>
          </cell>
        </row>
        <row r="759">
          <cell r="A759" t="str">
            <v>E022080100H0001200</v>
          </cell>
          <cell r="B759" t="str">
            <v>NAN0000-0631012</v>
          </cell>
          <cell r="C759" t="str">
            <v>E022</v>
          </cell>
          <cell r="D759" t="str">
            <v>00</v>
          </cell>
          <cell r="E759" t="str">
            <v>บานพับกระทุ้งสี่แขน 12 นิ้ว HUSZA</v>
          </cell>
          <cell r="F759">
            <v>858</v>
          </cell>
          <cell r="G759">
            <v>59.93</v>
          </cell>
        </row>
        <row r="760">
          <cell r="A760" t="str">
            <v>E022080100H0001400</v>
          </cell>
          <cell r="B760" t="str">
            <v>NAN0000-0631014</v>
          </cell>
          <cell r="C760" t="str">
            <v>E022</v>
          </cell>
          <cell r="D760" t="str">
            <v>00</v>
          </cell>
          <cell r="E760" t="str">
            <v>บานพับกระทุ้งสี่แขน 14 นิ้ว HUSZA</v>
          </cell>
          <cell r="F760">
            <v>495</v>
          </cell>
          <cell r="G760">
            <v>69.393000000000001</v>
          </cell>
        </row>
        <row r="761">
          <cell r="A761" t="str">
            <v>E022080100H0001600</v>
          </cell>
          <cell r="B761" t="str">
            <v>NAN0000-0631016</v>
          </cell>
          <cell r="C761" t="str">
            <v>E022</v>
          </cell>
          <cell r="D761" t="str">
            <v>00</v>
          </cell>
          <cell r="E761" t="str">
            <v>บานพับกระทุ้งสี่แขน 16 นิ้ว HUSZA</v>
          </cell>
          <cell r="F761">
            <v>657</v>
          </cell>
          <cell r="G761">
            <v>78.855000000000004</v>
          </cell>
        </row>
        <row r="762">
          <cell r="A762" t="str">
            <v>E022080100H0001800</v>
          </cell>
          <cell r="B762" t="str">
            <v>NAN0000-0631018</v>
          </cell>
          <cell r="C762" t="str">
            <v>E022</v>
          </cell>
          <cell r="D762" t="str">
            <v>00</v>
          </cell>
          <cell r="E762" t="str">
            <v>บานพับกระทุ้งสี่แขน 18 นิ้ว HUSZA</v>
          </cell>
          <cell r="F762">
            <v>272</v>
          </cell>
          <cell r="G762">
            <v>99.882999999999996</v>
          </cell>
        </row>
        <row r="763">
          <cell r="A763" t="str">
            <v>E022080100H0002000</v>
          </cell>
          <cell r="B763" t="str">
            <v>NAN0000-0631020</v>
          </cell>
          <cell r="C763" t="str">
            <v>E022</v>
          </cell>
          <cell r="D763" t="str">
            <v>00</v>
          </cell>
          <cell r="E763" t="str">
            <v>บานพับกระทุ้งสี่แขน 20 นิ้ว HUSZA</v>
          </cell>
          <cell r="F763">
            <v>256</v>
          </cell>
          <cell r="G763">
            <v>112.15</v>
          </cell>
        </row>
        <row r="764">
          <cell r="A764" t="str">
            <v>E022080100H0002400</v>
          </cell>
          <cell r="B764" t="str">
            <v>NAN0000-0640024</v>
          </cell>
          <cell r="C764" t="str">
            <v>E022</v>
          </cell>
          <cell r="D764" t="str">
            <v>00</v>
          </cell>
          <cell r="E764" t="str">
            <v>บานพับกระทุ้งสี่แขน 24 นิ้ว HUSZA</v>
          </cell>
          <cell r="F764">
            <v>1</v>
          </cell>
          <cell r="G764">
            <v>131.42500000000001</v>
          </cell>
        </row>
        <row r="765">
          <cell r="A765" t="str">
            <v>E024040203D2109800</v>
          </cell>
          <cell r="B765" t="str">
            <v>NAN0004-0274002</v>
          </cell>
          <cell r="C765" t="str">
            <v>E024</v>
          </cell>
          <cell r="D765" t="str">
            <v>03</v>
          </cell>
          <cell r="E765" t="str">
            <v>มือจับล็อค รุ่นใหญ่ สีดำ CCC</v>
          </cell>
          <cell r="F765">
            <v>275</v>
          </cell>
          <cell r="G765">
            <v>51.4</v>
          </cell>
        </row>
        <row r="766">
          <cell r="A766" t="str">
            <v>E024040203D2209800</v>
          </cell>
          <cell r="B766" t="str">
            <v>NAN0004-0275002</v>
          </cell>
          <cell r="C766" t="str">
            <v>E024</v>
          </cell>
          <cell r="D766" t="str">
            <v>03</v>
          </cell>
          <cell r="E766" t="str">
            <v>มือจับกุญแจ รุ่นใหญ่ สีดำ CCC</v>
          </cell>
          <cell r="F766">
            <v>21</v>
          </cell>
          <cell r="G766">
            <v>126.17</v>
          </cell>
        </row>
        <row r="767">
          <cell r="A767" t="str">
            <v>E024040203D2309800</v>
          </cell>
          <cell r="B767" t="str">
            <v>NAN0004-0276002</v>
          </cell>
          <cell r="C767" t="str">
            <v>E024</v>
          </cell>
          <cell r="D767" t="str">
            <v>03</v>
          </cell>
          <cell r="E767" t="str">
            <v>มือจับเรียบมีรู รุ่นใหญ่ สีดำ CCC</v>
          </cell>
          <cell r="F767">
            <v>60</v>
          </cell>
          <cell r="G767">
            <v>28.97</v>
          </cell>
        </row>
        <row r="768">
          <cell r="A768" t="str">
            <v>E024040203D2409800</v>
          </cell>
          <cell r="B768" t="str">
            <v>NAN0004-0277002</v>
          </cell>
          <cell r="C768" t="str">
            <v>E024</v>
          </cell>
          <cell r="D768" t="str">
            <v>03</v>
          </cell>
          <cell r="E768" t="str">
            <v>มือจับเรียบไม่มีรู รุ่นใหญ่ สีดำ CCC</v>
          </cell>
          <cell r="F768">
            <v>81</v>
          </cell>
          <cell r="G768">
            <v>28.97</v>
          </cell>
        </row>
        <row r="769">
          <cell r="A769" t="str">
            <v>E024040204D2109800</v>
          </cell>
          <cell r="B769" t="str">
            <v>NAN0011-0274010</v>
          </cell>
          <cell r="C769" t="str">
            <v>E024</v>
          </cell>
          <cell r="D769" t="str">
            <v>04</v>
          </cell>
          <cell r="E769" t="str">
            <v>มือจับล็อค รุ่นใหญ่ สีอบขาว CCC</v>
          </cell>
          <cell r="F769">
            <v>586</v>
          </cell>
          <cell r="G769">
            <v>51.4</v>
          </cell>
        </row>
        <row r="770">
          <cell r="A770" t="str">
            <v>E024040204D2209800</v>
          </cell>
          <cell r="B770" t="str">
            <v>NAN0011-0275002</v>
          </cell>
          <cell r="C770" t="str">
            <v>E024</v>
          </cell>
          <cell r="D770" t="str">
            <v>04</v>
          </cell>
          <cell r="E770" t="str">
            <v>มือจับล็อคกุญแจ รุ่นใหญ่ สีอบขาว CCC</v>
          </cell>
          <cell r="F770">
            <v>38</v>
          </cell>
          <cell r="G770">
            <v>126.17</v>
          </cell>
        </row>
        <row r="771">
          <cell r="A771" t="str">
            <v>E024040204D2309800</v>
          </cell>
          <cell r="B771" t="str">
            <v>NAN0011-0274030</v>
          </cell>
          <cell r="C771" t="str">
            <v>E024</v>
          </cell>
          <cell r="D771" t="str">
            <v>04</v>
          </cell>
          <cell r="E771" t="str">
            <v>มือจับเรียบมีรู รุ่นใหญ่ สีอบขาว CCC</v>
          </cell>
          <cell r="F771">
            <v>37</v>
          </cell>
          <cell r="G771">
            <v>28.97</v>
          </cell>
        </row>
        <row r="772">
          <cell r="A772" t="str">
            <v>E024040204D2409800</v>
          </cell>
          <cell r="B772" t="str">
            <v>NAN0011-0274040</v>
          </cell>
          <cell r="C772" t="str">
            <v>E024</v>
          </cell>
          <cell r="D772" t="str">
            <v>04</v>
          </cell>
          <cell r="E772" t="str">
            <v>มือจับเรียบไม่มีรู รุ่นใหญ่ สีอบขาว CCC</v>
          </cell>
          <cell r="F772">
            <v>136</v>
          </cell>
          <cell r="G772">
            <v>28.97</v>
          </cell>
        </row>
        <row r="773">
          <cell r="A773" t="str">
            <v>E025050201E0100000</v>
          </cell>
          <cell r="B773" t="str">
            <v>NAN0001-0362000</v>
          </cell>
          <cell r="C773" t="str">
            <v>E025</v>
          </cell>
          <cell r="D773" t="str">
            <v>01</v>
          </cell>
          <cell r="E773" t="str">
            <v>กุญแจเกี่ยวลูกบิด สีขาวอลู HERO</v>
          </cell>
          <cell r="F773">
            <v>356</v>
          </cell>
          <cell r="G773">
            <v>158.4</v>
          </cell>
        </row>
        <row r="774">
          <cell r="A774" t="str">
            <v>E025050202E0100000</v>
          </cell>
          <cell r="B774" t="str">
            <v>NAN0002-0362000</v>
          </cell>
          <cell r="C774" t="str">
            <v>E025</v>
          </cell>
          <cell r="D774" t="str">
            <v>02</v>
          </cell>
          <cell r="E774" t="str">
            <v>กุญแจเกี่ยวลูกบิด สีชา HERO</v>
          </cell>
          <cell r="F774">
            <v>469</v>
          </cell>
          <cell r="G774">
            <v>158.4</v>
          </cell>
        </row>
        <row r="775">
          <cell r="A775" t="str">
            <v>E025050203E0100000</v>
          </cell>
          <cell r="B775" t="str">
            <v>NAN0004-0362000</v>
          </cell>
          <cell r="C775" t="str">
            <v>E025</v>
          </cell>
          <cell r="D775" t="str">
            <v>03</v>
          </cell>
          <cell r="E775" t="str">
            <v>กุญแจเกี่ยวลูกบิด สีดำ HERO</v>
          </cell>
          <cell r="F775">
            <v>411</v>
          </cell>
          <cell r="G775">
            <v>158.4</v>
          </cell>
        </row>
        <row r="776">
          <cell r="A776" t="str">
            <v>E025050204E0100000</v>
          </cell>
          <cell r="B776" t="str">
            <v>NAN0011-0362000</v>
          </cell>
          <cell r="C776" t="str">
            <v>E025</v>
          </cell>
          <cell r="D776" t="str">
            <v>04</v>
          </cell>
          <cell r="E776" t="str">
            <v>กุญแจเกี่ยวลูกบิด สีอบขาว HERO</v>
          </cell>
          <cell r="F776">
            <v>403</v>
          </cell>
          <cell r="G776">
            <v>158.4</v>
          </cell>
        </row>
        <row r="777">
          <cell r="A777" t="str">
            <v>E025050301E0200000</v>
          </cell>
          <cell r="B777" t="str">
            <v>NAN0001-0361000</v>
          </cell>
          <cell r="C777" t="str">
            <v>E025</v>
          </cell>
          <cell r="D777" t="str">
            <v>01</v>
          </cell>
          <cell r="E777" t="str">
            <v>กุญแจสวิงลูกบิด สีขาวอลู HERO</v>
          </cell>
          <cell r="F777">
            <v>269</v>
          </cell>
          <cell r="G777">
            <v>158.4</v>
          </cell>
        </row>
        <row r="778">
          <cell r="A778" t="str">
            <v>E025050302E0200000</v>
          </cell>
          <cell r="B778" t="str">
            <v>NAN0002-0361000</v>
          </cell>
          <cell r="C778" t="str">
            <v>E025</v>
          </cell>
          <cell r="D778" t="str">
            <v>02</v>
          </cell>
          <cell r="E778" t="str">
            <v>กุญแจสวิงลูกบิด สีชา HERO</v>
          </cell>
          <cell r="F778">
            <v>439</v>
          </cell>
          <cell r="G778">
            <v>158.4</v>
          </cell>
        </row>
        <row r="779">
          <cell r="A779" t="str">
            <v>E025050303E0200000</v>
          </cell>
          <cell r="B779" t="str">
            <v>NAN0004-0361000</v>
          </cell>
          <cell r="C779" t="str">
            <v>E025</v>
          </cell>
          <cell r="D779" t="str">
            <v>03</v>
          </cell>
          <cell r="E779" t="str">
            <v>กุญแจสวิงลูกบิด สีดำ HERO</v>
          </cell>
          <cell r="F779">
            <v>438</v>
          </cell>
          <cell r="G779">
            <v>158.4</v>
          </cell>
        </row>
        <row r="780">
          <cell r="A780" t="str">
            <v>E025050304E0200000</v>
          </cell>
          <cell r="B780" t="str">
            <v>NAN0011-0361000</v>
          </cell>
          <cell r="C780" t="str">
            <v>E025</v>
          </cell>
          <cell r="D780" t="str">
            <v>04</v>
          </cell>
          <cell r="E780" t="str">
            <v>กุญแจสวิงลูกบิด สีอบขาว HERO</v>
          </cell>
          <cell r="F780">
            <v>614</v>
          </cell>
          <cell r="G780">
            <v>158.4</v>
          </cell>
        </row>
        <row r="781">
          <cell r="A781" t="str">
            <v>E027070501G1401100</v>
          </cell>
          <cell r="B781" t="str">
            <v>NAN0001-1301411</v>
          </cell>
          <cell r="C781" t="str">
            <v>E027</v>
          </cell>
          <cell r="D781" t="str">
            <v>01</v>
          </cell>
          <cell r="E781" t="str">
            <v>ขาเกล็ด 4x11 สีขาวอลู (888)</v>
          </cell>
          <cell r="F781">
            <v>48</v>
          </cell>
          <cell r="G781">
            <v>123.36</v>
          </cell>
        </row>
        <row r="782">
          <cell r="A782" t="str">
            <v>E027070501G1401200</v>
          </cell>
          <cell r="B782" t="str">
            <v>NAN0001-1301412</v>
          </cell>
          <cell r="C782" t="str">
            <v>E027</v>
          </cell>
          <cell r="D782" t="str">
            <v>01</v>
          </cell>
          <cell r="E782" t="str">
            <v>ขาเกล็ด 4x12 สีขาวอลู (888)</v>
          </cell>
          <cell r="F782">
            <v>338</v>
          </cell>
          <cell r="G782">
            <v>134.58000000000001</v>
          </cell>
        </row>
        <row r="783">
          <cell r="A783" t="str">
            <v>E027070502Z1401100</v>
          </cell>
          <cell r="B783" t="str">
            <v>NAN0002-1301411</v>
          </cell>
          <cell r="C783" t="str">
            <v>E027</v>
          </cell>
          <cell r="D783" t="str">
            <v>02</v>
          </cell>
          <cell r="E783" t="str">
            <v>ขาเกล็ด 4x11 สีชา (888)</v>
          </cell>
          <cell r="F783">
            <v>157</v>
          </cell>
          <cell r="G783">
            <v>123.42</v>
          </cell>
        </row>
        <row r="784">
          <cell r="A784" t="str">
            <v>E027070502Z1401200</v>
          </cell>
          <cell r="B784" t="str">
            <v>NAN0002-1301412</v>
          </cell>
          <cell r="C784" t="str">
            <v>E027</v>
          </cell>
          <cell r="D784" t="str">
            <v>02</v>
          </cell>
          <cell r="E784" t="str">
            <v>ขาเกล็ด 4x12 สีชา (888)</v>
          </cell>
          <cell r="F784">
            <v>74</v>
          </cell>
          <cell r="G784">
            <v>134.63999999999999</v>
          </cell>
        </row>
        <row r="785">
          <cell r="A785" t="str">
            <v>E028070501G1401100</v>
          </cell>
          <cell r="B785" t="str">
            <v>NAN0001-1302411</v>
          </cell>
          <cell r="C785" t="str">
            <v>E028</v>
          </cell>
          <cell r="D785" t="str">
            <v>01</v>
          </cell>
          <cell r="E785" t="str">
            <v>ขาเกล็ดบาร์โก้ สีขาวอลู 4x11 (ป้ายเหลือง)</v>
          </cell>
          <cell r="F785">
            <v>45</v>
          </cell>
          <cell r="G785">
            <v>161.91999999999999</v>
          </cell>
        </row>
        <row r="786">
          <cell r="A786" t="str">
            <v>E028070501G1401200</v>
          </cell>
          <cell r="B786" t="str">
            <v>NAN0001-1302412</v>
          </cell>
          <cell r="C786" t="str">
            <v>E028</v>
          </cell>
          <cell r="D786" t="str">
            <v>01</v>
          </cell>
          <cell r="E786" t="str">
            <v>ขาเกล็ดบาร์โก้ สีขาวอลู 4x12 (ป้ายเหลือง)</v>
          </cell>
          <cell r="F786">
            <v>121</v>
          </cell>
          <cell r="G786">
            <v>176.64</v>
          </cell>
        </row>
        <row r="787">
          <cell r="A787" t="str">
            <v>E028070501G2300001</v>
          </cell>
          <cell r="B787" t="str">
            <v>NAN0001-1320030</v>
          </cell>
          <cell r="C787" t="str">
            <v>E028</v>
          </cell>
          <cell r="D787" t="str">
            <v>01</v>
          </cell>
          <cell r="E787" t="str">
            <v>ฉากบน-ล่าง สีขาวอลู 30 นิ้ว รุ่นบาง</v>
          </cell>
          <cell r="F787">
            <v>0</v>
          </cell>
          <cell r="G787">
            <v>19.63</v>
          </cell>
        </row>
        <row r="788">
          <cell r="A788" t="str">
            <v>E028070501G2300002</v>
          </cell>
          <cell r="B788" t="str">
            <v>NAN0001-1321030</v>
          </cell>
          <cell r="C788" t="str">
            <v>E028</v>
          </cell>
          <cell r="D788" t="str">
            <v>01</v>
          </cell>
          <cell r="E788" t="str">
            <v>ฉากบน-ล่าง สีขาวอลู 30 นิ้ว รุ่นหนา</v>
          </cell>
          <cell r="F788">
            <v>362</v>
          </cell>
          <cell r="G788">
            <v>33.64</v>
          </cell>
        </row>
        <row r="789">
          <cell r="A789" t="str">
            <v>E028070501G2360001</v>
          </cell>
          <cell r="B789" t="str">
            <v>NAN0001-1320036</v>
          </cell>
          <cell r="C789" t="str">
            <v>E028</v>
          </cell>
          <cell r="D789" t="str">
            <v>01</v>
          </cell>
          <cell r="E789" t="str">
            <v>ฉากบน-ล่าง สีขาวอลู 36 นิ้ว รุ่นบาง</v>
          </cell>
          <cell r="F789">
            <v>26</v>
          </cell>
          <cell r="G789">
            <v>22.43</v>
          </cell>
        </row>
        <row r="790">
          <cell r="A790" t="str">
            <v>E028070501G2360002</v>
          </cell>
          <cell r="B790" t="str">
            <v>NAN0001-1321036</v>
          </cell>
          <cell r="C790" t="str">
            <v>E028</v>
          </cell>
          <cell r="D790" t="str">
            <v>01</v>
          </cell>
          <cell r="E790" t="str">
            <v>ฉากบน-ล่าง สีขาวอลู 36 นิ้ว รุ่นหนา</v>
          </cell>
          <cell r="F790">
            <v>546</v>
          </cell>
          <cell r="G790">
            <v>35.049999999999997</v>
          </cell>
        </row>
        <row r="791">
          <cell r="A791" t="str">
            <v>E028070501G4000000</v>
          </cell>
          <cell r="B791" t="str">
            <v>NAN0001-1312000</v>
          </cell>
          <cell r="C791" t="str">
            <v>E028</v>
          </cell>
          <cell r="D791" t="str">
            <v>01</v>
          </cell>
          <cell r="E791" t="str">
            <v>มือหมุน สีขาวอลู บาร์โก้</v>
          </cell>
          <cell r="F791">
            <v>757</v>
          </cell>
          <cell r="G791">
            <v>73.599999999999994</v>
          </cell>
        </row>
        <row r="792">
          <cell r="A792" t="str">
            <v>E028070502G1401100</v>
          </cell>
          <cell r="B792" t="str">
            <v>NAN0002-1302411</v>
          </cell>
          <cell r="C792" t="str">
            <v>E028</v>
          </cell>
          <cell r="D792" t="str">
            <v>02</v>
          </cell>
          <cell r="E792" t="str">
            <v>ขาเกล็ดบาร์โก้ สีชา 4x11 (ป้ายเหลือง)</v>
          </cell>
          <cell r="F792">
            <v>6</v>
          </cell>
          <cell r="G792">
            <v>172.7</v>
          </cell>
        </row>
        <row r="793">
          <cell r="A793" t="str">
            <v>E028070502G1401200</v>
          </cell>
          <cell r="B793" t="str">
            <v>NAN0002-1302412</v>
          </cell>
          <cell r="C793" t="str">
            <v>E028</v>
          </cell>
          <cell r="D793" t="str">
            <v>02</v>
          </cell>
          <cell r="E793" t="str">
            <v>ขาเกล็ดบาร์โก้ สีชา 4x12 (ป้ายเหลือง)</v>
          </cell>
          <cell r="F793">
            <v>17</v>
          </cell>
          <cell r="G793">
            <v>188.4</v>
          </cell>
        </row>
        <row r="794">
          <cell r="A794" t="str">
            <v>E028070502G2300002</v>
          </cell>
          <cell r="B794" t="str">
            <v>NAN0002-1321030</v>
          </cell>
          <cell r="C794" t="str">
            <v>E028</v>
          </cell>
          <cell r="D794" t="str">
            <v>02</v>
          </cell>
          <cell r="E794" t="str">
            <v>ฉากบน-ล่าง สีชา 30 นิ้ว รุ่นหนา</v>
          </cell>
          <cell r="F794">
            <v>177</v>
          </cell>
          <cell r="G794">
            <v>23.18</v>
          </cell>
        </row>
        <row r="795">
          <cell r="A795" t="str">
            <v>E028070502G4000000</v>
          </cell>
          <cell r="B795" t="str">
            <v>NAN0002-1312000</v>
          </cell>
          <cell r="C795" t="str">
            <v>E028</v>
          </cell>
          <cell r="D795" t="str">
            <v>02</v>
          </cell>
          <cell r="E795" t="str">
            <v>มือหมุน สีชา บาร์โก้</v>
          </cell>
          <cell r="F795">
            <v>142</v>
          </cell>
          <cell r="G795">
            <v>78.5</v>
          </cell>
        </row>
        <row r="796">
          <cell r="A796" t="str">
            <v>E028070502Z2360002</v>
          </cell>
          <cell r="B796" t="str">
            <v>NAN0002-1321036</v>
          </cell>
          <cell r="C796" t="str">
            <v>E028</v>
          </cell>
          <cell r="D796" t="str">
            <v>02</v>
          </cell>
          <cell r="E796" t="str">
            <v>ฉากบน-ล่าง สีชา 36 นิ้ว รุ่นหนา</v>
          </cell>
          <cell r="F796">
            <v>823</v>
          </cell>
          <cell r="G796">
            <v>35.049999999999997</v>
          </cell>
        </row>
        <row r="797">
          <cell r="A797" t="str">
            <v>E028070503G1401200</v>
          </cell>
          <cell r="B797" t="str">
            <v>NAN0004-1302412</v>
          </cell>
          <cell r="C797" t="str">
            <v>E028</v>
          </cell>
          <cell r="D797" t="str">
            <v>03</v>
          </cell>
          <cell r="E797" t="str">
            <v>ขาเกล็ดบาร์โก้ 4x12 สีดำ (ป้ายเขียว)</v>
          </cell>
          <cell r="F797">
            <v>12</v>
          </cell>
          <cell r="G797">
            <v>294.39</v>
          </cell>
        </row>
        <row r="798">
          <cell r="A798" t="str">
            <v>E028070503G2360002</v>
          </cell>
          <cell r="B798" t="str">
            <v>NAN0004-1321033</v>
          </cell>
          <cell r="C798" t="str">
            <v>E028</v>
          </cell>
          <cell r="D798" t="str">
            <v>03</v>
          </cell>
          <cell r="E798" t="str">
            <v>ฉากบน-ล่าง 36 นิ้ว สีดำ หนา</v>
          </cell>
          <cell r="F798">
            <v>100</v>
          </cell>
          <cell r="G798">
            <v>52.57</v>
          </cell>
        </row>
        <row r="799">
          <cell r="A799" t="str">
            <v>E028070503G4000000</v>
          </cell>
          <cell r="B799" t="str">
            <v>NAN0004-1312000</v>
          </cell>
          <cell r="C799" t="str">
            <v>E028</v>
          </cell>
          <cell r="D799" t="str">
            <v>03</v>
          </cell>
          <cell r="E799" t="str">
            <v>มือหมุน สีดำ บาร์โก้</v>
          </cell>
          <cell r="F799">
            <v>97</v>
          </cell>
          <cell r="G799">
            <v>84.11</v>
          </cell>
        </row>
        <row r="800">
          <cell r="A800" t="str">
            <v>E028070504G1401100</v>
          </cell>
          <cell r="B800" t="str">
            <v>NAN0011-1302411</v>
          </cell>
          <cell r="C800" t="str">
            <v>E028</v>
          </cell>
          <cell r="D800" t="str">
            <v>04</v>
          </cell>
          <cell r="E800" t="str">
            <v>ขาเกล็ดบาร์โก้ สีอบขาว 4x11 (ป้ายเขียว)</v>
          </cell>
          <cell r="F800">
            <v>12</v>
          </cell>
          <cell r="G800">
            <v>269.86</v>
          </cell>
        </row>
        <row r="801">
          <cell r="A801" t="str">
            <v>E028070504G1401200</v>
          </cell>
          <cell r="B801" t="str">
            <v>NAN0011-1302412</v>
          </cell>
          <cell r="C801" t="str">
            <v>E028</v>
          </cell>
          <cell r="D801" t="str">
            <v>04</v>
          </cell>
          <cell r="E801" t="str">
            <v>ขาเกล็ดบาร์โก้ สีอบขาว 4x12 (ป้ายเขียว)</v>
          </cell>
          <cell r="F801">
            <v>28</v>
          </cell>
          <cell r="G801">
            <v>294.39249999999998</v>
          </cell>
        </row>
        <row r="802">
          <cell r="A802" t="str">
            <v>E028070504G2300002</v>
          </cell>
          <cell r="B802" t="str">
            <v>NAN0011-1321030</v>
          </cell>
          <cell r="C802" t="str">
            <v>E028</v>
          </cell>
          <cell r="D802" t="str">
            <v>04</v>
          </cell>
          <cell r="E802" t="str">
            <v>ฉากบน-ล่าง สีอบขาว 30 นิ้ว รุ่นหนา</v>
          </cell>
          <cell r="F802">
            <v>0</v>
          </cell>
          <cell r="G802">
            <v>45.560699999999997</v>
          </cell>
        </row>
        <row r="803">
          <cell r="A803" t="str">
            <v>E028070504G2360002</v>
          </cell>
          <cell r="B803" t="str">
            <v>NAN0011-1321033</v>
          </cell>
          <cell r="C803" t="str">
            <v>E028</v>
          </cell>
          <cell r="D803" t="str">
            <v>04</v>
          </cell>
          <cell r="E803" t="str">
            <v>ฉากบน-ล่าง สีอบขาว 36 นิ้ว รุ่นหนา</v>
          </cell>
          <cell r="F803">
            <v>117</v>
          </cell>
          <cell r="G803">
            <v>52.570099999999996</v>
          </cell>
        </row>
        <row r="804">
          <cell r="A804" t="str">
            <v>E028070504G4000000</v>
          </cell>
          <cell r="B804" t="str">
            <v>NAN0011-1310000</v>
          </cell>
          <cell r="C804" t="str">
            <v>E028</v>
          </cell>
          <cell r="D804" t="str">
            <v>04</v>
          </cell>
          <cell r="E804" t="str">
            <v xml:space="preserve">มือหมุน สีอบขาว บาร์โก้ </v>
          </cell>
          <cell r="F804">
            <v>98</v>
          </cell>
          <cell r="G804">
            <v>84.111999999999995</v>
          </cell>
        </row>
        <row r="805">
          <cell r="A805" t="str">
            <v>E028090901I2200000</v>
          </cell>
          <cell r="B805" t="str">
            <v>NAN0000-0504000</v>
          </cell>
          <cell r="C805" t="str">
            <v>E028</v>
          </cell>
          <cell r="D805" t="str">
            <v>01</v>
          </cell>
          <cell r="E805" t="str">
            <v>ก้ามปูสี่เหลี่ยม สีขาวอลู BARCO</v>
          </cell>
          <cell r="F805">
            <v>410</v>
          </cell>
          <cell r="G805">
            <v>5.43</v>
          </cell>
        </row>
        <row r="806">
          <cell r="A806" t="str">
            <v>E028151300P3000000</v>
          </cell>
          <cell r="B806" t="str">
            <v>NTN0000-2000300</v>
          </cell>
          <cell r="C806" t="str">
            <v>E028</v>
          </cell>
          <cell r="D806" t="str">
            <v>00</v>
          </cell>
          <cell r="E806" t="str">
            <v>บันได BARCO รุ่นหนา 3 ขั้น</v>
          </cell>
          <cell r="F806">
            <v>11</v>
          </cell>
          <cell r="G806">
            <v>441</v>
          </cell>
        </row>
        <row r="807">
          <cell r="A807" t="str">
            <v>E028151300P5000000</v>
          </cell>
          <cell r="B807" t="str">
            <v>NTN0000-2000500</v>
          </cell>
          <cell r="C807" t="str">
            <v>E028</v>
          </cell>
          <cell r="D807" t="str">
            <v>00</v>
          </cell>
          <cell r="E807" t="str">
            <v>บันได BARCO รุ่นหนา 5 ขั้น</v>
          </cell>
          <cell r="F807">
            <v>59</v>
          </cell>
          <cell r="G807">
            <v>735</v>
          </cell>
        </row>
        <row r="808">
          <cell r="A808" t="str">
            <v>E028151300P7000000</v>
          </cell>
          <cell r="B808" t="str">
            <v>NTN0000-2000700</v>
          </cell>
          <cell r="C808" t="str">
            <v>E028</v>
          </cell>
          <cell r="D808" t="str">
            <v>00</v>
          </cell>
          <cell r="E808" t="str">
            <v>บันได BARCO รุ่นหนา 7 ขั้น</v>
          </cell>
          <cell r="F808">
            <v>55</v>
          </cell>
          <cell r="G808">
            <v>1029</v>
          </cell>
        </row>
        <row r="809">
          <cell r="A809" t="str">
            <v>E028151300P9000000</v>
          </cell>
          <cell r="B809" t="str">
            <v>NTN0000-2000900</v>
          </cell>
          <cell r="C809" t="str">
            <v>E028</v>
          </cell>
          <cell r="D809" t="str">
            <v>00</v>
          </cell>
          <cell r="E809" t="str">
            <v>บันได BARCO รุ่นหนา 9 ขั้น</v>
          </cell>
          <cell r="F809">
            <v>9</v>
          </cell>
          <cell r="G809">
            <v>1323</v>
          </cell>
        </row>
        <row r="810">
          <cell r="A810" t="str">
            <v>E029131100M0103500</v>
          </cell>
          <cell r="B810" t="str">
            <v>NGH001-01031</v>
          </cell>
          <cell r="C810" t="str">
            <v>E029</v>
          </cell>
          <cell r="D810" t="str">
            <v>00</v>
          </cell>
          <cell r="E810" t="str">
            <v>หัวยางดูดกระจก 118 มม. หัวเดียว 35 กก. PUMPKIN #27310</v>
          </cell>
          <cell r="F810">
            <v>14</v>
          </cell>
          <cell r="G810">
            <v>77.510000000000005</v>
          </cell>
        </row>
        <row r="811">
          <cell r="A811" t="str">
            <v>E029131100M0206000</v>
          </cell>
          <cell r="B811" t="str">
            <v>NGH001-01032</v>
          </cell>
          <cell r="C811" t="str">
            <v>E029</v>
          </cell>
          <cell r="D811" t="str">
            <v>00</v>
          </cell>
          <cell r="E811" t="str">
            <v xml:space="preserve">หัวยางดูดกระจก 118 มม. ก้านยาว สองหัว 60 กก. PUMPKIN #27311 </v>
          </cell>
          <cell r="F811">
            <v>23</v>
          </cell>
          <cell r="G811">
            <v>131.74</v>
          </cell>
        </row>
        <row r="812">
          <cell r="A812" t="str">
            <v>E02914000000000000</v>
          </cell>
          <cell r="B812" t="str">
            <v>NAN0000</v>
          </cell>
          <cell r="C812" t="str">
            <v>E029</v>
          </cell>
          <cell r="D812" t="str">
            <v>00</v>
          </cell>
          <cell r="E812" t="str">
            <v>Tools ยี่ห้อ พัมคิน (กลุ่ม)</v>
          </cell>
          <cell r="F812">
            <v>0</v>
          </cell>
          <cell r="G812">
            <v>0</v>
          </cell>
        </row>
        <row r="813">
          <cell r="A813" t="str">
            <v>E029141300N0500000</v>
          </cell>
          <cell r="B813" t="str">
            <v>NTH002-06002</v>
          </cell>
          <cell r="C813" t="str">
            <v>E029</v>
          </cell>
          <cell r="D813" t="str">
            <v>00</v>
          </cell>
          <cell r="E813" t="str">
            <v>ตลับเมตร 5 ม.x19มม. PUMPKIN #ND-5019</v>
          </cell>
          <cell r="F813">
            <v>0</v>
          </cell>
          <cell r="G813">
            <v>0</v>
          </cell>
        </row>
        <row r="814">
          <cell r="A814" t="str">
            <v>E029141300N1012000</v>
          </cell>
          <cell r="B814" t="str">
            <v>NTN0000-9903010</v>
          </cell>
          <cell r="C814" t="str">
            <v>E029</v>
          </cell>
          <cell r="D814" t="str">
            <v>00</v>
          </cell>
          <cell r="E814" t="str">
            <v>ใบตัดอลูมิเนียม (JAPAN) ขนาด10x120T PUMPKIN #38158</v>
          </cell>
          <cell r="F814">
            <v>36</v>
          </cell>
          <cell r="G814">
            <v>2149.29</v>
          </cell>
        </row>
        <row r="815">
          <cell r="A815" t="str">
            <v>E029141300N1212000</v>
          </cell>
          <cell r="B815" t="str">
            <v>NTN0000-9903012</v>
          </cell>
          <cell r="C815" t="str">
            <v>E029</v>
          </cell>
          <cell r="D815" t="str">
            <v>00</v>
          </cell>
          <cell r="E815" t="str">
            <v>ใบตัดอลูมิเนียม (JAPAN) ขนาด 12x120T PUMPKIN #38160</v>
          </cell>
          <cell r="F815">
            <v>19</v>
          </cell>
          <cell r="G815">
            <v>2741.51</v>
          </cell>
        </row>
        <row r="816">
          <cell r="A816" t="str">
            <v>E029141300N1800001</v>
          </cell>
          <cell r="B816" t="str">
            <v>NTYT0005-120018</v>
          </cell>
          <cell r="C816" t="str">
            <v>E029</v>
          </cell>
          <cell r="D816" t="str">
            <v>00</v>
          </cell>
          <cell r="E816" t="str">
            <v>ใบมีดคัตเตอร์ใหญ่ 18 มม. (6 ใบ:หลอด) PUMPKIN #13101</v>
          </cell>
          <cell r="F816">
            <v>1262</v>
          </cell>
          <cell r="G816">
            <v>17.100000000000001</v>
          </cell>
        </row>
        <row r="817">
          <cell r="A817" t="str">
            <v>E029141300N1800003</v>
          </cell>
          <cell r="B817" t="str">
            <v>NTYT0005-120218</v>
          </cell>
          <cell r="C817" t="str">
            <v>E029</v>
          </cell>
          <cell r="D817" t="str">
            <v>00</v>
          </cell>
          <cell r="E817" t="str">
            <v>มีดคัตเตอร์ใหญ่สปริง 18 มม. 2in1 PUMPKIN #13211</v>
          </cell>
          <cell r="F817">
            <v>9</v>
          </cell>
          <cell r="G817">
            <v>15.182242990700001</v>
          </cell>
        </row>
        <row r="818">
          <cell r="A818" t="str">
            <v>E029141300Z1800002</v>
          </cell>
          <cell r="B818" t="str">
            <v>NTYT0005-120118</v>
          </cell>
          <cell r="C818" t="str">
            <v>E029</v>
          </cell>
          <cell r="D818" t="str">
            <v>00</v>
          </cell>
          <cell r="E818" t="str">
            <v>มีดคัตเตอร์ ขนาด 18 มม. PUMPKIN #12201</v>
          </cell>
          <cell r="F818">
            <v>752</v>
          </cell>
          <cell r="G818">
            <v>17.829999999999998</v>
          </cell>
        </row>
        <row r="819">
          <cell r="A819" t="str">
            <v>E029151300P0030000</v>
          </cell>
          <cell r="B819" t="str">
            <v>NTN0000-2301300</v>
          </cell>
          <cell r="C819" t="str">
            <v>E029</v>
          </cell>
          <cell r="D819" t="str">
            <v>00</v>
          </cell>
          <cell r="E819" t="str">
            <v>ค้อนช่างทองด้ามไม้ 300G PUMPKIN TX-MH300W</v>
          </cell>
          <cell r="F819">
            <v>24</v>
          </cell>
          <cell r="G819">
            <v>71.8</v>
          </cell>
        </row>
        <row r="820">
          <cell r="A820" t="str">
            <v>E029151300P1021600</v>
          </cell>
          <cell r="B820" t="str">
            <v>NTH002-06003</v>
          </cell>
          <cell r="C820" t="str">
            <v>E029</v>
          </cell>
          <cell r="D820" t="str">
            <v>00</v>
          </cell>
          <cell r="E820" t="str">
            <v>ตลับเมตร 3.5 ม.x 16 มม. PUMPKIN #10216</v>
          </cell>
          <cell r="F820">
            <v>103</v>
          </cell>
          <cell r="G820">
            <v>57.77</v>
          </cell>
        </row>
        <row r="821">
          <cell r="A821" t="str">
            <v>E029151300P1021700</v>
          </cell>
          <cell r="B821" t="str">
            <v>NTH002-06004</v>
          </cell>
          <cell r="C821" t="str">
            <v>E029</v>
          </cell>
          <cell r="D821" t="str">
            <v>00</v>
          </cell>
          <cell r="E821" t="str">
            <v>ตลับเมตร 5 ม.x 25 มม. PUMPKIN #10217</v>
          </cell>
          <cell r="F821">
            <v>60</v>
          </cell>
          <cell r="G821">
            <v>83.1</v>
          </cell>
        </row>
        <row r="822">
          <cell r="A822" t="str">
            <v>E029151300P1211000</v>
          </cell>
          <cell r="B822" t="str">
            <v>NTYT0005-120109</v>
          </cell>
          <cell r="C822" t="str">
            <v>E029</v>
          </cell>
          <cell r="D822" t="str">
            <v>00</v>
          </cell>
          <cell r="E822" t="str">
            <v>มีดคัตเตอร์เล็ก (รองรับใบ 9 มม.) PUMPKIN #12110</v>
          </cell>
          <cell r="F822">
            <v>193</v>
          </cell>
          <cell r="G822">
            <v>19.970300000000002</v>
          </cell>
        </row>
        <row r="823">
          <cell r="A823" t="str">
            <v>E029151300P1211700</v>
          </cell>
          <cell r="B823" t="str">
            <v>NTYT0005-120019</v>
          </cell>
          <cell r="C823" t="str">
            <v>E029</v>
          </cell>
          <cell r="D823" t="str">
            <v>00</v>
          </cell>
          <cell r="E823" t="str">
            <v>มีดคัตเตอร์ ตัวล็อคแบบหมุน (รองรับใบ 19 มม.) PUMPKIN #12117</v>
          </cell>
          <cell r="F823">
            <v>22</v>
          </cell>
          <cell r="G823">
            <v>22.66</v>
          </cell>
        </row>
        <row r="824">
          <cell r="A824" t="str">
            <v>E029151300P1240500</v>
          </cell>
          <cell r="B824" t="str">
            <v>NTYT0005-120009</v>
          </cell>
          <cell r="C824" t="str">
            <v>E029</v>
          </cell>
          <cell r="D824" t="str">
            <v>00</v>
          </cell>
          <cell r="E824" t="str">
            <v>มีดคัตเตอร์สแตนเลสเล็ก (รองรับใบ 9 มม.) PUMPKIN #12405</v>
          </cell>
          <cell r="F824">
            <v>181</v>
          </cell>
          <cell r="G824">
            <v>12.65</v>
          </cell>
        </row>
        <row r="825">
          <cell r="A825" t="str">
            <v>E029151300P1310600</v>
          </cell>
          <cell r="B825" t="str">
            <v>NTYT0000-120209</v>
          </cell>
          <cell r="C825" t="str">
            <v>E029</v>
          </cell>
          <cell r="D825" t="str">
            <v>00</v>
          </cell>
          <cell r="E825" t="str">
            <v>ใบมีดคัตเตอร์เล็ก 9 มม. (6 ใบ:หลอด) PUMPKIN #13106</v>
          </cell>
          <cell r="F825">
            <v>226</v>
          </cell>
          <cell r="G825">
            <v>7.95</v>
          </cell>
        </row>
        <row r="826">
          <cell r="A826" t="str">
            <v>E029151300P1314900</v>
          </cell>
          <cell r="B826" t="str">
            <v>NTN0000-2502002</v>
          </cell>
          <cell r="C826" t="str">
            <v>E029</v>
          </cell>
          <cell r="D826" t="str">
            <v>00</v>
          </cell>
          <cell r="E826" t="str">
            <v>ดอกไขควงลมโอซาก้า S2 PH2-65 แพ็คคู่ 2 ดอก PUMPKIN #13149</v>
          </cell>
          <cell r="F826">
            <v>45</v>
          </cell>
          <cell r="G826">
            <v>32.64</v>
          </cell>
        </row>
        <row r="827">
          <cell r="A827" t="str">
            <v>E029151300P1315300</v>
          </cell>
          <cell r="B827" t="str">
            <v>NTH002-06005</v>
          </cell>
          <cell r="C827" t="str">
            <v>E029</v>
          </cell>
          <cell r="D827" t="str">
            <v>00</v>
          </cell>
          <cell r="E827" t="str">
            <v>ตลับเมตร 5 ม.x 25 มม.  PUMPKIN รุ่น ANTZ-MAN #13153</v>
          </cell>
          <cell r="F827">
            <v>28</v>
          </cell>
          <cell r="G827">
            <v>151.56</v>
          </cell>
        </row>
        <row r="828">
          <cell r="A828" t="str">
            <v>E029151300P1445200</v>
          </cell>
          <cell r="B828" t="str">
            <v>NTN0000-2600007</v>
          </cell>
          <cell r="C828" t="str">
            <v>E029</v>
          </cell>
          <cell r="D828" t="str">
            <v>00</v>
          </cell>
          <cell r="E828" t="str">
            <v>คีมปากจิ้งจก 7 นิ้ว PUMPKIN #14452</v>
          </cell>
          <cell r="F828">
            <v>19</v>
          </cell>
          <cell r="G828">
            <v>94.58</v>
          </cell>
        </row>
        <row r="829">
          <cell r="A829" t="str">
            <v>E029151300P1445400</v>
          </cell>
          <cell r="B829" t="str">
            <v>NTN0000-2604152</v>
          </cell>
          <cell r="C829" t="str">
            <v>E029</v>
          </cell>
          <cell r="D829" t="str">
            <v>00</v>
          </cell>
          <cell r="E829" t="str">
            <v>คีมปากแหลม 6 นิ้ว PUMPKIN #14454</v>
          </cell>
          <cell r="F829">
            <v>37</v>
          </cell>
          <cell r="G829">
            <v>76.569999999999993</v>
          </cell>
        </row>
        <row r="830">
          <cell r="A830" t="str">
            <v>E029151300P1445600</v>
          </cell>
          <cell r="B830" t="str">
            <v>NTN0000-2601006</v>
          </cell>
          <cell r="C830" t="str">
            <v>E029</v>
          </cell>
          <cell r="D830" t="str">
            <v>00</v>
          </cell>
          <cell r="E830" t="str">
            <v>คีมปากเฉียง 6 นิ้ว PUMPKIN #14456</v>
          </cell>
          <cell r="F830">
            <v>41</v>
          </cell>
          <cell r="G830">
            <v>76.569999999999993</v>
          </cell>
        </row>
        <row r="831">
          <cell r="A831" t="str">
            <v>E029151300P1510500</v>
          </cell>
          <cell r="B831" t="str">
            <v>NTN0000-0904317</v>
          </cell>
          <cell r="C831" t="str">
            <v>E029</v>
          </cell>
          <cell r="D831" t="str">
            <v>00</v>
          </cell>
          <cell r="E831" t="str">
            <v>ดอกสว่านเจาะสแตนเลส 1/8 PUMPKIN #15105</v>
          </cell>
          <cell r="F831">
            <v>110</v>
          </cell>
          <cell r="G831">
            <v>13.14</v>
          </cell>
        </row>
        <row r="832">
          <cell r="A832" t="str">
            <v>E029151300P1510600</v>
          </cell>
          <cell r="B832" t="str">
            <v>NTN0000-0904357</v>
          </cell>
          <cell r="C832" t="str">
            <v>E029</v>
          </cell>
          <cell r="D832" t="str">
            <v>00</v>
          </cell>
          <cell r="E832" t="str">
            <v>ดอกสว่านเจาะสแตนเลส 9/64 PUMPKIN #15106</v>
          </cell>
          <cell r="F832">
            <v>70</v>
          </cell>
          <cell r="G832">
            <v>13.14</v>
          </cell>
        </row>
        <row r="833">
          <cell r="A833" t="str">
            <v>E029151300P1510900</v>
          </cell>
          <cell r="B833" t="str">
            <v>NTN0000-0904476</v>
          </cell>
          <cell r="C833" t="str">
            <v>E029</v>
          </cell>
          <cell r="D833" t="str">
            <v>00</v>
          </cell>
          <cell r="E833" t="str">
            <v>ดอกสว่านเจาะสแตนเลส 3/16 PUMPKIN #15109</v>
          </cell>
          <cell r="F833">
            <v>110</v>
          </cell>
          <cell r="G833">
            <v>17.64</v>
          </cell>
        </row>
        <row r="834">
          <cell r="A834" t="str">
            <v>E029151300P1511300</v>
          </cell>
          <cell r="B834" t="str">
            <v>NTN0000-0904635</v>
          </cell>
          <cell r="C834" t="str">
            <v>E029</v>
          </cell>
          <cell r="D834" t="str">
            <v>00</v>
          </cell>
          <cell r="E834" t="str">
            <v>ดอกสว่านเจาะสแตนเลส 1/4 PUMPKIN #15113</v>
          </cell>
          <cell r="F834">
            <v>73</v>
          </cell>
          <cell r="G834">
            <v>29.28</v>
          </cell>
        </row>
        <row r="835">
          <cell r="A835" t="str">
            <v>E029151300P1511700</v>
          </cell>
          <cell r="B835" t="str">
            <v>NTN0000-0904793</v>
          </cell>
          <cell r="C835" t="str">
            <v>E029</v>
          </cell>
          <cell r="D835" t="str">
            <v>00</v>
          </cell>
          <cell r="E835" t="str">
            <v>ดอกสว่านเจาะสแตนเลส 5/16 PUMPKIN #15117</v>
          </cell>
          <cell r="F835">
            <v>100</v>
          </cell>
          <cell r="G835">
            <v>47.3</v>
          </cell>
        </row>
        <row r="836">
          <cell r="A836" t="str">
            <v>E029151300P1512100</v>
          </cell>
          <cell r="B836" t="str">
            <v>NTN0000-0904952</v>
          </cell>
          <cell r="C836" t="str">
            <v>E029</v>
          </cell>
          <cell r="D836" t="str">
            <v>00</v>
          </cell>
          <cell r="E836" t="str">
            <v>ดอกสว่านเจาะสแตนเลส 3/8 PUMPKIN #15121</v>
          </cell>
          <cell r="F836">
            <v>108</v>
          </cell>
          <cell r="G836">
            <v>63.05</v>
          </cell>
        </row>
        <row r="837">
          <cell r="A837" t="str">
            <v>E029151300P1530400</v>
          </cell>
          <cell r="B837" t="str">
            <v>NTN0000-0907238</v>
          </cell>
          <cell r="C837" t="str">
            <v>E029</v>
          </cell>
          <cell r="D837" t="str">
            <v>00</v>
          </cell>
          <cell r="E837" t="str">
            <v>ดอกสว่านโคบอลต์ 3/32" PUMPKIN-PRO #15304</v>
          </cell>
          <cell r="F837">
            <v>177</v>
          </cell>
          <cell r="G837">
            <v>15.33</v>
          </cell>
        </row>
        <row r="838">
          <cell r="A838" t="str">
            <v>E029151300P1530600</v>
          </cell>
          <cell r="B838" t="str">
            <v>NTN0000-0907317</v>
          </cell>
          <cell r="C838" t="str">
            <v>E029</v>
          </cell>
          <cell r="D838" t="str">
            <v>00</v>
          </cell>
          <cell r="E838" t="str">
            <v>ดอกสว่านโคบอลต์ 1/8" PUMPKIN-PRO #15306</v>
          </cell>
          <cell r="F838">
            <v>130</v>
          </cell>
          <cell r="G838">
            <v>16.760000000000002</v>
          </cell>
        </row>
        <row r="839">
          <cell r="A839" t="str">
            <v>E029151300P1530700</v>
          </cell>
          <cell r="B839" t="str">
            <v>NTN0000-0907357</v>
          </cell>
          <cell r="C839" t="str">
            <v>E029</v>
          </cell>
          <cell r="D839" t="str">
            <v>00</v>
          </cell>
          <cell r="E839" t="str">
            <v>ดอกสว่านโคบอลต์ 9/64" PUMPKIN-PRO #15307</v>
          </cell>
          <cell r="F839">
            <v>108</v>
          </cell>
          <cell r="G839">
            <v>18.54</v>
          </cell>
        </row>
        <row r="840">
          <cell r="A840" t="str">
            <v>E029151300P1530800</v>
          </cell>
          <cell r="B840" t="str">
            <v>NTN0000-0907396</v>
          </cell>
          <cell r="C840" t="str">
            <v>E029</v>
          </cell>
          <cell r="D840" t="str">
            <v>00</v>
          </cell>
          <cell r="E840" t="str">
            <v>ดอกสว่านโคบอลต์ 5/32" PUMPKIN-PRO #15308</v>
          </cell>
          <cell r="F840">
            <v>148</v>
          </cell>
          <cell r="G840">
            <v>19.97</v>
          </cell>
        </row>
        <row r="841">
          <cell r="A841" t="str">
            <v>E029151300P1531000</v>
          </cell>
          <cell r="B841" t="str">
            <v>NTN0000-0907476</v>
          </cell>
          <cell r="C841" t="str">
            <v>E029</v>
          </cell>
          <cell r="D841" t="str">
            <v>00</v>
          </cell>
          <cell r="E841" t="str">
            <v>ดอกสว่านโคบอลต์ 3/16" PUMPKIN-PRO #15310</v>
          </cell>
          <cell r="F841">
            <v>147</v>
          </cell>
          <cell r="G841">
            <v>26.38</v>
          </cell>
        </row>
        <row r="842">
          <cell r="A842" t="str">
            <v>E029151300P1531400</v>
          </cell>
          <cell r="B842" t="str">
            <v>NTN0000-0907635</v>
          </cell>
          <cell r="C842" t="str">
            <v>E029</v>
          </cell>
          <cell r="D842" t="str">
            <v>00</v>
          </cell>
          <cell r="E842" t="str">
            <v>ดอกสว่านโคบอลต์ 1/4" PUMPKIN-PRO #15314</v>
          </cell>
          <cell r="F842">
            <v>118</v>
          </cell>
          <cell r="G842">
            <v>42.81</v>
          </cell>
        </row>
        <row r="843">
          <cell r="A843" t="str">
            <v>E029151300P1531800</v>
          </cell>
          <cell r="B843" t="str">
            <v>NTN0000-0907793</v>
          </cell>
          <cell r="C843" t="str">
            <v>E029</v>
          </cell>
          <cell r="D843" t="str">
            <v>00</v>
          </cell>
          <cell r="E843" t="str">
            <v>ดอกสว่านโคบอลต์ 5/16 PUMPKIN-PRO #15318</v>
          </cell>
          <cell r="F843">
            <v>176</v>
          </cell>
          <cell r="G843">
            <v>74.16</v>
          </cell>
        </row>
        <row r="844">
          <cell r="A844" t="str">
            <v>E029151300P1532200</v>
          </cell>
          <cell r="B844" t="str">
            <v>NTN0000-0907952</v>
          </cell>
          <cell r="C844" t="str">
            <v>E029</v>
          </cell>
          <cell r="D844" t="str">
            <v>00</v>
          </cell>
          <cell r="E844" t="str">
            <v>ดอกสว่านโคบอลต์ 3/8" PUMPKIN-PRO #15322</v>
          </cell>
          <cell r="F844">
            <v>171</v>
          </cell>
          <cell r="G844">
            <v>107.69</v>
          </cell>
        </row>
        <row r="845">
          <cell r="A845" t="str">
            <v>E029151300P1550700</v>
          </cell>
          <cell r="B845" t="str">
            <v>NTN0000-0906000</v>
          </cell>
          <cell r="C845" t="str">
            <v>E029</v>
          </cell>
          <cell r="D845" t="str">
            <v>00</v>
          </cell>
          <cell r="E845" t="str">
            <v>ดอกสว่านโรตารี่ 6.5x110 mm PUMPKIN #15507</v>
          </cell>
          <cell r="F845">
            <v>55</v>
          </cell>
          <cell r="G845">
            <v>28.56</v>
          </cell>
        </row>
        <row r="846">
          <cell r="A846" t="str">
            <v>E029151300P1550800</v>
          </cell>
          <cell r="B846" t="str">
            <v>NTN0000-0906001</v>
          </cell>
          <cell r="C846" t="str">
            <v>E029</v>
          </cell>
          <cell r="D846" t="str">
            <v>00</v>
          </cell>
          <cell r="E846" t="str">
            <v>ดอกสว่านโรตารี่ 6.5x160 mm PUMPKIN #15508</v>
          </cell>
          <cell r="F846">
            <v>40</v>
          </cell>
          <cell r="G846">
            <v>28.96</v>
          </cell>
        </row>
        <row r="847">
          <cell r="A847" t="str">
            <v>E029151300P1555100</v>
          </cell>
          <cell r="B847" t="str">
            <v>NTN0000-0906516</v>
          </cell>
          <cell r="C847" t="str">
            <v>E029</v>
          </cell>
          <cell r="D847" t="str">
            <v>00</v>
          </cell>
          <cell r="E847" t="str">
            <v>ดอกสว่านโรตารี่ หัวแฉก 5.5 x 160 มม.PUMPKIN #15551</v>
          </cell>
          <cell r="F847">
            <v>117</v>
          </cell>
          <cell r="G847">
            <v>35.9</v>
          </cell>
        </row>
        <row r="848">
          <cell r="A848" t="str">
            <v>E029151300P1555300</v>
          </cell>
          <cell r="B848" t="str">
            <v>NTN0000-0906611</v>
          </cell>
          <cell r="C848" t="str">
            <v>E029</v>
          </cell>
          <cell r="D848" t="str">
            <v>00</v>
          </cell>
          <cell r="E848" t="str">
            <v>ดอกสว่านโรตารี่ หัวแฉก 6.5 x 110 มม.PUMPKIN #15553</v>
          </cell>
          <cell r="F848">
            <v>93</v>
          </cell>
          <cell r="G848">
            <v>34.880000000000003</v>
          </cell>
        </row>
        <row r="849">
          <cell r="A849" t="str">
            <v>E029151300P1555400</v>
          </cell>
          <cell r="B849" t="str">
            <v>NTN0000-0906616</v>
          </cell>
          <cell r="C849" t="str">
            <v>E029</v>
          </cell>
          <cell r="D849" t="str">
            <v>00</v>
          </cell>
          <cell r="E849" t="str">
            <v>ดอกสว่านโรตารี่ หัวแฉก 6.5 x 160 มม.PUMPKIN #15554</v>
          </cell>
          <cell r="F849">
            <v>55</v>
          </cell>
          <cell r="G849">
            <v>42.43</v>
          </cell>
        </row>
        <row r="850">
          <cell r="A850" t="str">
            <v>E029151300P1555500</v>
          </cell>
          <cell r="B850" t="str">
            <v>NTN0000-0906711</v>
          </cell>
          <cell r="C850" t="str">
            <v>E029</v>
          </cell>
          <cell r="D850" t="str">
            <v>00</v>
          </cell>
          <cell r="E850" t="str">
            <v>ดอกสว่านโรตารี่ หัวแฉก 7 x 110 มม.PUMPKIN #15555</v>
          </cell>
          <cell r="F850">
            <v>57</v>
          </cell>
          <cell r="G850">
            <v>39.979999999999997</v>
          </cell>
        </row>
        <row r="851">
          <cell r="A851" t="str">
            <v>E029151300P1555700</v>
          </cell>
          <cell r="B851" t="str">
            <v>NTN0000-0906816</v>
          </cell>
          <cell r="C851" t="str">
            <v>E029</v>
          </cell>
          <cell r="D851" t="str">
            <v>00</v>
          </cell>
          <cell r="E851" t="str">
            <v>ดอกสว่านโรตารี่ หัวแฉก 8 x 160 มม.PUMPKIN #15557</v>
          </cell>
          <cell r="F851">
            <v>137</v>
          </cell>
          <cell r="G851">
            <v>48.95</v>
          </cell>
        </row>
        <row r="852">
          <cell r="A852" t="str">
            <v>E029151300P1556500</v>
          </cell>
          <cell r="B852" t="str">
            <v>NTN0000-0906511</v>
          </cell>
          <cell r="C852" t="str">
            <v>E029</v>
          </cell>
          <cell r="D852" t="str">
            <v>00</v>
          </cell>
          <cell r="E852" t="str">
            <v>ดอกสว่านโรตารี่ หัวแฉก 5.5 x 110 มม.PUMPKIN #15565</v>
          </cell>
          <cell r="F852">
            <v>135</v>
          </cell>
          <cell r="G852">
            <v>32.229999999999997</v>
          </cell>
        </row>
        <row r="853">
          <cell r="A853" t="str">
            <v>E029151300P1570100</v>
          </cell>
          <cell r="B853" t="str">
            <v>NTN0000-0905635</v>
          </cell>
          <cell r="C853" t="str">
            <v>E029</v>
          </cell>
          <cell r="D853" t="str">
            <v>00</v>
          </cell>
          <cell r="E853" t="str">
            <v>ดอกสว่านเจาะกระจก 1/4"x65 มม. PUMPKIN #15701</v>
          </cell>
          <cell r="F853">
            <v>27</v>
          </cell>
          <cell r="G853">
            <v>48.95</v>
          </cell>
        </row>
        <row r="854">
          <cell r="A854" t="str">
            <v>E029151300P1570200</v>
          </cell>
          <cell r="B854" t="str">
            <v>NTN0000-0905793</v>
          </cell>
          <cell r="C854" t="str">
            <v>E029</v>
          </cell>
          <cell r="D854" t="str">
            <v>00</v>
          </cell>
          <cell r="E854" t="str">
            <v>ดอกสว่านเจาะกระจก 5/16"x70 มม. PUMPKIN #15702</v>
          </cell>
          <cell r="F854">
            <v>27</v>
          </cell>
          <cell r="G854">
            <v>70.98</v>
          </cell>
        </row>
        <row r="855">
          <cell r="A855" t="str">
            <v>E029151300P1613300</v>
          </cell>
          <cell r="B855" t="str">
            <v/>
          </cell>
          <cell r="C855" t="str">
            <v>E029</v>
          </cell>
          <cell r="D855" t="str">
            <v>00</v>
          </cell>
          <cell r="E855" t="str">
            <v>ชุดดอกสว่านเจาะเหล็ก 21pcs/set PTT-DS21IN PUMPKIN #16133</v>
          </cell>
          <cell r="F855">
            <v>3</v>
          </cell>
          <cell r="G855">
            <v>279.36</v>
          </cell>
        </row>
        <row r="856">
          <cell r="A856" t="str">
            <v>E029151300P1613500</v>
          </cell>
          <cell r="B856" t="str">
            <v>NTN0000-0911013</v>
          </cell>
          <cell r="C856" t="str">
            <v>E029</v>
          </cell>
          <cell r="D856" t="str">
            <v>00</v>
          </cell>
          <cell r="E856" t="str">
            <v>ชุดดอกสว่านPilot Tip (mm.) PTT-M2/13M Xtrerme (13ชิ้น/ชุด) #16135</v>
          </cell>
          <cell r="F856">
            <v>1</v>
          </cell>
          <cell r="G856">
            <v>253.17</v>
          </cell>
        </row>
        <row r="857">
          <cell r="A857" t="str">
            <v>E029151300P1720100</v>
          </cell>
          <cell r="B857" t="str">
            <v>NTN0000-2501040</v>
          </cell>
          <cell r="C857" t="str">
            <v>E029</v>
          </cell>
          <cell r="D857" t="str">
            <v>00</v>
          </cell>
          <cell r="E857" t="str">
            <v>ไขควงสลับ S2 PH2x6.35x40 PUMPKIN รุ่น FRANKEN-PLUS #17201</v>
          </cell>
          <cell r="F857">
            <v>96</v>
          </cell>
          <cell r="G857">
            <v>50.99</v>
          </cell>
        </row>
        <row r="858">
          <cell r="A858" t="str">
            <v>E029151300P1720200</v>
          </cell>
          <cell r="B858" t="str">
            <v>NTN0000-2501100</v>
          </cell>
          <cell r="C858" t="str">
            <v>E029</v>
          </cell>
          <cell r="D858" t="str">
            <v>00</v>
          </cell>
          <cell r="E858" t="str">
            <v>ไขควงสลับ S2 PH2x6.35x100 PUMPKIN รุ่น FRANKEN-PLUS  #17202</v>
          </cell>
          <cell r="F858">
            <v>54</v>
          </cell>
          <cell r="G858">
            <v>57.13</v>
          </cell>
        </row>
        <row r="859">
          <cell r="A859" t="str">
            <v>E029151300P1788000</v>
          </cell>
          <cell r="B859" t="str">
            <v>NTN0000-2503001</v>
          </cell>
          <cell r="C859" t="str">
            <v>E029</v>
          </cell>
          <cell r="D859" t="str">
            <v>00</v>
          </cell>
          <cell r="E859" t="str">
            <v>ไขควงลองไฟ AC100-500V PUMPKIN #17880</v>
          </cell>
          <cell r="F859">
            <v>30</v>
          </cell>
          <cell r="G859">
            <v>17.16</v>
          </cell>
        </row>
        <row r="860">
          <cell r="A860" t="str">
            <v>E029151300P2001700</v>
          </cell>
          <cell r="B860" t="str">
            <v>NTN0000-2901200</v>
          </cell>
          <cell r="C860" t="str">
            <v>E029</v>
          </cell>
          <cell r="D860" t="str">
            <v>00</v>
          </cell>
          <cell r="E860" t="str">
            <v>น้ำมันอเนกประสงค์ หัวสเปรย์ 200 ML PUMPKIN #20017</v>
          </cell>
          <cell r="F860">
            <v>12</v>
          </cell>
          <cell r="G860">
            <v>47.73</v>
          </cell>
        </row>
        <row r="861">
          <cell r="A861" t="str">
            <v>E029151300P2001800</v>
          </cell>
          <cell r="B861" t="str">
            <v>NTN0000-2901400</v>
          </cell>
          <cell r="C861" t="str">
            <v>E029</v>
          </cell>
          <cell r="D861" t="str">
            <v>00</v>
          </cell>
          <cell r="E861" t="str">
            <v>น้ำมันอเนกประสงค์ หัวสเปรย์ 400 ML PUMPKIN #20018</v>
          </cell>
          <cell r="F861">
            <v>8</v>
          </cell>
          <cell r="G861">
            <v>66.09</v>
          </cell>
        </row>
        <row r="862">
          <cell r="A862" t="str">
            <v>E029151300P2230400</v>
          </cell>
          <cell r="B862" t="str">
            <v>NTN0013-2101400</v>
          </cell>
          <cell r="C862" t="str">
            <v>E029</v>
          </cell>
          <cell r="D862" t="str">
            <v>00</v>
          </cell>
          <cell r="E862" t="str">
            <v>ใบตัดเพชร บางพิเศษ 4 นิ้ว PUMPKIN #22304</v>
          </cell>
          <cell r="F862">
            <v>64</v>
          </cell>
          <cell r="G862">
            <v>99.41</v>
          </cell>
        </row>
        <row r="863">
          <cell r="A863" t="str">
            <v>E029151300P2230500</v>
          </cell>
          <cell r="B863" t="str">
            <v>NTN0013-2101401</v>
          </cell>
          <cell r="C863" t="str">
            <v>E029</v>
          </cell>
          <cell r="D863" t="str">
            <v>00</v>
          </cell>
          <cell r="E863" t="str">
            <v>ใบตัดเพชร  4 นิ้ว SEGMENT TYPE GENERAL PURPOSE PUMPKIN #22305</v>
          </cell>
          <cell r="F863">
            <v>89</v>
          </cell>
          <cell r="G863">
            <v>55.81</v>
          </cell>
        </row>
        <row r="864">
          <cell r="A864" t="str">
            <v>E029151300P2230600</v>
          </cell>
          <cell r="B864" t="str">
            <v>NTN0013-2101402</v>
          </cell>
          <cell r="C864" t="str">
            <v>E029</v>
          </cell>
          <cell r="D864" t="str">
            <v>00</v>
          </cell>
          <cell r="E864" t="str">
            <v>ใบตัดเพชร/คอนกรีต 4 นิ้ว PUMPKIN #22306</v>
          </cell>
          <cell r="F864">
            <v>106</v>
          </cell>
          <cell r="G864">
            <v>80.22</v>
          </cell>
        </row>
        <row r="865">
          <cell r="A865" t="str">
            <v>E029151300P2510700</v>
          </cell>
          <cell r="B865" t="str">
            <v>NTN0000-2602010</v>
          </cell>
          <cell r="C865" t="str">
            <v>E029</v>
          </cell>
          <cell r="D865" t="str">
            <v>00</v>
          </cell>
          <cell r="E865" t="str">
            <v>คีมล็อกปากตรง+หัวขันน็อต 10 นิ้ว PUMPKIN #25107</v>
          </cell>
          <cell r="F865">
            <v>18</v>
          </cell>
          <cell r="G865">
            <v>181.54</v>
          </cell>
        </row>
        <row r="866">
          <cell r="A866" t="str">
            <v>E029151300P2643600</v>
          </cell>
          <cell r="B866" t="str">
            <v>NTN0000-9910000</v>
          </cell>
          <cell r="C866" t="str">
            <v>E029</v>
          </cell>
          <cell r="D866" t="str">
            <v>00</v>
          </cell>
          <cell r="E866" t="str">
            <v>อุปกรณ์เพิ่ม/ลดแรงดึงดูดแม่เหล็ก PTT-MN PUMPKIN #26436</v>
          </cell>
          <cell r="F866">
            <v>12</v>
          </cell>
          <cell r="G866">
            <v>39.57</v>
          </cell>
        </row>
        <row r="867">
          <cell r="A867" t="str">
            <v>E029151300P2820500</v>
          </cell>
          <cell r="B867" t="str">
            <v>NTN0000-2801609</v>
          </cell>
          <cell r="C867" t="str">
            <v>E029</v>
          </cell>
          <cell r="D867" t="str">
            <v>00</v>
          </cell>
          <cell r="E867" t="str">
            <v>ระดับน้ำ รุ่นแม่เหล็ก 24 นิ้ว PUMPKIN #28205</v>
          </cell>
          <cell r="F867">
            <v>39</v>
          </cell>
          <cell r="G867">
            <v>146.86000000000001</v>
          </cell>
        </row>
        <row r="868">
          <cell r="A868" t="str">
            <v>E029151300P2821100</v>
          </cell>
          <cell r="B868" t="str">
            <v>NTN0000-2801304</v>
          </cell>
          <cell r="C868" t="str">
            <v>E029</v>
          </cell>
          <cell r="D868" t="str">
            <v>00</v>
          </cell>
          <cell r="E868" t="str">
            <v>ระดับน้ำ รุ่นแม่เหล็ก 12 นิ้ว PUMPKIN #28211</v>
          </cell>
          <cell r="F868">
            <v>40</v>
          </cell>
          <cell r="G868">
            <v>108.12</v>
          </cell>
        </row>
        <row r="869">
          <cell r="A869" t="str">
            <v>E029151300P2824400</v>
          </cell>
          <cell r="B869" t="str">
            <v>NTN0000-2801228</v>
          </cell>
          <cell r="C869" t="str">
            <v>E029</v>
          </cell>
          <cell r="D869" t="str">
            <v>00</v>
          </cell>
          <cell r="E869" t="str">
            <v>ระดับน้ำ 9 นิ้ว อย่างหนา PUMPKIN #28244</v>
          </cell>
          <cell r="F869">
            <v>79</v>
          </cell>
          <cell r="G869">
            <v>48.95</v>
          </cell>
        </row>
        <row r="870">
          <cell r="A870" t="str">
            <v>E029151300P2825400</v>
          </cell>
          <cell r="B870" t="str">
            <v>NTN0000-2802003</v>
          </cell>
          <cell r="C870" t="str">
            <v>E029</v>
          </cell>
          <cell r="D870" t="str">
            <v>00</v>
          </cell>
          <cell r="E870" t="str">
            <v>ขาตั้ง 3 ขาสีส้ม 1.5 M PTT-TP150 PUMPKIN #28254</v>
          </cell>
          <cell r="F870">
            <v>0</v>
          </cell>
          <cell r="G870">
            <v>0</v>
          </cell>
        </row>
        <row r="871">
          <cell r="A871" t="str">
            <v>E029151300P2825900</v>
          </cell>
          <cell r="B871" t="str">
            <v>NTN0000-2802001</v>
          </cell>
          <cell r="C871" t="str">
            <v>E029</v>
          </cell>
          <cell r="D871" t="str">
            <v>00</v>
          </cell>
          <cell r="E871" t="str">
            <v>เครื่องวัดระดับเลเซอร์ แบตในตัวแสงเขียวx พร้อมขาตั้งx PUMPKIN #28259</v>
          </cell>
          <cell r="F871">
            <v>2</v>
          </cell>
          <cell r="G871">
            <v>2368.12</v>
          </cell>
        </row>
        <row r="872">
          <cell r="A872" t="str">
            <v>E029151300P2826900</v>
          </cell>
          <cell r="B872" t="str">
            <v>NTN0000-2802002</v>
          </cell>
          <cell r="C872" t="str">
            <v>E029</v>
          </cell>
          <cell r="D872" t="str">
            <v>00</v>
          </cell>
          <cell r="E872" t="str">
            <v>เครื่องวัดระดับเลเซอร์ 5 เส้น PTT-H-LSR5L พร้อมขาตั้ง PUMPKIN #28269</v>
          </cell>
          <cell r="F872">
            <v>11</v>
          </cell>
          <cell r="G872">
            <v>1569.36</v>
          </cell>
        </row>
        <row r="873">
          <cell r="A873" t="str">
            <v>E029151300P2836300</v>
          </cell>
          <cell r="B873" t="str">
            <v>NTN0000-2802400</v>
          </cell>
          <cell r="C873" t="str">
            <v>E029</v>
          </cell>
          <cell r="D873" t="str">
            <v>00</v>
          </cell>
          <cell r="E873" t="str">
            <v>เครื่องวัดระยะเลเซอร์ 40 เมตร PUMPKIN #28363</v>
          </cell>
          <cell r="F873">
            <v>16</v>
          </cell>
          <cell r="G873">
            <v>816.49</v>
          </cell>
        </row>
        <row r="874">
          <cell r="A874" t="str">
            <v>E029151300P2840100</v>
          </cell>
          <cell r="B874" t="str">
            <v>NTN0000-2800001</v>
          </cell>
          <cell r="C874" t="str">
            <v>E029</v>
          </cell>
          <cell r="D874" t="str">
            <v>00</v>
          </cell>
          <cell r="E874" t="str">
            <v>บักเต้าใหญ่ตีเส้น-F PUMPKIN #28401-F</v>
          </cell>
          <cell r="F874">
            <v>28</v>
          </cell>
          <cell r="G874">
            <v>36.450000000000003</v>
          </cell>
        </row>
        <row r="875">
          <cell r="A875" t="str">
            <v>E029151300P2913300</v>
          </cell>
          <cell r="B875" t="str">
            <v>NTN0000-2302027</v>
          </cell>
          <cell r="C875" t="str">
            <v>E029</v>
          </cell>
          <cell r="D875" t="str">
            <v>00</v>
          </cell>
          <cell r="E875" t="str">
            <v>ค้อนหงอน 27 mm. ด้ามไฟเบอร์ PUMPKIN #29133</v>
          </cell>
          <cell r="F875">
            <v>10</v>
          </cell>
          <cell r="G875">
            <v>135.85</v>
          </cell>
        </row>
        <row r="876">
          <cell r="A876" t="str">
            <v>E029151300P2951600</v>
          </cell>
          <cell r="B876" t="str">
            <v>NTN0000-2403000</v>
          </cell>
          <cell r="C876" t="str">
            <v>E029</v>
          </cell>
          <cell r="D876" t="str">
            <v>00</v>
          </cell>
          <cell r="E876" t="str">
            <v>กรรไกรตัดเหล็กอเนกประสงค์ สแตนเลส PTT-08USS PUMPKIN #29516</v>
          </cell>
          <cell r="F876">
            <v>106</v>
          </cell>
          <cell r="G876">
            <v>81.510000000000005</v>
          </cell>
        </row>
        <row r="877">
          <cell r="A877" t="str">
            <v>E029151300P2952400</v>
          </cell>
          <cell r="B877" t="str">
            <v>NTN0000-2401010</v>
          </cell>
          <cell r="C877" t="str">
            <v>E029</v>
          </cell>
          <cell r="D877" t="str">
            <v>00</v>
          </cell>
          <cell r="E877" t="str">
            <v>กรรไกรตัดเหล็กแผ่นปากตรง 10 นิ้ว PUMPKIN #29524</v>
          </cell>
          <cell r="F877">
            <v>4</v>
          </cell>
          <cell r="G877">
            <v>142.44999999999999</v>
          </cell>
        </row>
        <row r="878">
          <cell r="A878" t="str">
            <v>E029151300P2952900</v>
          </cell>
          <cell r="B878" t="str">
            <v>NTN0000-2402010</v>
          </cell>
          <cell r="C878" t="str">
            <v>E029</v>
          </cell>
          <cell r="D878" t="str">
            <v>00</v>
          </cell>
          <cell r="E878" t="str">
            <v>กรรไกรตัดเหล็ก/สังกะสี ทรงอังกฤษ 10 นิ้ว PUMPKIN #29529</v>
          </cell>
          <cell r="F878">
            <v>21</v>
          </cell>
          <cell r="G878">
            <v>132.96</v>
          </cell>
        </row>
        <row r="879">
          <cell r="A879" t="str">
            <v>E029151300P2953000</v>
          </cell>
          <cell r="B879" t="str">
            <v>NTN0000-2402012</v>
          </cell>
          <cell r="C879" t="str">
            <v>E029</v>
          </cell>
          <cell r="D879" t="str">
            <v>00</v>
          </cell>
          <cell r="E879" t="str">
            <v>กรรไกรตัดเหล็ก/สังกะสี ทรงอังกฤษ 12 นิ้ว  PUMPKIN#29530</v>
          </cell>
          <cell r="F879">
            <v>38</v>
          </cell>
          <cell r="G879">
            <v>170.79730000000001</v>
          </cell>
        </row>
        <row r="880">
          <cell r="A880" t="str">
            <v>E029151300P2953100</v>
          </cell>
          <cell r="B880" t="str">
            <v>NTN0000-2402014</v>
          </cell>
          <cell r="C880" t="str">
            <v>E029</v>
          </cell>
          <cell r="D880" t="str">
            <v>00</v>
          </cell>
          <cell r="E880" t="str">
            <v>กรรไกรตัดเหล็ก/สังกะสี ทรงอังกฤษ 14 นิ้ว PUMPKIN #29531</v>
          </cell>
          <cell r="F880">
            <v>47</v>
          </cell>
          <cell r="G880">
            <v>207.75</v>
          </cell>
        </row>
        <row r="881">
          <cell r="A881" t="str">
            <v>E029151300P2976000</v>
          </cell>
          <cell r="B881" t="str">
            <v>NTN0000-2301060</v>
          </cell>
          <cell r="C881" t="str">
            <v>E029</v>
          </cell>
          <cell r="D881" t="str">
            <v>00</v>
          </cell>
          <cell r="E881" t="str">
            <v>ค้อนไม้ 60 มม.PUMPKIN #29760</v>
          </cell>
          <cell r="F881">
            <v>49</v>
          </cell>
          <cell r="G881">
            <v>93.83</v>
          </cell>
        </row>
        <row r="882">
          <cell r="A882" t="str">
            <v>E029151300P3120600</v>
          </cell>
          <cell r="B882" t="str">
            <v>NTN0000-2603203</v>
          </cell>
          <cell r="C882" t="str">
            <v>E029</v>
          </cell>
          <cell r="D882" t="str">
            <v>00</v>
          </cell>
          <cell r="E882" t="str">
            <v>คีมย้ำลดแรง 8 นิ้ว PUMPKIN #31206</v>
          </cell>
          <cell r="F882">
            <v>11</v>
          </cell>
          <cell r="G882">
            <v>314.77999999999997</v>
          </cell>
        </row>
        <row r="883">
          <cell r="A883" t="str">
            <v>E029151300P3210300</v>
          </cell>
          <cell r="B883" t="str">
            <v>NTN0000-9904012</v>
          </cell>
          <cell r="C883" t="str">
            <v>E029</v>
          </cell>
          <cell r="D883" t="str">
            <v>00</v>
          </cell>
          <cell r="E883" t="str">
            <v>โครงเลื่อยตัดเหล็ก 12 นิ้ว PUMPKIN #32103</v>
          </cell>
          <cell r="F883">
            <v>91</v>
          </cell>
          <cell r="G883">
            <v>130.23920000000001</v>
          </cell>
        </row>
        <row r="884">
          <cell r="A884" t="str">
            <v>E029151300P3364000</v>
          </cell>
          <cell r="B884" t="str">
            <v>NTN0000-2403010</v>
          </cell>
          <cell r="C884" t="str">
            <v>E029</v>
          </cell>
          <cell r="D884" t="str">
            <v>00</v>
          </cell>
          <cell r="E884" t="str">
            <v>กรรไกรตัดอเนกประสงค์ 10 นิ้ว ปากเฉียง PRO-21MS PUMPKIN #33640</v>
          </cell>
          <cell r="F884">
            <v>11</v>
          </cell>
          <cell r="G884">
            <v>247.69</v>
          </cell>
        </row>
        <row r="885">
          <cell r="A885" t="str">
            <v>E029151300P3521500</v>
          </cell>
          <cell r="B885" t="str">
            <v>NTN0000-2700006</v>
          </cell>
          <cell r="C885" t="str">
            <v>E029</v>
          </cell>
          <cell r="D885" t="str">
            <v>00</v>
          </cell>
          <cell r="E885" t="str">
            <v>เวอร์เนียร์พลาสติก 6 นิ้ว 150-PTTVCP PUMPKIN #35215</v>
          </cell>
          <cell r="F885">
            <v>26</v>
          </cell>
          <cell r="G885">
            <v>157.63</v>
          </cell>
        </row>
        <row r="886">
          <cell r="A886" t="str">
            <v>E029151300P4424100</v>
          </cell>
          <cell r="B886" t="str">
            <v>NTN0000-0903016</v>
          </cell>
          <cell r="C886" t="str">
            <v>E029</v>
          </cell>
          <cell r="D886" t="str">
            <v>00</v>
          </cell>
          <cell r="E886" t="str">
            <v>โฮลซอเจาะเหล็ก 16 มม. PUMPKIN #44241</v>
          </cell>
          <cell r="F886">
            <v>18</v>
          </cell>
          <cell r="G886">
            <v>113.94</v>
          </cell>
        </row>
        <row r="887">
          <cell r="A887" t="str">
            <v>E029151300P4424200</v>
          </cell>
          <cell r="B887" t="str">
            <v>NTN0000-0903019</v>
          </cell>
          <cell r="C887" t="str">
            <v>E029</v>
          </cell>
          <cell r="D887" t="str">
            <v>00</v>
          </cell>
          <cell r="E887" t="str">
            <v>โฮลซอเจาะเหล็ก 19 มม. PUMPKIN #44242</v>
          </cell>
          <cell r="F887">
            <v>18</v>
          </cell>
          <cell r="G887">
            <v>126.73</v>
          </cell>
        </row>
        <row r="888">
          <cell r="A888" t="str">
            <v>E029151300P4424300</v>
          </cell>
          <cell r="B888" t="str">
            <v>NTN0000-0903020</v>
          </cell>
          <cell r="C888" t="str">
            <v>E029</v>
          </cell>
          <cell r="D888" t="str">
            <v>00</v>
          </cell>
          <cell r="E888" t="str">
            <v>โฮลซอเจาะเหล็ก 20 มม. PUMPKIN #44243</v>
          </cell>
          <cell r="F888">
            <v>20</v>
          </cell>
          <cell r="G888">
            <v>137.19999999999999</v>
          </cell>
        </row>
        <row r="889">
          <cell r="A889" t="str">
            <v>E029151300P4424400</v>
          </cell>
          <cell r="B889" t="str">
            <v>NTN0000-0903021</v>
          </cell>
          <cell r="C889" t="str">
            <v>E029</v>
          </cell>
          <cell r="D889" t="str">
            <v>00</v>
          </cell>
          <cell r="E889" t="str">
            <v>โฮลซอเจาะเหล็ก 21 มม. PUMPKIN #44244</v>
          </cell>
          <cell r="F889">
            <v>18</v>
          </cell>
          <cell r="G889">
            <v>142.22999999999999</v>
          </cell>
        </row>
        <row r="890">
          <cell r="A890" t="str">
            <v>E029151300P4424600</v>
          </cell>
          <cell r="B890" t="str">
            <v>NTN0000-0903025</v>
          </cell>
          <cell r="C890" t="str">
            <v>E029</v>
          </cell>
          <cell r="D890" t="str">
            <v>00</v>
          </cell>
          <cell r="E890" t="str">
            <v>โฮลซอเจาะเหล็ก 25 มม. PUMPKIN #44246</v>
          </cell>
          <cell r="F890">
            <v>14</v>
          </cell>
          <cell r="G890">
            <v>170.52</v>
          </cell>
        </row>
        <row r="891">
          <cell r="A891" t="str">
            <v>E029151300P4434100</v>
          </cell>
          <cell r="B891" t="str">
            <v>NTN0013-2101001</v>
          </cell>
          <cell r="C891" t="str">
            <v>E029</v>
          </cell>
          <cell r="D891" t="str">
            <v>00</v>
          </cell>
          <cell r="E891" t="str">
            <v>เครื่องเจียรมือ 4 นิ้ว H-G954 PUMPKIN #44341</v>
          </cell>
          <cell r="F891">
            <v>7</v>
          </cell>
          <cell r="G891">
            <v>407.78</v>
          </cell>
        </row>
        <row r="892">
          <cell r="A892" t="str">
            <v>E029151300P4465300</v>
          </cell>
          <cell r="B892" t="str">
            <v>NTN0000-2507008</v>
          </cell>
          <cell r="C892" t="str">
            <v>E029</v>
          </cell>
          <cell r="D892" t="str">
            <v>00</v>
          </cell>
          <cell r="E892" t="str">
            <v>ประแจแหวนข้างปากตายยาวพิเศษ 8 มม. PUMPKIN #44653</v>
          </cell>
          <cell r="F892">
            <v>53</v>
          </cell>
          <cell r="G892">
            <v>33.72</v>
          </cell>
        </row>
        <row r="893">
          <cell r="A893" t="str">
            <v>E029151300P4465500</v>
          </cell>
          <cell r="B893" t="str">
            <v>NTN0000-2507010</v>
          </cell>
          <cell r="C893" t="str">
            <v>E029</v>
          </cell>
          <cell r="D893" t="str">
            <v>00</v>
          </cell>
          <cell r="E893" t="str">
            <v>ประแจแหวนข้างปากตายยาวพิเศษ 10 มม. PUMPKIN #44655</v>
          </cell>
          <cell r="F893">
            <v>19</v>
          </cell>
          <cell r="G893">
            <v>36.43</v>
          </cell>
        </row>
        <row r="894">
          <cell r="A894" t="str">
            <v>E029151300P4465700</v>
          </cell>
          <cell r="B894" t="str">
            <v>NTN0000-2507012</v>
          </cell>
          <cell r="C894" t="str">
            <v>E029</v>
          </cell>
          <cell r="D894" t="str">
            <v>00</v>
          </cell>
          <cell r="E894" t="str">
            <v>ประแจแหวนข้างปากตายยาวพิเศษ 12 มม. PUMPKIN #44657</v>
          </cell>
          <cell r="F894">
            <v>46</v>
          </cell>
          <cell r="G894">
            <v>43.02</v>
          </cell>
        </row>
        <row r="895">
          <cell r="A895" t="str">
            <v>E029151300P4465800</v>
          </cell>
          <cell r="B895" t="str">
            <v>NTN0000-2507013</v>
          </cell>
          <cell r="C895" t="str">
            <v>E029</v>
          </cell>
          <cell r="D895" t="str">
            <v>00</v>
          </cell>
          <cell r="E895" t="str">
            <v>ประแจแหวนข้างปากตายยาวพิเศษ 13 มม. PUMPKIN #44658</v>
          </cell>
          <cell r="F895">
            <v>49</v>
          </cell>
          <cell r="G895">
            <v>50.39</v>
          </cell>
        </row>
        <row r="896">
          <cell r="A896" t="str">
            <v>E029151300P4465900</v>
          </cell>
          <cell r="B896" t="str">
            <v>NTN0000-2507014</v>
          </cell>
          <cell r="C896" t="str">
            <v>E029</v>
          </cell>
          <cell r="D896" t="str">
            <v>00</v>
          </cell>
          <cell r="E896" t="str">
            <v>ประแจแหวนข้างปากตายยาวพิเศษ 14 มม. PUMPKIN #44659</v>
          </cell>
          <cell r="F896">
            <v>49</v>
          </cell>
          <cell r="G896">
            <v>51.94</v>
          </cell>
        </row>
        <row r="897">
          <cell r="A897" t="str">
            <v>E029151300P4504000</v>
          </cell>
          <cell r="B897" t="str">
            <v>NTN0000-0901002</v>
          </cell>
          <cell r="C897" t="str">
            <v>E029</v>
          </cell>
          <cell r="D897" t="str">
            <v>00</v>
          </cell>
          <cell r="E897" t="str">
            <v>สว่านโรตารี่ 26 มม. PUMPKIN รุ่น HOME #45040</v>
          </cell>
          <cell r="F897">
            <v>20</v>
          </cell>
          <cell r="G897">
            <v>1336.42</v>
          </cell>
        </row>
        <row r="898">
          <cell r="A898" t="str">
            <v>E029151300P5011500</v>
          </cell>
          <cell r="B898" t="str">
            <v>NTN0000-3002254</v>
          </cell>
          <cell r="C898" t="str">
            <v>E029</v>
          </cell>
          <cell r="D898" t="str">
            <v>00</v>
          </cell>
          <cell r="E898" t="str">
            <v>เครื่องเลื่อยองศา 10 นิ้ว PUMPKIN รุ่น J-Series #50115</v>
          </cell>
          <cell r="F898">
            <v>0</v>
          </cell>
          <cell r="G898">
            <v>3475.69</v>
          </cell>
        </row>
        <row r="899">
          <cell r="A899" t="str">
            <v>E029151300P5016500</v>
          </cell>
          <cell r="B899" t="str">
            <v>NTN0000-3001355</v>
          </cell>
          <cell r="C899" t="str">
            <v>E029</v>
          </cell>
          <cell r="D899" t="str">
            <v>00</v>
          </cell>
          <cell r="E899" t="str">
            <v>แท่นไฟเบอร์ตัดเหล็ก 14 นิ้ว PUMPKIN รุ่น J-Series #50165</v>
          </cell>
          <cell r="F899">
            <v>1</v>
          </cell>
          <cell r="G899">
            <v>2106.71</v>
          </cell>
        </row>
        <row r="900">
          <cell r="A900" t="str">
            <v>E029151300P5020800</v>
          </cell>
          <cell r="B900" t="str">
            <v>NTN0000-0901001</v>
          </cell>
          <cell r="C900" t="str">
            <v>E029</v>
          </cell>
          <cell r="D900" t="str">
            <v>00</v>
          </cell>
          <cell r="E900" t="str">
            <v>สว่านกระแทกไร้สาย 12V PUMPKIN รุ่น J-Series #50208</v>
          </cell>
          <cell r="F900">
            <v>3</v>
          </cell>
          <cell r="G900">
            <v>1227.75</v>
          </cell>
        </row>
        <row r="901">
          <cell r="A901" t="str">
            <v>E029151300P5021000</v>
          </cell>
          <cell r="B901" t="str">
            <v/>
          </cell>
          <cell r="C901" t="str">
            <v>E029</v>
          </cell>
          <cell r="D901" t="str">
            <v>00</v>
          </cell>
          <cell r="E901" t="str">
            <v>สว่านกระแทกไร้สาย ไร้แปรงถ่าน 12V PUMPKIN รุ่น J-Series #50210</v>
          </cell>
          <cell r="F901">
            <v>2</v>
          </cell>
          <cell r="G901">
            <v>2122.1999999999998</v>
          </cell>
        </row>
        <row r="902">
          <cell r="A902" t="str">
            <v>E029151300P5021100</v>
          </cell>
          <cell r="B902" t="str">
            <v>NTN0013-0901004</v>
          </cell>
          <cell r="C902" t="str">
            <v>E029</v>
          </cell>
          <cell r="D902" t="str">
            <v>00</v>
          </cell>
          <cell r="E902" t="str">
            <v>สว่านไฟฟ้า 2 หุน 65 มม.450W J-D6538 PUMPKIN #50211</v>
          </cell>
          <cell r="F902">
            <v>8</v>
          </cell>
          <cell r="G902">
            <v>589.07000000000005</v>
          </cell>
        </row>
        <row r="903">
          <cell r="A903" t="str">
            <v>E029151300P5021415</v>
          </cell>
          <cell r="B903" t="str">
            <v>NTN0000-0901000</v>
          </cell>
          <cell r="C903" t="str">
            <v>E029</v>
          </cell>
          <cell r="D903" t="str">
            <v>00</v>
          </cell>
          <cell r="E903" t="str">
            <v>สว่านไร้สาย 12V  PUMPKIN รุ่น J-Series #50214-15B2</v>
          </cell>
          <cell r="F903">
            <v>8</v>
          </cell>
          <cell r="G903">
            <v>792.29</v>
          </cell>
        </row>
        <row r="904">
          <cell r="A904" t="str">
            <v>E029151300P5023600</v>
          </cell>
          <cell r="B904" t="str">
            <v>NTN0000-0901003</v>
          </cell>
          <cell r="C904" t="str">
            <v>E029</v>
          </cell>
          <cell r="D904" t="str">
            <v>00</v>
          </cell>
          <cell r="E904" t="str">
            <v xml:space="preserve">สว่านไฟฟ้ากระแทกพร้อมชุดเครื่องมือ 16 มม.710W (97ชิ้น) PUMPKIN #50236 </v>
          </cell>
          <cell r="F904">
            <v>11</v>
          </cell>
          <cell r="G904">
            <v>1498.51</v>
          </cell>
        </row>
        <row r="905">
          <cell r="A905" t="str">
            <v>E029151300P5025800</v>
          </cell>
          <cell r="B905" t="str">
            <v>NTN0000-0901004</v>
          </cell>
          <cell r="C905" t="str">
            <v>E029</v>
          </cell>
          <cell r="D905" t="str">
            <v>00</v>
          </cell>
          <cell r="E905" t="str">
            <v>สว่านโรตารี่ไร้สาย ไร้แปรงถ่าน 26 มม. 20V Li-ion INFINITY POWER PUMPKIN #50258</v>
          </cell>
          <cell r="F905">
            <v>10</v>
          </cell>
          <cell r="G905">
            <v>4185.5</v>
          </cell>
        </row>
        <row r="906">
          <cell r="A906" t="str">
            <v>E029151300P5026100</v>
          </cell>
          <cell r="B906" t="str">
            <v>NTN0013-0910005</v>
          </cell>
          <cell r="C906" t="str">
            <v>E029</v>
          </cell>
          <cell r="D906" t="str">
            <v>00</v>
          </cell>
          <cell r="E906" t="str">
            <v>สว่านไขควงกระแทกไร้สาย (ไร้แปรงถ่าน) 1/4 นิ้ว 20V PUMPKIN #50261</v>
          </cell>
          <cell r="F906">
            <v>5</v>
          </cell>
          <cell r="G906">
            <v>2976.36</v>
          </cell>
        </row>
        <row r="907">
          <cell r="A907" t="str">
            <v>E029151300P5026300</v>
          </cell>
          <cell r="B907" t="str">
            <v>NTN0000-9920000</v>
          </cell>
          <cell r="C907" t="str">
            <v>E029</v>
          </cell>
          <cell r="D907" t="str">
            <v>00</v>
          </cell>
          <cell r="E907" t="str">
            <v>แบตเตอรี่ลิเธียมไอออน 20V 2.0Ah (ใช้กับเครื่องมือไร้สาย) PUMPKIN #50263</v>
          </cell>
          <cell r="F907">
            <v>8</v>
          </cell>
          <cell r="G907">
            <v>764.76</v>
          </cell>
        </row>
        <row r="908">
          <cell r="A908" t="str">
            <v>E029151300P5026500</v>
          </cell>
          <cell r="B908" t="str">
            <v>NTN0000-9920001</v>
          </cell>
          <cell r="C908" t="str">
            <v>E029</v>
          </cell>
          <cell r="D908" t="str">
            <v>00</v>
          </cell>
          <cell r="E908" t="str">
            <v>เครื่องชาร์จแบต XPLUS P20V (ใช้กับเครื่องมือไร้สาย) PUMPKIN #50265</v>
          </cell>
          <cell r="F908">
            <v>6</v>
          </cell>
          <cell r="G908">
            <v>568.4</v>
          </cell>
        </row>
        <row r="909">
          <cell r="A909" t="str">
            <v>E029151300P5027700</v>
          </cell>
          <cell r="B909" t="str">
            <v>NTN0000-2100000</v>
          </cell>
          <cell r="C909" t="str">
            <v>E029</v>
          </cell>
          <cell r="D909" t="str">
            <v>00</v>
          </cell>
          <cell r="E909" t="str">
            <v>เจียรมือ 4 นิ้ว J-G4750W PUMPKIN รุ่น J-Series #50277</v>
          </cell>
          <cell r="F909">
            <v>40</v>
          </cell>
          <cell r="G909">
            <v>591.28</v>
          </cell>
        </row>
        <row r="910">
          <cell r="A910" t="str">
            <v>E029151300P5027900</v>
          </cell>
          <cell r="B910" t="str">
            <v>NTN0013-2101000</v>
          </cell>
          <cell r="C910" t="str">
            <v>E029</v>
          </cell>
          <cell r="D910" t="str">
            <v>00</v>
          </cell>
          <cell r="E910" t="str">
            <v>เจียรมือ 4 นิ้ว 800W J-G9531 PUMPKIN #50279</v>
          </cell>
          <cell r="F910">
            <v>9</v>
          </cell>
          <cell r="G910">
            <v>2929.85</v>
          </cell>
        </row>
        <row r="911">
          <cell r="A911" t="str">
            <v>E029151300P5029700</v>
          </cell>
          <cell r="B911" t="str">
            <v>NTN0000-2820001</v>
          </cell>
          <cell r="C911" t="str">
            <v>E029</v>
          </cell>
          <cell r="D911" t="str">
            <v>00</v>
          </cell>
          <cell r="E911" t="str">
            <v>แบตเตอรี่ลิเธียมไอออน 5 Ah (แอมป์อาวว์) P20V-B5A PUMPKIN #50297</v>
          </cell>
          <cell r="F911">
            <v>5</v>
          </cell>
          <cell r="G911">
            <v>1395.17</v>
          </cell>
        </row>
        <row r="912">
          <cell r="A912" t="str">
            <v>E029151300P5030000</v>
          </cell>
          <cell r="B912" t="str">
            <v>NTN0000-3003001</v>
          </cell>
          <cell r="C912" t="str">
            <v>E029</v>
          </cell>
          <cell r="D912" t="str">
            <v>00</v>
          </cell>
          <cell r="E912" t="str">
            <v>เครื่องเป่าลม 600 วัตต์ PUMPKIN #50300</v>
          </cell>
          <cell r="F912">
            <v>5</v>
          </cell>
          <cell r="G912">
            <v>679.84</v>
          </cell>
        </row>
        <row r="913">
          <cell r="A913" t="str">
            <v>E029151300P5033500</v>
          </cell>
          <cell r="B913" t="str">
            <v>NTN0013-0909200</v>
          </cell>
          <cell r="C913" t="str">
            <v>E029</v>
          </cell>
          <cell r="D913" t="str">
            <v>00</v>
          </cell>
          <cell r="E913" t="str">
            <v>เครื่องยิงรีเวทไร้สาย 20V จับดอก 3.2-5 มม. PUMPKIN #50335</v>
          </cell>
          <cell r="F913">
            <v>13</v>
          </cell>
          <cell r="G913">
            <v>2511.3000000000002</v>
          </cell>
        </row>
        <row r="914">
          <cell r="A914" t="str">
            <v>E029151300P5110500</v>
          </cell>
          <cell r="B914" t="str">
            <v>NTN0000-2306152</v>
          </cell>
          <cell r="C914" t="str">
            <v>E029</v>
          </cell>
          <cell r="D914" t="str">
            <v>00</v>
          </cell>
          <cell r="E914" t="str">
            <v>ตะไบพร้อมด้าม แบน ละเอียด 6 นิ้ว  PUMPKIN #51105</v>
          </cell>
          <cell r="F914">
            <v>7</v>
          </cell>
          <cell r="G914">
            <v>57.11</v>
          </cell>
        </row>
        <row r="915">
          <cell r="A915" t="str">
            <v>E029151300P5111300</v>
          </cell>
          <cell r="B915" t="str">
            <v>NTN0000-2302152</v>
          </cell>
          <cell r="C915" t="str">
            <v>E029</v>
          </cell>
          <cell r="D915" t="str">
            <v>00</v>
          </cell>
          <cell r="E915" t="str">
            <v>ตะไบพร้อมด้ามท้องปลิงละเอียด 6 นิ้ว PUMPKIN #51113</v>
          </cell>
          <cell r="F915">
            <v>14</v>
          </cell>
          <cell r="G915">
            <v>65.319999999999993</v>
          </cell>
        </row>
        <row r="916">
          <cell r="A916" t="str">
            <v>E029151300P5112100</v>
          </cell>
          <cell r="B916" t="str">
            <v>NTN0000-2307152</v>
          </cell>
          <cell r="C916" t="str">
            <v>E029</v>
          </cell>
          <cell r="D916" t="str">
            <v>00</v>
          </cell>
          <cell r="E916" t="str">
            <v>ตะไบพร้อมด้าม กลม ละเอียด 6 นิ้ว  PUMPKIN #51121</v>
          </cell>
          <cell r="F916">
            <v>28</v>
          </cell>
          <cell r="G916">
            <v>53.03</v>
          </cell>
        </row>
        <row r="917">
          <cell r="A917" t="str">
            <v>E029151300P6101700</v>
          </cell>
          <cell r="B917" t="str">
            <v>NTN0000-2508008</v>
          </cell>
          <cell r="C917" t="str">
            <v>E029</v>
          </cell>
          <cell r="D917" t="str">
            <v>00</v>
          </cell>
          <cell r="E917" t="str">
            <v>บ็อกซ์ตัว T Cr-V 8 มม PUMPKIN #61017</v>
          </cell>
          <cell r="F917">
            <v>36</v>
          </cell>
          <cell r="G917">
            <v>53.03</v>
          </cell>
        </row>
        <row r="918">
          <cell r="A918" t="str">
            <v>E029151300P6101900</v>
          </cell>
          <cell r="B918" t="str">
            <v>NTN0000-2508010</v>
          </cell>
          <cell r="C918" t="str">
            <v>E029</v>
          </cell>
          <cell r="D918" t="str">
            <v>00</v>
          </cell>
          <cell r="E918" t="str">
            <v>บ็อกซ์ตัว T Cr-V 10 มม PUMPKIN #61019</v>
          </cell>
          <cell r="F918">
            <v>36</v>
          </cell>
          <cell r="G918">
            <v>53.03</v>
          </cell>
        </row>
        <row r="919">
          <cell r="A919" t="str">
            <v>E029151300P6102200</v>
          </cell>
          <cell r="B919" t="str">
            <v>NTN0000-2508013</v>
          </cell>
          <cell r="C919" t="str">
            <v>E029</v>
          </cell>
          <cell r="D919" t="str">
            <v>00</v>
          </cell>
          <cell r="E919" t="str">
            <v>บ็อกซ์ตัว T Cr-V 13 มม PUMPKIN #61022</v>
          </cell>
          <cell r="F919">
            <v>12</v>
          </cell>
          <cell r="G919">
            <v>53.03</v>
          </cell>
        </row>
        <row r="920">
          <cell r="A920" t="str">
            <v>E029151300P6102800</v>
          </cell>
          <cell r="B920" t="str">
            <v>NTN0000-2502013</v>
          </cell>
          <cell r="C920" t="str">
            <v>E029</v>
          </cell>
          <cell r="D920" t="str">
            <v>00</v>
          </cell>
          <cell r="E920" t="str">
            <v>ดอกไขควงลม (คอยาว 13 มม) PH2-65 PUMPKIN #61028</v>
          </cell>
          <cell r="F920">
            <v>20</v>
          </cell>
          <cell r="G920">
            <v>19.579999999999998</v>
          </cell>
        </row>
        <row r="921">
          <cell r="A921" t="str">
            <v>E029151300P6103800</v>
          </cell>
          <cell r="B921" t="str">
            <v>NTN0000-2502265</v>
          </cell>
          <cell r="C921" t="str">
            <v>E029</v>
          </cell>
          <cell r="D921" t="str">
            <v>00</v>
          </cell>
          <cell r="E921" t="str">
            <v>ดอกไขควงลมโอซาก้า S2 ลดแรงกระแทก PH265 PTT-IM2-65 (2ดอก/แผง) #61038</v>
          </cell>
          <cell r="F921">
            <v>0</v>
          </cell>
          <cell r="G921">
            <v>44.96</v>
          </cell>
        </row>
        <row r="922">
          <cell r="A922" t="str">
            <v>E029151300P6104000</v>
          </cell>
          <cell r="B922" t="str">
            <v>NTN0000-2502010</v>
          </cell>
          <cell r="C922" t="str">
            <v>E029</v>
          </cell>
          <cell r="D922" t="str">
            <v>00</v>
          </cell>
          <cell r="E922" t="str">
            <v>ดอกไขควงลมโอซาก้า S2 (10 ดอก) PUMPKIN #61040</v>
          </cell>
          <cell r="F922">
            <v>26</v>
          </cell>
          <cell r="G922">
            <v>134.87</v>
          </cell>
        </row>
        <row r="923">
          <cell r="A923" t="str">
            <v>E029151300P6109000</v>
          </cell>
          <cell r="B923" t="str">
            <v>NTN0000-2506008</v>
          </cell>
          <cell r="C923" t="str">
            <v>E029</v>
          </cell>
          <cell r="D923" t="str">
            <v>00</v>
          </cell>
          <cell r="E923" t="str">
            <v>บ็อกซ์ตัว T ก้านสั้น 8 มม. PUMPKIN #61090</v>
          </cell>
          <cell r="F923">
            <v>5</v>
          </cell>
          <cell r="G923">
            <v>48.55</v>
          </cell>
        </row>
        <row r="924">
          <cell r="A924" t="str">
            <v>E029151300P6109200</v>
          </cell>
          <cell r="B924" t="str">
            <v>NTN0000-2506010</v>
          </cell>
          <cell r="C924" t="str">
            <v>E029</v>
          </cell>
          <cell r="D924" t="str">
            <v>00</v>
          </cell>
          <cell r="E924" t="str">
            <v>บ็อกซ์ตัว T ก้านสั้น 10 มม. PUMPKIN #61092</v>
          </cell>
          <cell r="F924">
            <v>12</v>
          </cell>
          <cell r="G924">
            <v>48.55</v>
          </cell>
        </row>
        <row r="925">
          <cell r="A925" t="str">
            <v>E029151300P6109400</v>
          </cell>
          <cell r="B925" t="str">
            <v>NTN0000-2506012</v>
          </cell>
          <cell r="C925" t="str">
            <v>E029</v>
          </cell>
          <cell r="D925" t="str">
            <v>00</v>
          </cell>
          <cell r="E925" t="str">
            <v>บ็อกซ์ตัว T ก้านสั้น 12 มม. PUMPKIN #61094</v>
          </cell>
          <cell r="F925">
            <v>33</v>
          </cell>
          <cell r="G925">
            <v>48.55</v>
          </cell>
        </row>
        <row r="926">
          <cell r="A926" t="str">
            <v>E029151300P6109500</v>
          </cell>
          <cell r="B926" t="str">
            <v>NTN0000-2506013</v>
          </cell>
          <cell r="C926" t="str">
            <v>E029</v>
          </cell>
          <cell r="D926" t="str">
            <v>00</v>
          </cell>
          <cell r="E926" t="str">
            <v>บ็อกซ์ตัว T ก้านสั้น 13 มม. PUMPKIN #61095</v>
          </cell>
          <cell r="F926">
            <v>33</v>
          </cell>
          <cell r="G926">
            <v>48.55</v>
          </cell>
        </row>
        <row r="927">
          <cell r="A927" t="str">
            <v>E029151300P6109600</v>
          </cell>
          <cell r="B927" t="str">
            <v>NTN0000-2506014</v>
          </cell>
          <cell r="C927" t="str">
            <v>E029</v>
          </cell>
          <cell r="D927" t="str">
            <v>00</v>
          </cell>
          <cell r="E927" t="str">
            <v>บ็อกซ์ตัว T ก้านสั้น 14 มม. PUMPKIN #61096</v>
          </cell>
          <cell r="F927">
            <v>27</v>
          </cell>
          <cell r="G927">
            <v>48.55</v>
          </cell>
        </row>
        <row r="928">
          <cell r="A928" t="str">
            <v>E029151300P7311800</v>
          </cell>
          <cell r="B928" t="str">
            <v>NTN0000-2201000</v>
          </cell>
          <cell r="C928" t="str">
            <v>E029</v>
          </cell>
          <cell r="D928" t="str">
            <v>00</v>
          </cell>
          <cell r="E928" t="str">
            <v>กาวร้อน คุณภาพสูง PUMPKIN รุ่น PTT-GIANTBOND #73118</v>
          </cell>
          <cell r="F928">
            <v>21</v>
          </cell>
          <cell r="G928">
            <v>15.84</v>
          </cell>
        </row>
        <row r="929">
          <cell r="A929" t="str">
            <v>E029151316P2311600</v>
          </cell>
          <cell r="B929" t="str">
            <v>NTN0013-2101403</v>
          </cell>
          <cell r="C929" t="str">
            <v>E029</v>
          </cell>
          <cell r="D929">
            <v>16</v>
          </cell>
          <cell r="E929" t="str">
            <v>ใบตัดเพชร 4 นิ้ว เทอร์โบบาง สีส้ม PUMPKIN #23116</v>
          </cell>
          <cell r="F929">
            <v>100</v>
          </cell>
          <cell r="G929">
            <v>101.42</v>
          </cell>
        </row>
        <row r="930">
          <cell r="A930" t="str">
            <v>E030070501G1401100</v>
          </cell>
          <cell r="B930" t="str">
            <v>NAN0001-1303411</v>
          </cell>
          <cell r="C930" t="str">
            <v>E030</v>
          </cell>
          <cell r="D930" t="str">
            <v>01</v>
          </cell>
          <cell r="E930" t="str">
            <v xml:space="preserve">ขาเกล็ดไทยกล้า สีขาวอลู 4x11 </v>
          </cell>
          <cell r="F930">
            <v>54</v>
          </cell>
          <cell r="G930">
            <v>153.89092590000001</v>
          </cell>
        </row>
        <row r="931">
          <cell r="A931" t="str">
            <v>E030070501G1401200</v>
          </cell>
          <cell r="B931" t="str">
            <v>NAN0001-1303412</v>
          </cell>
          <cell r="C931" t="str">
            <v>E030</v>
          </cell>
          <cell r="D931" t="str">
            <v>01</v>
          </cell>
          <cell r="E931" t="str">
            <v>ขาเกล็ดไทยกล้า สีขาวอลู 4x12</v>
          </cell>
          <cell r="F931">
            <v>8</v>
          </cell>
          <cell r="G931">
            <v>142.13499999999999</v>
          </cell>
        </row>
        <row r="932">
          <cell r="A932" t="str">
            <v>E030070501G4000000</v>
          </cell>
          <cell r="B932" t="str">
            <v>NAN0001-1313000</v>
          </cell>
          <cell r="C932" t="str">
            <v>E030</v>
          </cell>
          <cell r="D932" t="str">
            <v>01</v>
          </cell>
          <cell r="E932" t="str">
            <v>มือหมุน สีขาวอลู ไทยกล้า</v>
          </cell>
          <cell r="F932">
            <v>24</v>
          </cell>
          <cell r="G932">
            <v>55.2</v>
          </cell>
        </row>
        <row r="933">
          <cell r="A933" t="str">
            <v>E030070501Z1451000</v>
          </cell>
          <cell r="B933" t="str">
            <v>NAN0001-1303510</v>
          </cell>
          <cell r="C933" t="str">
            <v>E030</v>
          </cell>
          <cell r="D933" t="str">
            <v>01</v>
          </cell>
          <cell r="E933" t="str">
            <v>ขาเกล็ด ไทยกล้า สีขาวอลู 4 1/2x10</v>
          </cell>
          <cell r="F933">
            <v>12</v>
          </cell>
          <cell r="G933">
            <v>141.58000000000001</v>
          </cell>
        </row>
        <row r="934">
          <cell r="A934" t="str">
            <v>E030070502Z1401100</v>
          </cell>
          <cell r="B934" t="str">
            <v>NAN0002-1303411</v>
          </cell>
          <cell r="C934" t="str">
            <v>E030</v>
          </cell>
          <cell r="D934" t="str">
            <v>02</v>
          </cell>
          <cell r="E934" t="str">
            <v>ขาเกล็ดไทยกล้า สีชา 4x11</v>
          </cell>
          <cell r="F934">
            <v>10</v>
          </cell>
          <cell r="G934">
            <v>218.70999999999998</v>
          </cell>
        </row>
        <row r="935">
          <cell r="A935" t="str">
            <v>E030070502Z1401200</v>
          </cell>
          <cell r="B935" t="str">
            <v>NAN0002-1303412</v>
          </cell>
          <cell r="C935" t="str">
            <v>E030</v>
          </cell>
          <cell r="D935" t="str">
            <v>02</v>
          </cell>
          <cell r="E935" t="str">
            <v>ขาเกล็ดไทยกล้า สีชา 4x12</v>
          </cell>
          <cell r="F935">
            <v>69</v>
          </cell>
          <cell r="G935">
            <v>300.60000000000002</v>
          </cell>
        </row>
        <row r="936">
          <cell r="A936" t="str">
            <v>E031070501G4000000</v>
          </cell>
          <cell r="B936" t="str">
            <v>NAN0001-1313001</v>
          </cell>
          <cell r="C936" t="str">
            <v>E031</v>
          </cell>
          <cell r="D936" t="str">
            <v>01</v>
          </cell>
          <cell r="E936" t="str">
            <v>มือหมุน สีขาวอลู ก.ไก่</v>
          </cell>
          <cell r="F936">
            <v>0</v>
          </cell>
          <cell r="G936">
            <v>0</v>
          </cell>
        </row>
        <row r="937">
          <cell r="A937" t="str">
            <v>E03207000000000000</v>
          </cell>
          <cell r="B937" t="str">
            <v>NAN0000</v>
          </cell>
          <cell r="C937" t="str">
            <v>E032</v>
          </cell>
          <cell r="D937" t="str">
            <v>00</v>
          </cell>
          <cell r="E937" t="str">
            <v>ขาเกล็ด ยี่ห้อ สามศร (กลุ่ม)</v>
          </cell>
          <cell r="F937">
            <v>0</v>
          </cell>
          <cell r="G937">
            <v>0</v>
          </cell>
        </row>
        <row r="938">
          <cell r="A938" t="str">
            <v>E032070501G3401100</v>
          </cell>
          <cell r="B938" t="str">
            <v>NAN0001-1304411</v>
          </cell>
          <cell r="C938" t="str">
            <v>E032</v>
          </cell>
          <cell r="D938" t="str">
            <v>01</v>
          </cell>
          <cell r="E938" t="str">
            <v>ชุดขาเกล็ดสามศร สีขาวอลู 4x11</v>
          </cell>
          <cell r="F938">
            <v>45</v>
          </cell>
          <cell r="G938">
            <v>290.47000000000003</v>
          </cell>
        </row>
        <row r="939">
          <cell r="A939" t="str">
            <v>E032070501G3401200</v>
          </cell>
          <cell r="B939" t="str">
            <v>NAN0001-1304412</v>
          </cell>
          <cell r="C939" t="str">
            <v>E032</v>
          </cell>
          <cell r="D939" t="str">
            <v>01</v>
          </cell>
          <cell r="E939" t="str">
            <v>ชุดขาเกล็ดสามศร สีขาวอลู 4x12</v>
          </cell>
          <cell r="F939">
            <v>3</v>
          </cell>
          <cell r="G939">
            <v>307.76</v>
          </cell>
        </row>
        <row r="940">
          <cell r="A940" t="str">
            <v>E032070501G4000000</v>
          </cell>
          <cell r="B940" t="str">
            <v>NAN0001-1304000</v>
          </cell>
          <cell r="C940" t="str">
            <v>E032</v>
          </cell>
          <cell r="D940" t="str">
            <v>01</v>
          </cell>
          <cell r="E940" t="str">
            <v>มือหมุน สีขาวอลู สามศร</v>
          </cell>
          <cell r="F940">
            <v>0</v>
          </cell>
          <cell r="G940">
            <v>0</v>
          </cell>
        </row>
        <row r="941">
          <cell r="A941" t="str">
            <v>E032070501Z3451000</v>
          </cell>
          <cell r="B941" t="str">
            <v>NAN0001-1304510</v>
          </cell>
          <cell r="C941" t="str">
            <v>E032</v>
          </cell>
          <cell r="D941" t="str">
            <v>01</v>
          </cell>
          <cell r="E941" t="str">
            <v>ชุดขาเกล็ดสามศร สีขาวอลู 4 1/2x10</v>
          </cell>
          <cell r="F941">
            <v>3</v>
          </cell>
          <cell r="G941">
            <v>259.3458</v>
          </cell>
        </row>
        <row r="942">
          <cell r="A942" t="str">
            <v>E032070502G3401000</v>
          </cell>
          <cell r="B942" t="str">
            <v>NAN0002-1304410</v>
          </cell>
          <cell r="C942" t="str">
            <v>E032</v>
          </cell>
          <cell r="D942" t="str">
            <v>02</v>
          </cell>
          <cell r="E942" t="str">
            <v>ชุดขาเกล็ด สามศร สีชา 4x10</v>
          </cell>
          <cell r="F942">
            <v>0</v>
          </cell>
          <cell r="G942">
            <v>0</v>
          </cell>
        </row>
        <row r="943">
          <cell r="A943" t="str">
            <v>E032070502G3401100</v>
          </cell>
          <cell r="B943" t="str">
            <v>NAN0002-1304411</v>
          </cell>
          <cell r="C943" t="str">
            <v>E032</v>
          </cell>
          <cell r="D943" t="str">
            <v>02</v>
          </cell>
          <cell r="E943" t="str">
            <v>ชุดขาเกล็ด สามศร สีชา 4x11</v>
          </cell>
          <cell r="F943">
            <v>36</v>
          </cell>
          <cell r="G943">
            <v>342.34</v>
          </cell>
        </row>
        <row r="944">
          <cell r="A944" t="str">
            <v>E032070502G3401200</v>
          </cell>
          <cell r="B944" t="str">
            <v>NAN0002-1304412</v>
          </cell>
          <cell r="C944" t="str">
            <v>E032</v>
          </cell>
          <cell r="D944" t="str">
            <v>02</v>
          </cell>
          <cell r="E944" t="str">
            <v>ชุดขาเกล็ด สามศร สีชา 4x12</v>
          </cell>
          <cell r="F944">
            <v>17</v>
          </cell>
          <cell r="G944">
            <v>390.75</v>
          </cell>
        </row>
        <row r="945">
          <cell r="A945" t="str">
            <v>E032070502G3401500</v>
          </cell>
          <cell r="B945" t="str">
            <v>NAN0002-1304415</v>
          </cell>
          <cell r="C945" t="str">
            <v>E032</v>
          </cell>
          <cell r="D945" t="str">
            <v>02</v>
          </cell>
          <cell r="E945" t="str">
            <v>ชุดขาเกล็ด สามศร สีชา 4x15</v>
          </cell>
          <cell r="F945">
            <v>8</v>
          </cell>
          <cell r="G945">
            <v>470.28039999999999</v>
          </cell>
        </row>
        <row r="946">
          <cell r="A946" t="str">
            <v>E032070502G4000000</v>
          </cell>
          <cell r="B946" t="str">
            <v>NAN0002-1304000</v>
          </cell>
          <cell r="C946" t="str">
            <v>E032</v>
          </cell>
          <cell r="D946" t="str">
            <v>02</v>
          </cell>
          <cell r="E946" t="str">
            <v>มือหมุน สีชา สามศร</v>
          </cell>
          <cell r="F946">
            <v>46</v>
          </cell>
          <cell r="G946">
            <v>78.5047</v>
          </cell>
        </row>
        <row r="947">
          <cell r="A947" t="str">
            <v>E032070503G3401100</v>
          </cell>
          <cell r="B947" t="str">
            <v>NAN0004-1304411</v>
          </cell>
          <cell r="C947" t="str">
            <v>E032</v>
          </cell>
          <cell r="D947" t="str">
            <v>03</v>
          </cell>
          <cell r="E947" t="str">
            <v>ชุดขาเกล็ด สามศร สีดำ 4x11</v>
          </cell>
          <cell r="F947">
            <v>0</v>
          </cell>
          <cell r="G947">
            <v>0</v>
          </cell>
        </row>
        <row r="948">
          <cell r="A948" t="str">
            <v>E032070503G3401200</v>
          </cell>
          <cell r="B948" t="str">
            <v>NAN0004-1304412</v>
          </cell>
          <cell r="C948" t="str">
            <v>E032</v>
          </cell>
          <cell r="D948" t="str">
            <v>03</v>
          </cell>
          <cell r="E948" t="str">
            <v>ชุดขาเกล็ด สามศร สีดำ 4x12</v>
          </cell>
          <cell r="F948">
            <v>0</v>
          </cell>
          <cell r="G948">
            <v>0</v>
          </cell>
        </row>
        <row r="949">
          <cell r="A949" t="str">
            <v>E032070503G3401500</v>
          </cell>
          <cell r="B949" t="str">
            <v/>
          </cell>
          <cell r="C949" t="str">
            <v>E032</v>
          </cell>
          <cell r="D949" t="str">
            <v>03</v>
          </cell>
          <cell r="E949" t="str">
            <v>ชุดขาเกล็ด สามศร สีดำ 4x15</v>
          </cell>
          <cell r="F949">
            <v>13</v>
          </cell>
          <cell r="G949">
            <v>491.02800000000002</v>
          </cell>
        </row>
        <row r="950">
          <cell r="A950" t="str">
            <v>E032070504G3401100</v>
          </cell>
          <cell r="B950" t="str">
            <v>NAN0011-1304411</v>
          </cell>
          <cell r="C950" t="str">
            <v>E032</v>
          </cell>
          <cell r="D950" t="str">
            <v>04</v>
          </cell>
          <cell r="E950" t="str">
            <v>ชุดขาเกล็ด สามศร สีอบขาว 4x11</v>
          </cell>
          <cell r="F950">
            <v>5</v>
          </cell>
          <cell r="G950">
            <v>381.76</v>
          </cell>
        </row>
        <row r="951">
          <cell r="A951" t="str">
            <v>E032070504G3401200</v>
          </cell>
          <cell r="B951" t="str">
            <v>NAN0011-1304412</v>
          </cell>
          <cell r="C951" t="str">
            <v>E032</v>
          </cell>
          <cell r="D951" t="str">
            <v>04</v>
          </cell>
          <cell r="E951" t="str">
            <v>ชุดขาเกล็ด สามศร สีอบขาว 4x12</v>
          </cell>
          <cell r="F951">
            <v>6</v>
          </cell>
          <cell r="G951">
            <v>407.35</v>
          </cell>
        </row>
        <row r="952">
          <cell r="A952" t="str">
            <v>E033040100D0057500</v>
          </cell>
          <cell r="B952" t="str">
            <v>NAN0004-0230003</v>
          </cell>
          <cell r="C952" t="str">
            <v>E033</v>
          </cell>
          <cell r="D952" t="str">
            <v>00</v>
          </cell>
          <cell r="E952" t="str">
            <v>น็อต M5x75 mm. KL (ของแถม 2:1 ตัว) ใช้กับมือจับ MZS20,MZS320 (แถม)</v>
          </cell>
          <cell r="F952">
            <v>0</v>
          </cell>
          <cell r="G952">
            <v>0</v>
          </cell>
        </row>
        <row r="953">
          <cell r="A953" t="str">
            <v>E033040100D8810000</v>
          </cell>
          <cell r="B953" t="str">
            <v>NAN0004-0230002</v>
          </cell>
          <cell r="C953" t="str">
            <v>E033</v>
          </cell>
          <cell r="D953" t="str">
            <v>00</v>
          </cell>
          <cell r="E953" t="str">
            <v>แกนเหลี่ยม 8x8x100 mm. KL (ของแถม 1:1 ตัว) ใช้กับมือจับ MZS20,MZS320 (แถม)</v>
          </cell>
          <cell r="F953">
            <v>0</v>
          </cell>
          <cell r="G953">
            <v>0</v>
          </cell>
        </row>
        <row r="954">
          <cell r="A954" t="str">
            <v>E033040103D0002000</v>
          </cell>
          <cell r="B954" t="str">
            <v>NAN1804-0203000</v>
          </cell>
          <cell r="C954" t="str">
            <v>E033</v>
          </cell>
          <cell r="D954" t="str">
            <v>03</v>
          </cell>
          <cell r="E954" t="str">
            <v>EURO มือจับก้านโยกกุญแจ สีดำ KL #MZS20 (ซื้อ)</v>
          </cell>
          <cell r="F954">
            <v>0</v>
          </cell>
          <cell r="G954">
            <v>0</v>
          </cell>
        </row>
        <row r="955">
          <cell r="A955" t="str">
            <v>E033040103D0002001</v>
          </cell>
          <cell r="B955" t="str">
            <v/>
          </cell>
          <cell r="C955" t="str">
            <v>E033</v>
          </cell>
          <cell r="D955" t="str">
            <v>03</v>
          </cell>
          <cell r="E955" t="str">
            <v>EURO มือจับก้านโยกกุญแจ สีดำ KL #MZS20 พร้อมแกนเหลี่ยม 1 ตัว, น็อต 2 ตัว</v>
          </cell>
          <cell r="F955">
            <v>35</v>
          </cell>
          <cell r="G955">
            <v>158.08000000000001</v>
          </cell>
        </row>
        <row r="956">
          <cell r="A956" t="str">
            <v>E033040103D0032000</v>
          </cell>
          <cell r="B956" t="str">
            <v>NAN1804-0203001</v>
          </cell>
          <cell r="C956" t="str">
            <v>E033</v>
          </cell>
          <cell r="D956" t="str">
            <v>03</v>
          </cell>
          <cell r="E956" t="str">
            <v>EURO มือจับก้านโยกดัมมี่ สีดำ KL #MZS320 (ซื้อ)</v>
          </cell>
          <cell r="F956">
            <v>0</v>
          </cell>
          <cell r="G956">
            <v>0</v>
          </cell>
        </row>
        <row r="957">
          <cell r="A957" t="str">
            <v>E033040103D0032001</v>
          </cell>
          <cell r="B957" t="str">
            <v>NAN0004-0230001</v>
          </cell>
          <cell r="C957" t="str">
            <v>E033</v>
          </cell>
          <cell r="D957" t="str">
            <v>03</v>
          </cell>
          <cell r="E957" t="str">
            <v>EURO มือจับก้านโยกดัมมี่ สีดำ KL #MZS320 พร้อมแกนเหลี่ยม 1 ตัว, น็อต 2 ตัว</v>
          </cell>
          <cell r="F957">
            <v>25</v>
          </cell>
          <cell r="G957">
            <v>162.44999999999999</v>
          </cell>
        </row>
        <row r="958">
          <cell r="A958" t="str">
            <v>E033040104D0002000</v>
          </cell>
          <cell r="B958" t="str">
            <v/>
          </cell>
          <cell r="C958" t="str">
            <v>E033</v>
          </cell>
          <cell r="D958" t="str">
            <v>04</v>
          </cell>
          <cell r="E958" t="str">
            <v>EURO มือจับก้านโยกกุญแจ สีอบขาว KL #MZS20 (ซื้อ)</v>
          </cell>
          <cell r="F958">
            <v>0</v>
          </cell>
          <cell r="G958">
            <v>0</v>
          </cell>
        </row>
        <row r="959">
          <cell r="A959" t="str">
            <v>E033040104D0002001</v>
          </cell>
          <cell r="B959" t="str">
            <v/>
          </cell>
          <cell r="C959" t="str">
            <v>E033</v>
          </cell>
          <cell r="D959" t="str">
            <v>04</v>
          </cell>
          <cell r="E959" t="str">
            <v>EURO มือจับก้านโยกกุญแจ สีอบขาว KL #MZS20 พร้อมแกนเหลี่ยม 1 ตัว, น็อต 2 ตัว</v>
          </cell>
          <cell r="F959">
            <v>2</v>
          </cell>
          <cell r="G959">
            <v>158.08000000000001</v>
          </cell>
        </row>
        <row r="960">
          <cell r="A960" t="str">
            <v>E033040104D0032000</v>
          </cell>
          <cell r="B960" t="str">
            <v/>
          </cell>
          <cell r="C960" t="str">
            <v>E033</v>
          </cell>
          <cell r="D960" t="str">
            <v>04</v>
          </cell>
          <cell r="E960" t="str">
            <v>EURO มือจับก้านโยกดัมมี่ สีอบขาว KL #MZS320 (ซื้อ)</v>
          </cell>
          <cell r="F960">
            <v>0</v>
          </cell>
          <cell r="G960">
            <v>0</v>
          </cell>
        </row>
        <row r="961">
          <cell r="A961" t="str">
            <v>E033040104D0032001</v>
          </cell>
          <cell r="B961" t="str">
            <v/>
          </cell>
          <cell r="C961" t="str">
            <v>E033</v>
          </cell>
          <cell r="D961" t="str">
            <v>04</v>
          </cell>
          <cell r="E961" t="str">
            <v>EURO มือจับก้านโยกดัมมี่ สีอบขาว KL #MZS320 พร้อมแกนเหลี่ยม 1 ตัว, น็อต 2 ตัว</v>
          </cell>
          <cell r="F961">
            <v>8</v>
          </cell>
          <cell r="G961">
            <v>162.44999999999999</v>
          </cell>
        </row>
        <row r="962">
          <cell r="A962" t="str">
            <v>E033040203D0021101</v>
          </cell>
          <cell r="B962" t="str">
            <v/>
          </cell>
          <cell r="C962" t="str">
            <v>E033</v>
          </cell>
          <cell r="D962" t="str">
            <v>03</v>
          </cell>
          <cell r="E962" t="str">
            <v>EURO มือจับฝังบานเลื่อนล็อคซีเฟียล Multipoint lock สีดำ KL CIFIAL #ZTS211</v>
          </cell>
          <cell r="F962">
            <v>16</v>
          </cell>
          <cell r="G962">
            <v>74.09</v>
          </cell>
        </row>
        <row r="963">
          <cell r="A963" t="str">
            <v>E033040203D0021102</v>
          </cell>
          <cell r="B963" t="str">
            <v/>
          </cell>
          <cell r="C963" t="str">
            <v>E033</v>
          </cell>
          <cell r="D963" t="str">
            <v>03</v>
          </cell>
          <cell r="E963" t="str">
            <v>EURO มือจับฝังบานเลื่อนแบบมีกุญแจซีเฟียล Multipoint lock สีดำ KL CIFIAL #ZTS211S</v>
          </cell>
          <cell r="F963">
            <v>28</v>
          </cell>
          <cell r="G963">
            <v>96.75</v>
          </cell>
        </row>
        <row r="964">
          <cell r="A964" t="str">
            <v>E033040203D0021103</v>
          </cell>
          <cell r="B964" t="str">
            <v/>
          </cell>
          <cell r="C964" t="str">
            <v>E033</v>
          </cell>
          <cell r="D964" t="str">
            <v>03</v>
          </cell>
          <cell r="E964" t="str">
            <v>EURO มือจับฝังบานเลื่อนดัมมี่ซีเฟียล Multipoint lock สีดำ KL CIFIAL #ZTK11</v>
          </cell>
          <cell r="F964">
            <v>22</v>
          </cell>
          <cell r="G964">
            <v>46.92</v>
          </cell>
        </row>
        <row r="965">
          <cell r="A965" t="str">
            <v>E033040204D0021101</v>
          </cell>
          <cell r="B965" t="str">
            <v/>
          </cell>
          <cell r="C965" t="str">
            <v>E033</v>
          </cell>
          <cell r="D965" t="str">
            <v>04</v>
          </cell>
          <cell r="E965" t="str">
            <v>EURO มือจับฝังบานเลื่อนล็อคซีเฟียล Multipoint lock สีอบขาว KL CIFIAL #ZTS211</v>
          </cell>
          <cell r="F965">
            <v>20</v>
          </cell>
          <cell r="G965">
            <v>74.09</v>
          </cell>
        </row>
        <row r="966">
          <cell r="A966" t="str">
            <v>E033040204D0021102</v>
          </cell>
          <cell r="B966" t="str">
            <v/>
          </cell>
          <cell r="C966" t="str">
            <v>E033</v>
          </cell>
          <cell r="D966" t="str">
            <v>04</v>
          </cell>
          <cell r="E966" t="str">
            <v>EURO มือจับฝังบานเลื่อนแบบมีกุญแจซีเฟียล Multipoint lock สีอบขาว KL CIFIAL #ZTS211S</v>
          </cell>
          <cell r="F966">
            <v>20</v>
          </cell>
          <cell r="G966">
            <v>96.75</v>
          </cell>
        </row>
        <row r="967">
          <cell r="A967" t="str">
            <v>E033040204D0021103</v>
          </cell>
          <cell r="B967" t="str">
            <v/>
          </cell>
          <cell r="C967" t="str">
            <v>E033</v>
          </cell>
          <cell r="D967" t="str">
            <v>04</v>
          </cell>
          <cell r="E967" t="str">
            <v>EURO มือจับฝังบานเลื่อนดัมมี่ซีเฟียล Multipoint lock สีอบขาว KL CIFIAL #ZTK11</v>
          </cell>
          <cell r="F967">
            <v>20</v>
          </cell>
          <cell r="G967">
            <v>46.92</v>
          </cell>
        </row>
        <row r="968">
          <cell r="A968" t="str">
            <v>E033040603D0283200</v>
          </cell>
          <cell r="B968" t="str">
            <v>NAN1804-0205005</v>
          </cell>
          <cell r="C968" t="str">
            <v>E033</v>
          </cell>
          <cell r="D968" t="str">
            <v>03</v>
          </cell>
          <cell r="E968" t="str">
            <v>BI-FOLD มือจับปากเป็ดบานเฟี้ยม สีดำ KL #T28D-L32</v>
          </cell>
          <cell r="F968">
            <v>37</v>
          </cell>
          <cell r="G968">
            <v>62.48</v>
          </cell>
        </row>
        <row r="969">
          <cell r="A969" t="str">
            <v>E033040604D0283200</v>
          </cell>
          <cell r="B969" t="str">
            <v/>
          </cell>
          <cell r="C969" t="str">
            <v>E033</v>
          </cell>
          <cell r="D969" t="str">
            <v>04</v>
          </cell>
          <cell r="E969" t="str">
            <v>BI-FOLD มือจับปากเป็ดบานเฟี้ยม สีอบขาว KL #T28D-L32</v>
          </cell>
          <cell r="F969">
            <v>24</v>
          </cell>
          <cell r="G969">
            <v>62.48</v>
          </cell>
        </row>
        <row r="970">
          <cell r="A970" t="str">
            <v>E033050100E0002000</v>
          </cell>
          <cell r="B970" t="str">
            <v>NAN1800-0305001</v>
          </cell>
          <cell r="C970" t="str">
            <v>E033</v>
          </cell>
          <cell r="D970" t="str">
            <v>00</v>
          </cell>
          <cell r="E970" t="str">
            <v>BI-FOLD เพลทรับล็อค KL #DMS20C</v>
          </cell>
          <cell r="F970">
            <v>137</v>
          </cell>
          <cell r="G970">
            <v>22.93</v>
          </cell>
        </row>
        <row r="971">
          <cell r="A971" t="str">
            <v>E033050100E0018000</v>
          </cell>
          <cell r="B971" t="str">
            <v/>
          </cell>
          <cell r="C971" t="str">
            <v>E033</v>
          </cell>
          <cell r="D971" t="str">
            <v>00</v>
          </cell>
          <cell r="E971" t="str">
            <v>เพลทรับล็อค KL #KMB180A</v>
          </cell>
          <cell r="F971">
            <v>99</v>
          </cell>
          <cell r="G971">
            <v>17.89</v>
          </cell>
        </row>
        <row r="972">
          <cell r="A972" t="str">
            <v>E033050100E0323200</v>
          </cell>
          <cell r="B972" t="str">
            <v/>
          </cell>
          <cell r="C972" t="str">
            <v>E033</v>
          </cell>
          <cell r="D972" t="str">
            <v>00</v>
          </cell>
          <cell r="E972" t="str">
            <v>ไส้กุญแจบานเปิด KL #KIL3232/T</v>
          </cell>
          <cell r="F972">
            <v>4</v>
          </cell>
          <cell r="G972">
            <v>154.07</v>
          </cell>
        </row>
        <row r="973">
          <cell r="A973" t="str">
            <v>E033050600E0001000</v>
          </cell>
          <cell r="B973" t="str">
            <v/>
          </cell>
          <cell r="C973" t="str">
            <v>E033</v>
          </cell>
          <cell r="D973" t="str">
            <v>00</v>
          </cell>
          <cell r="E973" t="str">
            <v>BI-FOLD รับล็อคกลอนบานเฟี้ยม KL #SK10</v>
          </cell>
          <cell r="F973">
            <v>46</v>
          </cell>
          <cell r="G973">
            <v>16.760000000000002</v>
          </cell>
        </row>
        <row r="974">
          <cell r="A974" t="str">
            <v>E033050600E0001001</v>
          </cell>
          <cell r="B974" t="str">
            <v/>
          </cell>
          <cell r="C974" t="str">
            <v>E033</v>
          </cell>
          <cell r="D974" t="str">
            <v>00</v>
          </cell>
          <cell r="E974" t="str">
            <v>BI-FOLD Transmission latch ตัวย้อนกลอน KL  #SCQ10</v>
          </cell>
          <cell r="F974">
            <v>134</v>
          </cell>
          <cell r="G974">
            <v>98.84</v>
          </cell>
        </row>
        <row r="975">
          <cell r="A975" t="str">
            <v>E033050600E0002000</v>
          </cell>
          <cell r="B975" t="str">
            <v>NAN1800-0305004</v>
          </cell>
          <cell r="C975" t="str">
            <v>E033</v>
          </cell>
          <cell r="D975" t="str">
            <v>00</v>
          </cell>
          <cell r="E975" t="str">
            <v>BI-FOLD ตลับกุญแจ CDQ KL #CDQ20</v>
          </cell>
          <cell r="F975">
            <v>128</v>
          </cell>
          <cell r="G975">
            <v>62.48</v>
          </cell>
        </row>
        <row r="976">
          <cell r="A976" t="str">
            <v>E033050600E0002001</v>
          </cell>
          <cell r="B976" t="str">
            <v>NAN1800-0305009</v>
          </cell>
          <cell r="C976" t="str">
            <v>E033</v>
          </cell>
          <cell r="D976" t="str">
            <v>00</v>
          </cell>
          <cell r="E976" t="str">
            <v>BI-FOLD รับล็อคกลอนบานเปิดคู่ KL #SK20</v>
          </cell>
          <cell r="F976">
            <v>50</v>
          </cell>
          <cell r="G976">
            <v>13.14</v>
          </cell>
        </row>
        <row r="977">
          <cell r="A977" t="str">
            <v>E033050600E0003000</v>
          </cell>
          <cell r="B977" t="str">
            <v>NAN1800-0305008</v>
          </cell>
          <cell r="C977" t="str">
            <v>E033</v>
          </cell>
          <cell r="D977" t="str">
            <v>00</v>
          </cell>
          <cell r="E977" t="str">
            <v>BI-FOLD ปลายกลอนบานเฟี้ยม KL #CDG30</v>
          </cell>
          <cell r="F977">
            <v>23</v>
          </cell>
          <cell r="G977">
            <v>54</v>
          </cell>
        </row>
        <row r="978">
          <cell r="A978" t="str">
            <v>E033050600E0003200</v>
          </cell>
          <cell r="B978" t="str">
            <v>NAN1800-0305002</v>
          </cell>
          <cell r="C978" t="str">
            <v>E033</v>
          </cell>
          <cell r="D978" t="str">
            <v>00</v>
          </cell>
          <cell r="E978" t="str">
            <v>BI-FOLD ตลับกุญแจ Multipoint lock KL #MSC32/I</v>
          </cell>
          <cell r="F978">
            <v>20</v>
          </cell>
          <cell r="G978">
            <v>225.43</v>
          </cell>
        </row>
        <row r="979">
          <cell r="A979" t="str">
            <v>E033050600E0003201</v>
          </cell>
          <cell r="B979" t="str">
            <v/>
          </cell>
          <cell r="C979" t="str">
            <v>E033</v>
          </cell>
          <cell r="D979" t="str">
            <v>00</v>
          </cell>
          <cell r="E979" t="str">
            <v>ตลับกุญแจบานเปิด/บานเฟี้ยม Single lock KL #MSC32/II</v>
          </cell>
          <cell r="F979">
            <v>7</v>
          </cell>
          <cell r="G979">
            <v>174.1</v>
          </cell>
        </row>
        <row r="980">
          <cell r="A980" t="str">
            <v>E033050600E0373700</v>
          </cell>
          <cell r="B980" t="str">
            <v>NAN1800-0305003</v>
          </cell>
          <cell r="C980" t="str">
            <v>E033</v>
          </cell>
          <cell r="D980" t="str">
            <v>00</v>
          </cell>
          <cell r="E980" t="str">
            <v>BI-FOLD ไส้กุญแจประตู KL #KIL3737/T</v>
          </cell>
          <cell r="F980">
            <v>27</v>
          </cell>
          <cell r="G980">
            <v>159.11000000000001</v>
          </cell>
        </row>
        <row r="981">
          <cell r="A981" t="str">
            <v>E033050603E0050000</v>
          </cell>
          <cell r="B981" t="str">
            <v>NAN1804-0305006</v>
          </cell>
          <cell r="C981" t="str">
            <v>E033</v>
          </cell>
          <cell r="D981" t="str">
            <v>03</v>
          </cell>
          <cell r="E981" t="str">
            <v>BI-FOLD กลอนบานเฟี้ยม สีดำ ยาว 50ซม. KL #SCX500</v>
          </cell>
          <cell r="F981">
            <v>95</v>
          </cell>
          <cell r="G981">
            <v>62.48</v>
          </cell>
        </row>
        <row r="982">
          <cell r="A982" t="str">
            <v>E033050604E0050000</v>
          </cell>
          <cell r="B982" t="str">
            <v/>
          </cell>
          <cell r="C982" t="str">
            <v>E033</v>
          </cell>
          <cell r="D982" t="str">
            <v>04</v>
          </cell>
          <cell r="E982" t="str">
            <v>BI-FOLD กลอนบานเฟี้ยม สีอบขาว ยาว 50cm. KL #SCX500</v>
          </cell>
          <cell r="F982">
            <v>30</v>
          </cell>
          <cell r="G982">
            <v>62.48</v>
          </cell>
        </row>
        <row r="983">
          <cell r="A983" t="str">
            <v>E033080103H0000400</v>
          </cell>
          <cell r="B983" t="str">
            <v>NAN0004-KL30012</v>
          </cell>
          <cell r="C983" t="str">
            <v>E033</v>
          </cell>
          <cell r="D983" t="str">
            <v>03</v>
          </cell>
          <cell r="E983" t="str">
            <v>EURO บานพับหน้าต่าง สีดำ KL #N4B</v>
          </cell>
          <cell r="F983">
            <v>40</v>
          </cell>
          <cell r="G983">
            <v>45.87</v>
          </cell>
        </row>
        <row r="984">
          <cell r="A984" t="str">
            <v>E033080103H0001700</v>
          </cell>
          <cell r="B984" t="str">
            <v>NAN1704-KL30011</v>
          </cell>
          <cell r="C984" t="str">
            <v>E033</v>
          </cell>
          <cell r="D984" t="str">
            <v>03</v>
          </cell>
          <cell r="E984" t="str">
            <v>EURO บานพับประตู สีดำ KL #MJ17</v>
          </cell>
          <cell r="F984">
            <v>100</v>
          </cell>
          <cell r="G984">
            <v>72.599999999999994</v>
          </cell>
        </row>
        <row r="985">
          <cell r="A985" t="str">
            <v>E033080104H0000400</v>
          </cell>
          <cell r="B985" t="str">
            <v>NAN0011-KL30012</v>
          </cell>
          <cell r="C985" t="str">
            <v>E033</v>
          </cell>
          <cell r="D985" t="str">
            <v>04</v>
          </cell>
          <cell r="E985" t="str">
            <v>EURO บานพับหน้าต่าง สีอบขาว KL #N4B</v>
          </cell>
          <cell r="F985">
            <v>100</v>
          </cell>
          <cell r="G985">
            <v>45.87</v>
          </cell>
        </row>
        <row r="986">
          <cell r="A986" t="str">
            <v>E033080104H0001700</v>
          </cell>
          <cell r="B986" t="str">
            <v>NAN1704-KL30011</v>
          </cell>
          <cell r="C986" t="str">
            <v>E033</v>
          </cell>
          <cell r="D986" t="str">
            <v>04</v>
          </cell>
          <cell r="E986" t="str">
            <v>EURO บานพับประตู สีอบขาว KL #MJ17</v>
          </cell>
          <cell r="F986">
            <v>50</v>
          </cell>
          <cell r="G986">
            <v>72.599999999999994</v>
          </cell>
        </row>
        <row r="987">
          <cell r="A987" t="str">
            <v>E033080603H0000100</v>
          </cell>
          <cell r="B987" t="str">
            <v>NAN1604-0605001</v>
          </cell>
          <cell r="C987" t="str">
            <v>E033</v>
          </cell>
          <cell r="D987" t="str">
            <v>03</v>
          </cell>
          <cell r="E987" t="str">
            <v>BI-FOLD บานพับล้อบนบานเฟี้ยม สีดำ KL #FXZ1B</v>
          </cell>
          <cell r="F987">
            <v>142</v>
          </cell>
          <cell r="G987">
            <v>266.52999999999997</v>
          </cell>
        </row>
        <row r="988">
          <cell r="A988" t="str">
            <v>E033080603H0000200</v>
          </cell>
          <cell r="B988" t="str">
            <v>NAN1604-0605002</v>
          </cell>
          <cell r="C988" t="str">
            <v>E033</v>
          </cell>
          <cell r="D988" t="str">
            <v>03</v>
          </cell>
          <cell r="E988" t="str">
            <v>BI-FOLD บานพับล้อล่างบานเฟี้ยม สีดำ KL #FXZ5B</v>
          </cell>
          <cell r="F988">
            <v>94</v>
          </cell>
          <cell r="G988">
            <v>229.05</v>
          </cell>
        </row>
        <row r="989">
          <cell r="A989" t="str">
            <v>E033080603H0000301</v>
          </cell>
          <cell r="B989" t="str">
            <v/>
          </cell>
          <cell r="C989" t="str">
            <v>E033</v>
          </cell>
          <cell r="D989" t="str">
            <v>03</v>
          </cell>
          <cell r="E989" t="str">
            <v>BI-FOLD บานพับล้อบนบานเฟี้ยมข้าง สีดำ KL #FXZ1B-I</v>
          </cell>
          <cell r="F989">
            <v>41</v>
          </cell>
          <cell r="G989">
            <v>262.77999999999997</v>
          </cell>
        </row>
        <row r="990">
          <cell r="A990" t="str">
            <v>E033080603H0000402</v>
          </cell>
          <cell r="B990" t="str">
            <v/>
          </cell>
          <cell r="C990" t="str">
            <v>E033</v>
          </cell>
          <cell r="D990" t="str">
            <v>03</v>
          </cell>
          <cell r="E990" t="str">
            <v>BI-FOLD บานพับล้อล่างบานเฟี้ยมข้าง สีดำ KL #FXZ5B-I</v>
          </cell>
          <cell r="F990">
            <v>89</v>
          </cell>
          <cell r="G990">
            <v>225.82</v>
          </cell>
        </row>
        <row r="991">
          <cell r="A991" t="str">
            <v>E033080603H0001100</v>
          </cell>
          <cell r="B991" t="str">
            <v>NAN1604-0605003</v>
          </cell>
          <cell r="C991" t="str">
            <v>E033</v>
          </cell>
          <cell r="D991" t="str">
            <v>03</v>
          </cell>
          <cell r="E991" t="str">
            <v>BI-FOLD บานพับข้างบานเฟี้ยม สีดำ KL #FXZ11</v>
          </cell>
          <cell r="F991">
            <v>82</v>
          </cell>
          <cell r="G991">
            <v>62.48</v>
          </cell>
        </row>
        <row r="992">
          <cell r="A992" t="str">
            <v>E033080603H0001200</v>
          </cell>
          <cell r="B992" t="str">
            <v>NAN1604-0605004</v>
          </cell>
          <cell r="C992" t="str">
            <v>E033</v>
          </cell>
          <cell r="D992" t="str">
            <v>03</v>
          </cell>
          <cell r="E992" t="str">
            <v>BI-FOLD บานพับมือดึงบานเฟี้ยม สีดำ KL #FXZ12</v>
          </cell>
          <cell r="F992">
            <v>69</v>
          </cell>
          <cell r="G992">
            <v>99.97</v>
          </cell>
        </row>
        <row r="993">
          <cell r="A993" t="str">
            <v>E033080604H0000100</v>
          </cell>
          <cell r="B993" t="str">
            <v/>
          </cell>
          <cell r="C993" t="str">
            <v>E033</v>
          </cell>
          <cell r="D993" t="str">
            <v>04</v>
          </cell>
          <cell r="E993" t="str">
            <v>BI-FOLD บานพับล้อบนบานเฟี้ยม สีอบขาว KL #FXZ1B</v>
          </cell>
          <cell r="F993">
            <v>75</v>
          </cell>
          <cell r="G993">
            <v>266.52999999999997</v>
          </cell>
        </row>
        <row r="994">
          <cell r="A994" t="str">
            <v>E033080604H0000200</v>
          </cell>
          <cell r="B994" t="str">
            <v/>
          </cell>
          <cell r="C994" t="str">
            <v>E033</v>
          </cell>
          <cell r="D994" t="str">
            <v>04</v>
          </cell>
          <cell r="E994" t="str">
            <v>BI-FOLD บานพับล้อล่างบานเฟี้ยม สีอบขาว KL #FXZ5B</v>
          </cell>
          <cell r="F994">
            <v>21</v>
          </cell>
          <cell r="G994">
            <v>229.05</v>
          </cell>
        </row>
        <row r="995">
          <cell r="A995" t="str">
            <v>E033080604H0000301</v>
          </cell>
          <cell r="B995" t="str">
            <v/>
          </cell>
          <cell r="C995" t="str">
            <v>E033</v>
          </cell>
          <cell r="D995" t="str">
            <v>04</v>
          </cell>
          <cell r="E995" t="str">
            <v>BI-FOLD บานพับล้อบนบานเฟี้ยมข้าง สีอบขาว KL #FXZ1B-I</v>
          </cell>
          <cell r="F995">
            <v>21</v>
          </cell>
          <cell r="G995">
            <v>262.77999999999997</v>
          </cell>
        </row>
        <row r="996">
          <cell r="A996" t="str">
            <v>E033080604H0000402</v>
          </cell>
          <cell r="B996" t="str">
            <v/>
          </cell>
          <cell r="C996" t="str">
            <v>E033</v>
          </cell>
          <cell r="D996" t="str">
            <v>04</v>
          </cell>
          <cell r="E996" t="str">
            <v>BI-FOLD บานพับล้อล่างบานเฟี้ยมข้าง สีอบขาว KL #FXZ5B-I</v>
          </cell>
          <cell r="F996">
            <v>22</v>
          </cell>
          <cell r="G996">
            <v>225.82</v>
          </cell>
        </row>
        <row r="997">
          <cell r="A997" t="str">
            <v>E033080604H0001100</v>
          </cell>
          <cell r="B997" t="str">
            <v/>
          </cell>
          <cell r="C997" t="str">
            <v>E033</v>
          </cell>
          <cell r="D997" t="str">
            <v>04</v>
          </cell>
          <cell r="E997" t="str">
            <v>BI-FOLD บานพับข้างบานเฟี้ยม สีอบขาว KL #FXZ11</v>
          </cell>
          <cell r="F997">
            <v>43</v>
          </cell>
          <cell r="G997">
            <v>62.48</v>
          </cell>
        </row>
        <row r="998">
          <cell r="A998" t="str">
            <v>E033080604H0001200</v>
          </cell>
          <cell r="B998" t="str">
            <v/>
          </cell>
          <cell r="C998" t="str">
            <v>E033</v>
          </cell>
          <cell r="D998" t="str">
            <v>04</v>
          </cell>
          <cell r="E998" t="str">
            <v>BI-FOLD บานพับมือดึงบานเฟี้ยม สีอบขาว KL #FXZ12</v>
          </cell>
          <cell r="F998">
            <v>50</v>
          </cell>
          <cell r="G998">
            <v>99.97</v>
          </cell>
        </row>
        <row r="999">
          <cell r="A999" t="str">
            <v>E03312000000000000</v>
          </cell>
          <cell r="B999" t="str">
            <v>NAN0000</v>
          </cell>
          <cell r="C999" t="str">
            <v>E033</v>
          </cell>
          <cell r="D999" t="str">
            <v>00</v>
          </cell>
          <cell r="E999" t="str">
            <v>ACC ALU ยี่ห้อ KINLONG (กลุ่ม)</v>
          </cell>
          <cell r="F999">
            <v>0</v>
          </cell>
          <cell r="G999">
            <v>0</v>
          </cell>
        </row>
        <row r="1000">
          <cell r="A1000" t="str">
            <v>E033120100L0002000</v>
          </cell>
          <cell r="B1000" t="str">
            <v>NAN1800-KL30013</v>
          </cell>
          <cell r="C1000" t="str">
            <v>E033</v>
          </cell>
          <cell r="D1000" t="str">
            <v>00</v>
          </cell>
          <cell r="E1000" t="str">
            <v>BI-FOLD ปลายกลอนบานเปิด KL #CDG10B</v>
          </cell>
          <cell r="F1000">
            <v>58</v>
          </cell>
          <cell r="G1000">
            <v>14.63</v>
          </cell>
        </row>
        <row r="1001">
          <cell r="A1001" t="str">
            <v>E033120200L0000500</v>
          </cell>
          <cell r="B1001" t="str">
            <v>NAN1700-KL30015</v>
          </cell>
          <cell r="C1001" t="str">
            <v>E033</v>
          </cell>
          <cell r="D1001" t="str">
            <v>00</v>
          </cell>
          <cell r="E1001" t="str">
            <v>EURO รับล็อคบานเลื่อน KL #U05</v>
          </cell>
          <cell r="F1001">
            <v>4</v>
          </cell>
          <cell r="G1001">
            <v>7.53</v>
          </cell>
        </row>
        <row r="1002">
          <cell r="A1002" t="str">
            <v>E033120200L0001400</v>
          </cell>
          <cell r="B1002" t="str">
            <v>NAN1700-KL30014</v>
          </cell>
          <cell r="C1002" t="str">
            <v>E033</v>
          </cell>
          <cell r="D1002" t="str">
            <v>00</v>
          </cell>
          <cell r="E1002" t="str">
            <v>EURO หมุดล็อคบานเลื่อน KL #ZGB14M</v>
          </cell>
          <cell r="F1002">
            <v>208</v>
          </cell>
          <cell r="G1002">
            <v>21.3</v>
          </cell>
        </row>
        <row r="1003">
          <cell r="A1003" t="str">
            <v>E033120203L0000000</v>
          </cell>
          <cell r="B1003" t="str">
            <v>NAN1704-KL30016</v>
          </cell>
          <cell r="C1003" t="str">
            <v>E033</v>
          </cell>
          <cell r="D1003" t="str">
            <v>03</v>
          </cell>
          <cell r="E1003" t="str">
            <v>EURO ยางกันชนคอม้า สีดำ KL #T-FK-D</v>
          </cell>
          <cell r="F1003">
            <v>60</v>
          </cell>
          <cell r="G1003">
            <v>6.25</v>
          </cell>
        </row>
        <row r="1004">
          <cell r="A1004" t="str">
            <v>E033120203L0000100</v>
          </cell>
          <cell r="B1004" t="str">
            <v>NAN0004-0172000</v>
          </cell>
          <cell r="C1004" t="str">
            <v>E033</v>
          </cell>
          <cell r="D1004" t="str">
            <v>03</v>
          </cell>
          <cell r="E1004" t="str">
            <v>EURO ยางกันขโมย สีดำ KL #T-FDK01</v>
          </cell>
          <cell r="F1004">
            <v>76</v>
          </cell>
          <cell r="G1004">
            <v>4.1900000000000004</v>
          </cell>
        </row>
        <row r="1005">
          <cell r="A1005" t="str">
            <v>E033120300L0000000</v>
          </cell>
          <cell r="B1005" t="str">
            <v>NAN0000-1012100</v>
          </cell>
          <cell r="C1005" t="str">
            <v>E033</v>
          </cell>
          <cell r="D1005" t="str">
            <v>00</v>
          </cell>
          <cell r="E1005" t="str">
            <v>EURO ฉากประคอง KL #FCJ-A</v>
          </cell>
          <cell r="F1005">
            <v>1416</v>
          </cell>
          <cell r="G1005">
            <v>0.85</v>
          </cell>
        </row>
        <row r="1006">
          <cell r="A1006" t="str">
            <v>E033120600L0002000</v>
          </cell>
          <cell r="B1006" t="str">
            <v>NAN1600-0306000</v>
          </cell>
          <cell r="C1006" t="str">
            <v>E033</v>
          </cell>
          <cell r="D1006" t="str">
            <v>00</v>
          </cell>
          <cell r="E1006" t="str">
            <v>BI-FOLD ฝารับล็อคกุญแจประตู (DMS20A)</v>
          </cell>
          <cell r="F1006">
            <v>4</v>
          </cell>
          <cell r="G1006">
            <v>35</v>
          </cell>
        </row>
        <row r="1007">
          <cell r="A1007" t="str">
            <v>E033120700L0000600</v>
          </cell>
          <cell r="B1007" t="str">
            <v>NAN1800-KL30006</v>
          </cell>
          <cell r="C1007" t="str">
            <v>E033</v>
          </cell>
          <cell r="D1007" t="str">
            <v>00</v>
          </cell>
          <cell r="E1007" t="str">
            <v>EURO หมุดล็อคบานเปิด KL #HDS6</v>
          </cell>
          <cell r="F1007">
            <v>76</v>
          </cell>
          <cell r="G1007">
            <v>6.25</v>
          </cell>
        </row>
        <row r="1008">
          <cell r="A1008" t="str">
            <v>E033120700L0000700</v>
          </cell>
          <cell r="B1008" t="str">
            <v>NAN1800-KL30007</v>
          </cell>
          <cell r="C1008" t="str">
            <v>E033</v>
          </cell>
          <cell r="D1008" t="str">
            <v>00</v>
          </cell>
          <cell r="E1008" t="str">
            <v>EURO หมุดล็อคบานเปิด KL #HDS7</v>
          </cell>
          <cell r="F1008">
            <v>186</v>
          </cell>
          <cell r="G1008">
            <v>6.25</v>
          </cell>
        </row>
        <row r="1009">
          <cell r="A1009" t="str">
            <v>E033120700L0000800</v>
          </cell>
          <cell r="B1009" t="str">
            <v>NAN1700-KL30008</v>
          </cell>
          <cell r="C1009" t="str">
            <v>E033</v>
          </cell>
          <cell r="D1009" t="str">
            <v>00</v>
          </cell>
          <cell r="E1009" t="str">
            <v>EURO ตัวที KL #ZCD-08</v>
          </cell>
          <cell r="F1009">
            <v>304</v>
          </cell>
          <cell r="G1009">
            <v>8.3800000000000008</v>
          </cell>
        </row>
        <row r="1010">
          <cell r="A1010" t="str">
            <v>E033120700L0001600</v>
          </cell>
          <cell r="B1010" t="str">
            <v>NAN1800-KL30009</v>
          </cell>
          <cell r="C1010" t="str">
            <v>E033</v>
          </cell>
          <cell r="D1010" t="str">
            <v>00</v>
          </cell>
          <cell r="E1010" t="str">
            <v>EURO รับล็อคบานเปิด KL #ZA1-6A</v>
          </cell>
          <cell r="F1010">
            <v>162</v>
          </cell>
          <cell r="G1010">
            <v>10.44</v>
          </cell>
        </row>
        <row r="1011">
          <cell r="A1011" t="str">
            <v>E033120700L0003900</v>
          </cell>
          <cell r="B1011" t="str">
            <v>NAN1800-KL30010</v>
          </cell>
          <cell r="C1011" t="str">
            <v>E033</v>
          </cell>
          <cell r="D1011" t="str">
            <v>00</v>
          </cell>
          <cell r="E1011" t="str">
            <v>EURO หมุดล็อคบานเปิด KL #N39</v>
          </cell>
          <cell r="F1011">
            <v>146</v>
          </cell>
          <cell r="G1011">
            <v>16.690000000000001</v>
          </cell>
        </row>
        <row r="1012">
          <cell r="A1012" t="str">
            <v>E035040204D2100100</v>
          </cell>
          <cell r="B1012" t="str">
            <v>NAN0011-0251010</v>
          </cell>
          <cell r="C1012" t="str">
            <v>E035</v>
          </cell>
          <cell r="D1012" t="str">
            <v>04</v>
          </cell>
          <cell r="E1012" t="str">
            <v>มือจับล็อค ตัวใหญ่ (เหลี่ยม) สีอบขาว TL-01B</v>
          </cell>
          <cell r="F1012">
            <v>389</v>
          </cell>
          <cell r="G1012">
            <v>34</v>
          </cell>
        </row>
        <row r="1013">
          <cell r="A1013" t="str">
            <v>E035040204D2100101</v>
          </cell>
          <cell r="B1013" t="str">
            <v/>
          </cell>
          <cell r="C1013" t="str">
            <v>E035</v>
          </cell>
          <cell r="D1013" t="str">
            <v>04</v>
          </cell>
          <cell r="E1013" t="str">
            <v>มือจับล็อค ตัวเล็ก  สีอบขาว TL-01S</v>
          </cell>
          <cell r="F1013">
            <v>180</v>
          </cell>
          <cell r="G1013">
            <v>19</v>
          </cell>
        </row>
        <row r="1014">
          <cell r="A1014" t="str">
            <v>E035040204D2200400</v>
          </cell>
          <cell r="B1014" t="str">
            <v>NAN0011-0251020</v>
          </cell>
          <cell r="C1014" t="str">
            <v>E035</v>
          </cell>
          <cell r="D1014" t="str">
            <v>04</v>
          </cell>
          <cell r="E1014" t="str">
            <v>มือจับล็อคกุญแจ ตัวใหญ่ (เหลี่ยม) สีอบขาว TL-04B</v>
          </cell>
          <cell r="F1014">
            <v>88</v>
          </cell>
          <cell r="G1014">
            <v>50</v>
          </cell>
        </row>
        <row r="1015">
          <cell r="A1015" t="str">
            <v>E035040204D2300200</v>
          </cell>
          <cell r="B1015" t="str">
            <v>NAN0011-0251001</v>
          </cell>
          <cell r="C1015" t="str">
            <v>E035</v>
          </cell>
          <cell r="D1015" t="str">
            <v>04</v>
          </cell>
          <cell r="E1015" t="str">
            <v>มือจับเรียบมีรู (เหลี่ยม) สีอบขาว TL-02B</v>
          </cell>
          <cell r="F1015">
            <v>66</v>
          </cell>
          <cell r="G1015">
            <v>19</v>
          </cell>
        </row>
        <row r="1016">
          <cell r="A1016" t="str">
            <v>E035040204D2400300</v>
          </cell>
          <cell r="B1016" t="str">
            <v>NAN0011-0251002</v>
          </cell>
          <cell r="C1016" t="str">
            <v>E035</v>
          </cell>
          <cell r="D1016" t="str">
            <v>04</v>
          </cell>
          <cell r="E1016" t="str">
            <v>มือจับเรียบไม่มีรู (เหลี่ยม) สีอบขาว TL-03B</v>
          </cell>
          <cell r="F1016">
            <v>37</v>
          </cell>
          <cell r="G1016">
            <v>19</v>
          </cell>
        </row>
        <row r="1017">
          <cell r="A1017" t="str">
            <v>E035040300D3190100</v>
          </cell>
          <cell r="B1017" t="str">
            <v>NAN0000-0261901</v>
          </cell>
          <cell r="C1017" t="str">
            <v>E035</v>
          </cell>
          <cell r="D1017" t="str">
            <v>00</v>
          </cell>
          <cell r="E1017" t="str">
            <v>มือจับสแตนเลสสี่สหาย TS-1901A ขนาด 400x305x25</v>
          </cell>
          <cell r="F1017">
            <v>196</v>
          </cell>
          <cell r="G1017">
            <v>110</v>
          </cell>
        </row>
        <row r="1018">
          <cell r="A1018" t="str">
            <v>E035040300D3190200</v>
          </cell>
          <cell r="B1018" t="str">
            <v>NAN0000-0261902</v>
          </cell>
          <cell r="C1018" t="str">
            <v>E035</v>
          </cell>
          <cell r="D1018" t="str">
            <v>00</v>
          </cell>
          <cell r="E1018" t="str">
            <v>มือจับสแตนเลสสี่สหาย TS-1902A ขนาด 400x305x25</v>
          </cell>
          <cell r="F1018">
            <v>0</v>
          </cell>
          <cell r="G1018">
            <v>0</v>
          </cell>
        </row>
        <row r="1019">
          <cell r="A1019" t="str">
            <v>E035040303D3190400</v>
          </cell>
          <cell r="B1019" t="str">
            <v>NAN0004-0252400</v>
          </cell>
          <cell r="C1019" t="str">
            <v>E035</v>
          </cell>
          <cell r="D1019" t="str">
            <v>03</v>
          </cell>
          <cell r="E1019" t="str">
            <v xml:space="preserve">มือจับสแตนเลสสี่สหาย (คาดดำ) TS-1904A ขนาด 400x305x25  </v>
          </cell>
          <cell r="F1019">
            <v>121</v>
          </cell>
          <cell r="G1019">
            <v>110</v>
          </cell>
        </row>
        <row r="1020">
          <cell r="A1020" t="str">
            <v>E035040313D3190300</v>
          </cell>
          <cell r="B1020" t="str">
            <v>NAN0008-0252400</v>
          </cell>
          <cell r="C1020" t="str">
            <v>E035</v>
          </cell>
          <cell r="D1020">
            <v>13</v>
          </cell>
          <cell r="E1020" t="str">
            <v>มือจับสแตนเลสสี่สหาย (คาดแดง) TS-1903A ขนาด 400x305x25</v>
          </cell>
          <cell r="F1020">
            <v>233</v>
          </cell>
          <cell r="G1020">
            <v>110</v>
          </cell>
        </row>
        <row r="1021">
          <cell r="A1021" t="str">
            <v>E035131100M0061202</v>
          </cell>
          <cell r="B1021" t="str">
            <v>NGH002-017102</v>
          </cell>
          <cell r="C1021" t="str">
            <v>E035</v>
          </cell>
          <cell r="D1021" t="str">
            <v>00</v>
          </cell>
          <cell r="E1021" t="str">
            <v>มีดตัดกระจกใหญ่ 6-12 มม. TL #T-7102 (ใช้น้ำมัน)</v>
          </cell>
          <cell r="F1021">
            <v>6</v>
          </cell>
          <cell r="G1021">
            <v>110</v>
          </cell>
        </row>
        <row r="1022">
          <cell r="A1022" t="str">
            <v>E035141301N4400000</v>
          </cell>
          <cell r="B1022" t="str">
            <v>NTN0001-0907404</v>
          </cell>
          <cell r="C1022" t="str">
            <v>E035</v>
          </cell>
          <cell r="D1022" t="str">
            <v>01</v>
          </cell>
          <cell r="E1022" t="str">
            <v>รีเวท สีขาวอลู 4-4  ตรา TL</v>
          </cell>
          <cell r="F1022">
            <v>3</v>
          </cell>
          <cell r="G1022">
            <v>103.5</v>
          </cell>
        </row>
        <row r="1023">
          <cell r="A1023" t="str">
            <v>E035141303N4400000</v>
          </cell>
          <cell r="B1023" t="str">
            <v>NTN0004-0907404</v>
          </cell>
          <cell r="C1023" t="str">
            <v>E035</v>
          </cell>
          <cell r="D1023" t="str">
            <v>03</v>
          </cell>
          <cell r="E1023" t="str">
            <v>รีเวท สีดำ 4-4  ตรา TL</v>
          </cell>
          <cell r="F1023">
            <v>38</v>
          </cell>
          <cell r="G1023">
            <v>189</v>
          </cell>
        </row>
        <row r="1024">
          <cell r="A1024" t="str">
            <v>E035141304N4400000</v>
          </cell>
          <cell r="B1024" t="str">
            <v>NTN0011-0907404</v>
          </cell>
          <cell r="C1024" t="str">
            <v>E035</v>
          </cell>
          <cell r="D1024" t="str">
            <v>04</v>
          </cell>
          <cell r="E1024" t="str">
            <v>รีเวท สีอบขาว 4-4 ตรา TL</v>
          </cell>
          <cell r="F1024">
            <v>32</v>
          </cell>
          <cell r="G1024">
            <v>189</v>
          </cell>
        </row>
        <row r="1025">
          <cell r="A1025" t="str">
            <v>E036090903I2363000</v>
          </cell>
          <cell r="B1025" t="str">
            <v>NAN0004-0540036</v>
          </cell>
          <cell r="C1025" t="str">
            <v>E036</v>
          </cell>
          <cell r="D1025" t="str">
            <v>03</v>
          </cell>
          <cell r="E1025" t="str">
            <v>มุ้งไนลอน สีดำ 36 นิ้ว ตรานกแก้ว</v>
          </cell>
          <cell r="F1025">
            <v>1</v>
          </cell>
          <cell r="G1025">
            <v>804.32240000000002</v>
          </cell>
        </row>
        <row r="1026">
          <cell r="A1026" t="str">
            <v>E036090903I2423000</v>
          </cell>
          <cell r="B1026" t="str">
            <v>NAN0004-0540042</v>
          </cell>
          <cell r="C1026" t="str">
            <v>E036</v>
          </cell>
          <cell r="D1026" t="str">
            <v>03</v>
          </cell>
          <cell r="E1026" t="str">
            <v>มุ้งไนลอน สีดำ 42 นิ้ว ตรานกแก้ว</v>
          </cell>
          <cell r="F1026">
            <v>0</v>
          </cell>
          <cell r="G1026">
            <v>0</v>
          </cell>
        </row>
        <row r="1027">
          <cell r="A1027" t="str">
            <v>E036090903I2483000</v>
          </cell>
          <cell r="B1027" t="str">
            <v>NAN0004-0540048</v>
          </cell>
          <cell r="C1027" t="str">
            <v>E036</v>
          </cell>
          <cell r="D1027" t="str">
            <v>03</v>
          </cell>
          <cell r="E1027" t="str">
            <v>มุ้งไนลอน สีดำ 48 นิ้ว ตรานกแก้ว</v>
          </cell>
          <cell r="F1027">
            <v>1</v>
          </cell>
          <cell r="G1027">
            <v>1050.2663</v>
          </cell>
        </row>
        <row r="1028">
          <cell r="A1028" t="str">
            <v>E036090905I2283000</v>
          </cell>
          <cell r="B1028" t="str">
            <v>NAN0000-0540028</v>
          </cell>
          <cell r="C1028" t="str">
            <v>E036</v>
          </cell>
          <cell r="D1028" t="str">
            <v>05</v>
          </cell>
          <cell r="E1028" t="str">
            <v>มุ้งไนลอน สีเทา 28 นิ้ว ตรานกแก้ว</v>
          </cell>
          <cell r="F1028">
            <v>0</v>
          </cell>
          <cell r="G1028">
            <v>0</v>
          </cell>
        </row>
        <row r="1029">
          <cell r="A1029" t="str">
            <v>E036090905I2303000</v>
          </cell>
          <cell r="B1029" t="str">
            <v>NAN0000-0540030</v>
          </cell>
          <cell r="C1029" t="str">
            <v>E036</v>
          </cell>
          <cell r="D1029" t="str">
            <v>05</v>
          </cell>
          <cell r="E1029" t="str">
            <v>มุ้งไนลอน สีเทา 30 นิ้ว ตรานกแก้ว</v>
          </cell>
          <cell r="F1029">
            <v>0</v>
          </cell>
          <cell r="G1029">
            <v>0</v>
          </cell>
        </row>
        <row r="1030">
          <cell r="A1030" t="str">
            <v>E036090905I2323000</v>
          </cell>
          <cell r="B1030" t="str">
            <v>NAN0000-0540032</v>
          </cell>
          <cell r="C1030" t="str">
            <v>E036</v>
          </cell>
          <cell r="D1030" t="str">
            <v>05</v>
          </cell>
          <cell r="E1030" t="str">
            <v>มุ้งไนลอน สีเทา 32 นิ้ว ตรานกแก้ว</v>
          </cell>
          <cell r="F1030">
            <v>0</v>
          </cell>
          <cell r="G1030">
            <v>0</v>
          </cell>
        </row>
        <row r="1031">
          <cell r="A1031" t="str">
            <v>E036090905I2363000</v>
          </cell>
          <cell r="B1031" t="str">
            <v>NAN0000-0540036</v>
          </cell>
          <cell r="C1031" t="str">
            <v>E036</v>
          </cell>
          <cell r="D1031" t="str">
            <v>05</v>
          </cell>
          <cell r="E1031" t="str">
            <v>มุ้งไนลอน สีเทา 36 นิ้ว ตรานกแก้ว</v>
          </cell>
          <cell r="F1031">
            <v>3</v>
          </cell>
          <cell r="G1031">
            <v>749.27099999999996</v>
          </cell>
        </row>
        <row r="1032">
          <cell r="A1032" t="str">
            <v>E036090905I2423000</v>
          </cell>
          <cell r="B1032" t="str">
            <v>NAN0000-0540042</v>
          </cell>
          <cell r="C1032" t="str">
            <v>E036</v>
          </cell>
          <cell r="D1032" t="str">
            <v>05</v>
          </cell>
          <cell r="E1032" t="str">
            <v>มุ้งไนลอน สีเทา 42 นิ้ว ตรานกแก้ว</v>
          </cell>
          <cell r="F1032">
            <v>9</v>
          </cell>
          <cell r="G1032">
            <v>868.66819999999996</v>
          </cell>
        </row>
        <row r="1033">
          <cell r="A1033" t="str">
            <v>E036090905I2483000</v>
          </cell>
          <cell r="B1033" t="str">
            <v>NAN0000-0540048</v>
          </cell>
          <cell r="C1033" t="str">
            <v>E036</v>
          </cell>
          <cell r="D1033" t="str">
            <v>05</v>
          </cell>
          <cell r="E1033" t="str">
            <v>มุ้งไนลอน สีเทา 48 นิ้ว ตรานกแก้ว</v>
          </cell>
          <cell r="F1033">
            <v>3</v>
          </cell>
          <cell r="G1033">
            <v>989.49530000000004</v>
          </cell>
        </row>
        <row r="1034">
          <cell r="A1034" t="str">
            <v>E037090903I2363000</v>
          </cell>
          <cell r="B1034" t="str">
            <v>NAN0004-0530036</v>
          </cell>
          <cell r="C1034" t="str">
            <v>E037</v>
          </cell>
          <cell r="D1034" t="str">
            <v>03</v>
          </cell>
          <cell r="E1034" t="str">
            <v>มุ้งไนลอน สีดำ 36 นิ้ว ตรานกเพนกวิน</v>
          </cell>
          <cell r="F1034">
            <v>38</v>
          </cell>
          <cell r="G1034">
            <v>946.26</v>
          </cell>
        </row>
        <row r="1035">
          <cell r="A1035" t="str">
            <v>E037090903I2423000</v>
          </cell>
          <cell r="B1035" t="str">
            <v>NAN0004-0530042</v>
          </cell>
          <cell r="C1035" t="str">
            <v>E037</v>
          </cell>
          <cell r="D1035" t="str">
            <v>03</v>
          </cell>
          <cell r="E1035" t="str">
            <v>มุ้งไนลอน สีดำ 42 นิ้ว ตรานกเพนกวิน</v>
          </cell>
          <cell r="F1035">
            <v>17</v>
          </cell>
          <cell r="G1035">
            <v>1087.57</v>
          </cell>
        </row>
        <row r="1036">
          <cell r="A1036" t="str">
            <v>E037090903I2483000</v>
          </cell>
          <cell r="B1036" t="str">
            <v>NAN0004-0530048</v>
          </cell>
          <cell r="C1036" t="str">
            <v>E037</v>
          </cell>
          <cell r="D1036" t="str">
            <v>03</v>
          </cell>
          <cell r="E1036" t="str">
            <v>มุ้งไนลอน สีดำ 48 นิ้ว ตรานกเพนกวิน</v>
          </cell>
          <cell r="F1036">
            <v>36</v>
          </cell>
          <cell r="G1036">
            <v>1235.6099999999999</v>
          </cell>
        </row>
        <row r="1037">
          <cell r="A1037" t="str">
            <v>E037090905I2283000</v>
          </cell>
          <cell r="B1037" t="str">
            <v>NAN0000-0530028</v>
          </cell>
          <cell r="C1037" t="str">
            <v>E037</v>
          </cell>
          <cell r="D1037" t="str">
            <v>05</v>
          </cell>
          <cell r="E1037" t="str">
            <v>มุ้งไนลอน สีเทา 28 นิ้ว ตรานกเพนกวิน</v>
          </cell>
          <cell r="F1037">
            <v>2</v>
          </cell>
          <cell r="G1037">
            <v>740.18690000000004</v>
          </cell>
        </row>
        <row r="1038">
          <cell r="A1038" t="str">
            <v>E037090905I2303000</v>
          </cell>
          <cell r="B1038" t="str">
            <v>NAN0000-0530030</v>
          </cell>
          <cell r="C1038" t="str">
            <v>E037</v>
          </cell>
          <cell r="D1038" t="str">
            <v>05</v>
          </cell>
          <cell r="E1038" t="str">
            <v>มุ้งไนลอน สีเทา 30 นิ้ว ตรานกเพนกวิน</v>
          </cell>
          <cell r="F1038">
            <v>2</v>
          </cell>
          <cell r="G1038">
            <v>778.87850000000003</v>
          </cell>
        </row>
        <row r="1039">
          <cell r="A1039" t="str">
            <v>E037090905I2323000</v>
          </cell>
          <cell r="B1039" t="str">
            <v>NAN0000-0530032</v>
          </cell>
          <cell r="C1039" t="str">
            <v>E037</v>
          </cell>
          <cell r="D1039" t="str">
            <v>05</v>
          </cell>
          <cell r="E1039" t="str">
            <v>มุ้งไนลอน สีเทา 32 นิ้ว ตรานกเพนกวิน</v>
          </cell>
          <cell r="F1039">
            <v>2</v>
          </cell>
          <cell r="G1039">
            <v>810</v>
          </cell>
        </row>
        <row r="1040">
          <cell r="A1040" t="str">
            <v>E037090905I2363000</v>
          </cell>
          <cell r="B1040" t="str">
            <v>NAN0000-0530036</v>
          </cell>
          <cell r="C1040" t="str">
            <v>E037</v>
          </cell>
          <cell r="D1040" t="str">
            <v>05</v>
          </cell>
          <cell r="E1040" t="str">
            <v>มุ้งไนลอน สีเทา 36 นิ้ว ตรานกเพนกวิน</v>
          </cell>
          <cell r="F1040">
            <v>21</v>
          </cell>
          <cell r="G1040">
            <v>881.5</v>
          </cell>
        </row>
        <row r="1041">
          <cell r="A1041" t="str">
            <v>E037090905I2403000</v>
          </cell>
          <cell r="B1041" t="str">
            <v>NAN0000-0530040</v>
          </cell>
          <cell r="C1041" t="str">
            <v>E037</v>
          </cell>
          <cell r="D1041" t="str">
            <v>05</v>
          </cell>
          <cell r="E1041" t="str">
            <v>มุ้งไนลอน สีเทา 40 นิ้ว ตรานกเพนกวิน</v>
          </cell>
          <cell r="F1041">
            <v>0</v>
          </cell>
          <cell r="G1041">
            <v>0</v>
          </cell>
        </row>
        <row r="1042">
          <cell r="A1042" t="str">
            <v>E037090905I2423000</v>
          </cell>
          <cell r="B1042" t="str">
            <v>NAN0000-0530042</v>
          </cell>
          <cell r="C1042" t="str">
            <v>E037</v>
          </cell>
          <cell r="D1042" t="str">
            <v>05</v>
          </cell>
          <cell r="E1042" t="str">
            <v>มุ้งไนลอน สีเทา 42 นิ้ว ตรานกเพนกวิน</v>
          </cell>
          <cell r="F1042">
            <v>31</v>
          </cell>
          <cell r="G1042">
            <v>1021.97</v>
          </cell>
        </row>
        <row r="1043">
          <cell r="A1043" t="str">
            <v>E037090905I2483000</v>
          </cell>
          <cell r="B1043" t="str">
            <v>NAN0000-0530048</v>
          </cell>
          <cell r="C1043" t="str">
            <v>E037</v>
          </cell>
          <cell r="D1043" t="str">
            <v>05</v>
          </cell>
          <cell r="E1043" t="str">
            <v>มุ้งไนลอน สีเทา 48 นิ้ว ตรานกเพนกวิน</v>
          </cell>
          <cell r="F1043">
            <v>43</v>
          </cell>
          <cell r="G1043">
            <v>1164.1199999999999</v>
          </cell>
        </row>
        <row r="1044">
          <cell r="A1044" t="str">
            <v>E03809000000000000</v>
          </cell>
          <cell r="B1044" t="str">
            <v>NAN0000</v>
          </cell>
          <cell r="C1044" t="str">
            <v>E038</v>
          </cell>
          <cell r="D1044" t="str">
            <v>00</v>
          </cell>
          <cell r="E1044" t="str">
            <v>มุ้ง ยี่ห้อแพนด้า (กลุ่ม)</v>
          </cell>
          <cell r="F1044">
            <v>0</v>
          </cell>
          <cell r="G1044">
            <v>0</v>
          </cell>
        </row>
        <row r="1045">
          <cell r="A1045" t="str">
            <v>E038090901I1363000</v>
          </cell>
          <cell r="B1045" t="str">
            <v>NAN0000-0515036</v>
          </cell>
          <cell r="C1045" t="str">
            <v>E038</v>
          </cell>
          <cell r="D1045" t="str">
            <v>01</v>
          </cell>
          <cell r="E1045" t="str">
            <v>มุ้งลวด สีขาวอลู 36 นิ้ว ตราแพนด้า</v>
          </cell>
          <cell r="F1045">
            <v>28</v>
          </cell>
          <cell r="G1045">
            <v>1155.8412000000001</v>
          </cell>
        </row>
        <row r="1046">
          <cell r="A1046" t="str">
            <v>E038090901I1423000</v>
          </cell>
          <cell r="B1046" t="str">
            <v>NAN0000-0515042</v>
          </cell>
          <cell r="C1046" t="str">
            <v>E038</v>
          </cell>
          <cell r="D1046" t="str">
            <v>01</v>
          </cell>
          <cell r="E1046" t="str">
            <v>มุ้งลวด สีขาวอลู 42 นิ้ว ตราแพนด้า</v>
          </cell>
          <cell r="F1046">
            <v>29</v>
          </cell>
          <cell r="G1046">
            <v>1308.8225</v>
          </cell>
        </row>
        <row r="1047">
          <cell r="A1047" t="str">
            <v>E038090901I1483000</v>
          </cell>
          <cell r="B1047" t="str">
            <v>NAN0000-0515048</v>
          </cell>
          <cell r="C1047" t="str">
            <v>E038</v>
          </cell>
          <cell r="D1047" t="str">
            <v>01</v>
          </cell>
          <cell r="E1047" t="str">
            <v>มุ้งลวด สีขาวอลู 48 นิ้ว ตราแพนด้า</v>
          </cell>
          <cell r="F1047">
            <v>26</v>
          </cell>
          <cell r="G1047">
            <v>1427.8037999999999</v>
          </cell>
        </row>
        <row r="1048">
          <cell r="A1048" t="str">
            <v>E038090903I3283000</v>
          </cell>
          <cell r="B1048" t="str">
            <v>NAN0004-0512028</v>
          </cell>
          <cell r="C1048" t="str">
            <v>E038</v>
          </cell>
          <cell r="D1048" t="str">
            <v>03</v>
          </cell>
          <cell r="E1048" t="str">
            <v>มุ้งไฟเบอร์ สีดำ 28 นิ้ว ตราแพนด้า</v>
          </cell>
          <cell r="F1048">
            <v>0</v>
          </cell>
          <cell r="G1048">
            <v>0</v>
          </cell>
        </row>
        <row r="1049">
          <cell r="A1049" t="str">
            <v>E038090903I3303000</v>
          </cell>
          <cell r="B1049" t="str">
            <v>NAN0004-0512030</v>
          </cell>
          <cell r="C1049" t="str">
            <v>E038</v>
          </cell>
          <cell r="D1049" t="str">
            <v>03</v>
          </cell>
          <cell r="E1049" t="str">
            <v>มุ้งไฟเบอร์ สีดำ 30 นิ้ว ตราแพนด้า</v>
          </cell>
          <cell r="F1049">
            <v>0</v>
          </cell>
          <cell r="G1049">
            <v>0</v>
          </cell>
        </row>
        <row r="1050">
          <cell r="A1050" t="str">
            <v>E038090903I3323000</v>
          </cell>
          <cell r="B1050" t="str">
            <v>NAN0004-0512032</v>
          </cell>
          <cell r="C1050" t="str">
            <v>E038</v>
          </cell>
          <cell r="D1050" t="str">
            <v>03</v>
          </cell>
          <cell r="E1050" t="str">
            <v>มุ้งไฟเบอร์ สีดำ 32 นิ้ว ตราแพนด้า</v>
          </cell>
          <cell r="F1050">
            <v>6</v>
          </cell>
          <cell r="G1050">
            <v>602.91999999999996</v>
          </cell>
        </row>
        <row r="1051">
          <cell r="A1051" t="str">
            <v>E038090903I3363000</v>
          </cell>
          <cell r="B1051" t="str">
            <v>NAN0004-0512036</v>
          </cell>
          <cell r="C1051" t="str">
            <v>E038</v>
          </cell>
          <cell r="D1051" t="str">
            <v>03</v>
          </cell>
          <cell r="E1051" t="str">
            <v>มุ้งไฟเบอร์ สีดำ 36 นิ้ว ตราแพนด้า</v>
          </cell>
          <cell r="F1051">
            <v>63</v>
          </cell>
          <cell r="G1051">
            <v>400.37389999999999</v>
          </cell>
        </row>
        <row r="1052">
          <cell r="A1052" t="str">
            <v>E038090903I3423000</v>
          </cell>
          <cell r="B1052" t="str">
            <v>NAN0004-0512042</v>
          </cell>
          <cell r="C1052" t="str">
            <v>E038</v>
          </cell>
          <cell r="D1052" t="str">
            <v>03</v>
          </cell>
          <cell r="E1052" t="str">
            <v>มุ้งไฟเบอร์ สีดำ 42 นิ้ว ตราแพนด้า</v>
          </cell>
          <cell r="F1052">
            <v>55</v>
          </cell>
          <cell r="G1052">
            <v>467.1028</v>
          </cell>
        </row>
        <row r="1053">
          <cell r="A1053" t="str">
            <v>E038090903I3483000</v>
          </cell>
          <cell r="B1053" t="str">
            <v>NAN0004-0512048</v>
          </cell>
          <cell r="C1053" t="str">
            <v>E038</v>
          </cell>
          <cell r="D1053" t="str">
            <v>03</v>
          </cell>
          <cell r="E1053" t="str">
            <v>มุ้งไฟเบอร์ สีดำ 48 นิ้ว ตราแพนด้า</v>
          </cell>
          <cell r="F1053">
            <v>109</v>
          </cell>
          <cell r="G1053">
            <v>533.83180000000004</v>
          </cell>
        </row>
        <row r="1054">
          <cell r="A1054" t="str">
            <v>E038090903I3603000</v>
          </cell>
          <cell r="B1054" t="str">
            <v>NAN0004-0512060</v>
          </cell>
          <cell r="C1054" t="str">
            <v>E038</v>
          </cell>
          <cell r="D1054" t="str">
            <v>03</v>
          </cell>
          <cell r="E1054" t="str">
            <v>มุ้งไฟเบอร์ สีดำ 60 นิ้ว ตราแพนด้า</v>
          </cell>
          <cell r="F1054">
            <v>0</v>
          </cell>
          <cell r="G1054">
            <v>0</v>
          </cell>
        </row>
        <row r="1055">
          <cell r="A1055" t="str">
            <v>E038090904I3363000</v>
          </cell>
          <cell r="B1055" t="str">
            <v>NAN0011-0512036</v>
          </cell>
          <cell r="C1055" t="str">
            <v>E038</v>
          </cell>
          <cell r="D1055" t="str">
            <v>04</v>
          </cell>
          <cell r="E1055" t="str">
            <v>มุ้งไฟเบอร์ สีอบขาว 36 นิ้ว ตราแพนด้า</v>
          </cell>
          <cell r="F1055">
            <v>18</v>
          </cell>
          <cell r="G1055">
            <v>612.33644859799995</v>
          </cell>
        </row>
        <row r="1056">
          <cell r="A1056" t="str">
            <v>E038090904I3423000</v>
          </cell>
          <cell r="B1056" t="str">
            <v>NAN0011-0512042</v>
          </cell>
          <cell r="C1056" t="str">
            <v>E038</v>
          </cell>
          <cell r="D1056" t="str">
            <v>04</v>
          </cell>
          <cell r="E1056" t="str">
            <v>มุ้งไฟเบอร์ สีอบขาว 42 นิ้ว ตราแพนด้า</v>
          </cell>
          <cell r="F1056">
            <v>8</v>
          </cell>
          <cell r="G1056">
            <v>714.39250000000004</v>
          </cell>
        </row>
        <row r="1057">
          <cell r="A1057" t="str">
            <v>E038090904I3483000</v>
          </cell>
          <cell r="B1057" t="str">
            <v>NAN0011-0512048</v>
          </cell>
          <cell r="C1057" t="str">
            <v>E038</v>
          </cell>
          <cell r="D1057" t="str">
            <v>04</v>
          </cell>
          <cell r="E1057" t="str">
            <v>มุ้งไฟเบอร์ สีอบขาว 48 นิ้ว ตราแพนด้า</v>
          </cell>
          <cell r="F1057">
            <v>5</v>
          </cell>
          <cell r="G1057">
            <v>816.44859813000005</v>
          </cell>
        </row>
        <row r="1058">
          <cell r="A1058" t="str">
            <v>E038090905I3283000</v>
          </cell>
          <cell r="B1058" t="str">
            <v>NAN0006-0512028</v>
          </cell>
          <cell r="C1058" t="str">
            <v>E038</v>
          </cell>
          <cell r="D1058" t="str">
            <v>05</v>
          </cell>
          <cell r="E1058" t="str">
            <v>มุ้งไฟเบอร์ สีเทา 28 นิ้ว ตราแพนด้า</v>
          </cell>
          <cell r="F1058">
            <v>0</v>
          </cell>
          <cell r="G1058">
            <v>0</v>
          </cell>
        </row>
        <row r="1059">
          <cell r="A1059" t="str">
            <v>E038090905I3303000</v>
          </cell>
          <cell r="B1059" t="str">
            <v>NAN0006-0512030</v>
          </cell>
          <cell r="C1059" t="str">
            <v>E038</v>
          </cell>
          <cell r="D1059" t="str">
            <v>05</v>
          </cell>
          <cell r="E1059" t="str">
            <v>มุ้งไฟเบอร์ สีเทา 30 นิ้ว ตราแพนด้า</v>
          </cell>
          <cell r="F1059">
            <v>0</v>
          </cell>
          <cell r="G1059">
            <v>0</v>
          </cell>
        </row>
        <row r="1060">
          <cell r="A1060" t="str">
            <v>E038090905I3323000</v>
          </cell>
          <cell r="B1060" t="str">
            <v>NAN0006-0512032</v>
          </cell>
          <cell r="C1060" t="str">
            <v>E038</v>
          </cell>
          <cell r="D1060" t="str">
            <v>05</v>
          </cell>
          <cell r="E1060" t="str">
            <v>มุ้งไฟเบอร์ สีเทา 32 นิ้ว ตราแพนด้า</v>
          </cell>
          <cell r="F1060">
            <v>2</v>
          </cell>
          <cell r="G1060">
            <v>602.91999999999996</v>
          </cell>
        </row>
        <row r="1061">
          <cell r="A1061" t="str">
            <v>E038090905I3363000</v>
          </cell>
          <cell r="B1061" t="str">
            <v>NAN0006-0512036</v>
          </cell>
          <cell r="C1061" t="str">
            <v>E038</v>
          </cell>
          <cell r="D1061" t="str">
            <v>05</v>
          </cell>
          <cell r="E1061" t="str">
            <v>มุ้งไฟเบอร์ สีเทา 36 นิ้ว ตราแพนด้า</v>
          </cell>
          <cell r="F1061">
            <v>135</v>
          </cell>
          <cell r="G1061">
            <v>400.37389999999999</v>
          </cell>
        </row>
        <row r="1062">
          <cell r="A1062" t="str">
            <v>E038090905I3423000</v>
          </cell>
          <cell r="B1062" t="str">
            <v>NAN0006-0512042</v>
          </cell>
          <cell r="C1062" t="str">
            <v>E038</v>
          </cell>
          <cell r="D1062" t="str">
            <v>05</v>
          </cell>
          <cell r="E1062" t="str">
            <v>มุ้งไฟเบอร์ สีเทา 42 นิ้ว ตราแพนด้า</v>
          </cell>
          <cell r="F1062">
            <v>56</v>
          </cell>
          <cell r="G1062">
            <v>467.1028</v>
          </cell>
        </row>
        <row r="1063">
          <cell r="A1063" t="str">
            <v>E038090905I3483000</v>
          </cell>
          <cell r="B1063" t="str">
            <v>NAN0006-0512048</v>
          </cell>
          <cell r="C1063" t="str">
            <v>E038</v>
          </cell>
          <cell r="D1063" t="str">
            <v>05</v>
          </cell>
          <cell r="E1063" t="str">
            <v>มุ้งไฟเบอร์ สีเทา 48 นิ้ว ตราแพนด้า</v>
          </cell>
          <cell r="F1063">
            <v>107</v>
          </cell>
          <cell r="G1063">
            <v>533.83180000000004</v>
          </cell>
        </row>
        <row r="1064">
          <cell r="A1064" t="str">
            <v>E038090905I3603000</v>
          </cell>
          <cell r="B1064" t="str">
            <v>NAN0006-0512060</v>
          </cell>
          <cell r="C1064" t="str">
            <v>E038</v>
          </cell>
          <cell r="D1064" t="str">
            <v>05</v>
          </cell>
          <cell r="E1064" t="str">
            <v>มุ้งไฟเบอร์ สีเทา 60 นิ้ว ตราแพนด้า</v>
          </cell>
          <cell r="F1064">
            <v>0</v>
          </cell>
          <cell r="G1064">
            <v>667.28980000000001</v>
          </cell>
        </row>
        <row r="1065">
          <cell r="A1065" t="str">
            <v>E039090901I1363000</v>
          </cell>
          <cell r="B1065" t="str">
            <v>NAN0000-0520036</v>
          </cell>
          <cell r="C1065" t="str">
            <v>E039</v>
          </cell>
          <cell r="D1065" t="str">
            <v>01</v>
          </cell>
          <cell r="E1065" t="str">
            <v>มุ้งลวด สีขาวอลู 36 นิ้ว ตราม้าบิน</v>
          </cell>
          <cell r="F1065">
            <v>2</v>
          </cell>
          <cell r="G1065">
            <v>1207.48</v>
          </cell>
        </row>
        <row r="1066">
          <cell r="A1066" t="str">
            <v>E039090901I1403000</v>
          </cell>
          <cell r="B1066" t="str">
            <v>NAN0000-0520040</v>
          </cell>
          <cell r="C1066" t="str">
            <v>E039</v>
          </cell>
          <cell r="D1066" t="str">
            <v>01</v>
          </cell>
          <cell r="E1066" t="str">
            <v>มุ้งลวด สีขาวอลู 40 นิ้ว ตราม้าบิน</v>
          </cell>
          <cell r="F1066">
            <v>0</v>
          </cell>
          <cell r="G1066">
            <v>0</v>
          </cell>
        </row>
        <row r="1067">
          <cell r="A1067" t="str">
            <v>E039090901I1423000</v>
          </cell>
          <cell r="B1067" t="str">
            <v>NAN0000-0520042</v>
          </cell>
          <cell r="C1067" t="str">
            <v>E039</v>
          </cell>
          <cell r="D1067" t="str">
            <v>01</v>
          </cell>
          <cell r="E1067" t="str">
            <v>มุ้งลวด สีขาวอลู 42 นิ้ว ตราม้าบิน</v>
          </cell>
          <cell r="F1067">
            <v>0</v>
          </cell>
          <cell r="G1067">
            <v>0</v>
          </cell>
        </row>
        <row r="1068">
          <cell r="A1068" t="str">
            <v>E039090901I1483000</v>
          </cell>
          <cell r="B1068" t="str">
            <v>NAN0000-0520048</v>
          </cell>
          <cell r="C1068" t="str">
            <v>E039</v>
          </cell>
          <cell r="D1068" t="str">
            <v>01</v>
          </cell>
          <cell r="E1068" t="str">
            <v>มุ้งลวด สีขาวอลู 48 นิ้ว ตราม้าบิน</v>
          </cell>
          <cell r="F1068">
            <v>2</v>
          </cell>
          <cell r="G1068">
            <v>1491.59</v>
          </cell>
        </row>
        <row r="1069">
          <cell r="A1069" t="str">
            <v>E039090902I1283000</v>
          </cell>
          <cell r="B1069" t="str">
            <v>NAN0002-0520028</v>
          </cell>
          <cell r="C1069" t="str">
            <v>E039</v>
          </cell>
          <cell r="D1069" t="str">
            <v>02</v>
          </cell>
          <cell r="E1069" t="str">
            <v>มุ้งลวด สีชา 28 นิ้ว ตราม้าบิน</v>
          </cell>
          <cell r="F1069">
            <v>1</v>
          </cell>
          <cell r="G1069">
            <v>888.23</v>
          </cell>
        </row>
        <row r="1070">
          <cell r="A1070" t="str">
            <v>E039090902I1303000</v>
          </cell>
          <cell r="B1070" t="str">
            <v>NAN0002-0520030</v>
          </cell>
          <cell r="C1070" t="str">
            <v>E039</v>
          </cell>
          <cell r="D1070" t="str">
            <v>02</v>
          </cell>
          <cell r="E1070" t="str">
            <v>มุ้งลวด สีชา 30 นิ้ว ตราม้าบิน</v>
          </cell>
          <cell r="F1070">
            <v>7</v>
          </cell>
          <cell r="G1070">
            <v>1448.97</v>
          </cell>
        </row>
        <row r="1071">
          <cell r="A1071" t="str">
            <v>E039090902I1323000</v>
          </cell>
          <cell r="B1071" t="str">
            <v>NAN0002-0520032</v>
          </cell>
          <cell r="C1071" t="str">
            <v>E039</v>
          </cell>
          <cell r="D1071" t="str">
            <v>02</v>
          </cell>
          <cell r="E1071" t="str">
            <v>มุ้งลวด สีชา 32 นิ้ว ตราม้าบิน</v>
          </cell>
          <cell r="F1071">
            <v>6</v>
          </cell>
          <cell r="G1071">
            <v>1534.21</v>
          </cell>
        </row>
        <row r="1072">
          <cell r="A1072" t="str">
            <v>E039090902I1363000</v>
          </cell>
          <cell r="B1072" t="str">
            <v>NAN0002-0520036</v>
          </cell>
          <cell r="C1072" t="str">
            <v>E039</v>
          </cell>
          <cell r="D1072" t="str">
            <v>02</v>
          </cell>
          <cell r="E1072" t="str">
            <v>มุ้งลวด สีชา 36 นิ้ว ตราม้าบิน</v>
          </cell>
          <cell r="F1072">
            <v>5</v>
          </cell>
          <cell r="G1072">
            <v>1704.67</v>
          </cell>
        </row>
        <row r="1073">
          <cell r="A1073" t="str">
            <v>E039090902I1403000</v>
          </cell>
          <cell r="B1073" t="str">
            <v>NAN0002-0520040</v>
          </cell>
          <cell r="C1073" t="str">
            <v>E039</v>
          </cell>
          <cell r="D1073" t="str">
            <v>02</v>
          </cell>
          <cell r="E1073" t="str">
            <v>มุ้งลวด สีชา 40 นิ้ว ตราม้าบิน</v>
          </cell>
          <cell r="F1073">
            <v>7</v>
          </cell>
          <cell r="G1073">
            <v>1280.3599999999999</v>
          </cell>
        </row>
        <row r="1074">
          <cell r="A1074" t="str">
            <v>E039090902I1423000</v>
          </cell>
          <cell r="B1074" t="str">
            <v>NAN0002-0520042</v>
          </cell>
          <cell r="C1074" t="str">
            <v>E039</v>
          </cell>
          <cell r="D1074" t="str">
            <v>02</v>
          </cell>
          <cell r="E1074" t="str">
            <v>มุ้งลวด สีชา 42 นิ้ว ตราม้าบิน</v>
          </cell>
          <cell r="F1074">
            <v>1</v>
          </cell>
          <cell r="G1074">
            <v>2116.64</v>
          </cell>
        </row>
        <row r="1075">
          <cell r="A1075" t="str">
            <v>E039090902I1483000</v>
          </cell>
          <cell r="B1075" t="str">
            <v>NAN0002-0520048</v>
          </cell>
          <cell r="C1075" t="str">
            <v>E039</v>
          </cell>
          <cell r="D1075" t="str">
            <v>02</v>
          </cell>
          <cell r="E1075" t="str">
            <v>มุ้งลวด สีชา 48 นิ้ว ตราม้าบิน</v>
          </cell>
          <cell r="F1075">
            <v>3</v>
          </cell>
          <cell r="G1075">
            <v>2457.5700000000002</v>
          </cell>
        </row>
        <row r="1076">
          <cell r="A1076" t="str">
            <v>E039090903I1283000</v>
          </cell>
          <cell r="B1076" t="str">
            <v>NAN0004-0520028</v>
          </cell>
          <cell r="C1076" t="str">
            <v>E039</v>
          </cell>
          <cell r="D1076" t="str">
            <v>03</v>
          </cell>
          <cell r="E1076" t="str">
            <v>มุ้งลวด สีดำ 28 นิ้ว ตราม้าบิน</v>
          </cell>
          <cell r="F1076">
            <v>0</v>
          </cell>
          <cell r="G1076">
            <v>0</v>
          </cell>
        </row>
        <row r="1077">
          <cell r="A1077" t="str">
            <v>E039090903I1303000</v>
          </cell>
          <cell r="B1077" t="str">
            <v>NAN0004-0520030</v>
          </cell>
          <cell r="C1077" t="str">
            <v>E039</v>
          </cell>
          <cell r="D1077" t="str">
            <v>03</v>
          </cell>
          <cell r="E1077" t="str">
            <v>มุ้งลวด สีดำ 30 นิ้ว ตราม้าบิน</v>
          </cell>
          <cell r="F1077">
            <v>0</v>
          </cell>
          <cell r="G1077">
            <v>0</v>
          </cell>
        </row>
        <row r="1078">
          <cell r="A1078" t="str">
            <v>E039090903I1323000</v>
          </cell>
          <cell r="B1078" t="str">
            <v>NAN0004-0520032</v>
          </cell>
          <cell r="C1078" t="str">
            <v>E039</v>
          </cell>
          <cell r="D1078" t="str">
            <v>03</v>
          </cell>
          <cell r="E1078" t="str">
            <v>มุ้งลวด สีดำ 32 นิ้ว ตราม้าบิน</v>
          </cell>
          <cell r="F1078">
            <v>2</v>
          </cell>
          <cell r="G1078">
            <v>1534.21</v>
          </cell>
        </row>
        <row r="1079">
          <cell r="A1079" t="str">
            <v>E039090903I1343000</v>
          </cell>
          <cell r="B1079" t="str">
            <v>NAN0004-0520034</v>
          </cell>
          <cell r="C1079" t="str">
            <v>E039</v>
          </cell>
          <cell r="D1079" t="str">
            <v>03</v>
          </cell>
          <cell r="E1079" t="str">
            <v>มุ้งลวด สีดำ 34 นิ้ว ตราม้าบิน</v>
          </cell>
          <cell r="F1079">
            <v>0</v>
          </cell>
          <cell r="G1079">
            <v>0</v>
          </cell>
        </row>
        <row r="1080">
          <cell r="A1080" t="str">
            <v>E039090903I1363000</v>
          </cell>
          <cell r="B1080" t="str">
            <v>NAN0004-0520036</v>
          </cell>
          <cell r="C1080" t="str">
            <v>E039</v>
          </cell>
          <cell r="D1080" t="str">
            <v>03</v>
          </cell>
          <cell r="E1080" t="str">
            <v>มุ้งลวด สีดำ 36 นิ้ว ตราม้าบิน</v>
          </cell>
          <cell r="F1080">
            <v>0</v>
          </cell>
          <cell r="G1080">
            <v>0</v>
          </cell>
        </row>
        <row r="1081">
          <cell r="A1081" t="str">
            <v>E039090903I1403000</v>
          </cell>
          <cell r="B1081" t="str">
            <v>NAN0004-0520040</v>
          </cell>
          <cell r="C1081" t="str">
            <v>E039</v>
          </cell>
          <cell r="D1081" t="str">
            <v>03</v>
          </cell>
          <cell r="E1081" t="str">
            <v>มุ้งลวด สีดำ 40 นิ้ว ตราม้าบิน</v>
          </cell>
          <cell r="F1081">
            <v>0</v>
          </cell>
          <cell r="G1081">
            <v>0</v>
          </cell>
        </row>
        <row r="1082">
          <cell r="A1082" t="str">
            <v>E039090903I1423000</v>
          </cell>
          <cell r="B1082" t="str">
            <v>NAN0004-0520042</v>
          </cell>
          <cell r="C1082" t="str">
            <v>E039</v>
          </cell>
          <cell r="D1082" t="str">
            <v>03</v>
          </cell>
          <cell r="E1082" t="str">
            <v>มุ้งลวด สีดำ 42 นิ้ว ตราม้าบิน</v>
          </cell>
          <cell r="F1082">
            <v>5</v>
          </cell>
          <cell r="G1082">
            <v>2116.64</v>
          </cell>
        </row>
        <row r="1083">
          <cell r="A1083" t="str">
            <v>E039090903I1483000</v>
          </cell>
          <cell r="B1083" t="str">
            <v>NAN0004-0520048</v>
          </cell>
          <cell r="C1083" t="str">
            <v>E039</v>
          </cell>
          <cell r="D1083" t="str">
            <v>03</v>
          </cell>
          <cell r="E1083" t="str">
            <v>มุ้งลวด สีดำ 48 นิ้ว ตราม้าบิน</v>
          </cell>
          <cell r="F1083">
            <v>8</v>
          </cell>
          <cell r="G1083">
            <v>2457.5700000000002</v>
          </cell>
        </row>
        <row r="1084">
          <cell r="A1084" t="str">
            <v>E039090903I3323000</v>
          </cell>
          <cell r="B1084" t="str">
            <v>NAN0004-0510032</v>
          </cell>
          <cell r="C1084" t="str">
            <v>E039</v>
          </cell>
          <cell r="D1084" t="str">
            <v>03</v>
          </cell>
          <cell r="E1084" t="str">
            <v>มุ้งไฟเบอร์ สีดำ 32 นิ้ว ตราม้าบิน</v>
          </cell>
          <cell r="F1084">
            <v>2</v>
          </cell>
          <cell r="G1084">
            <v>602.91999999999996</v>
          </cell>
        </row>
        <row r="1085">
          <cell r="A1085" t="str">
            <v>E039090903I3363000</v>
          </cell>
          <cell r="B1085" t="str">
            <v>NAN0004-0510036</v>
          </cell>
          <cell r="C1085" t="str">
            <v>E039</v>
          </cell>
          <cell r="D1085" t="str">
            <v>03</v>
          </cell>
          <cell r="E1085" t="str">
            <v>มุ้งไฟเบอร์ สีดำ 36 นิ้ว ตราม้าบิน</v>
          </cell>
          <cell r="F1085">
            <v>0</v>
          </cell>
          <cell r="G1085">
            <v>0</v>
          </cell>
        </row>
        <row r="1086">
          <cell r="A1086" t="str">
            <v>E039090903I3423000</v>
          </cell>
          <cell r="B1086" t="str">
            <v>NAN0004-0510042</v>
          </cell>
          <cell r="C1086" t="str">
            <v>E039</v>
          </cell>
          <cell r="D1086" t="str">
            <v>03</v>
          </cell>
          <cell r="E1086" t="str">
            <v>มุ้งไฟเบอร์ สีดำ 42 นิ้ว ตราม้าบิน</v>
          </cell>
          <cell r="F1086">
            <v>0</v>
          </cell>
          <cell r="G1086">
            <v>0</v>
          </cell>
        </row>
        <row r="1087">
          <cell r="A1087" t="str">
            <v>E039090903I3483000</v>
          </cell>
          <cell r="B1087" t="str">
            <v>NAN0004-0510048</v>
          </cell>
          <cell r="C1087" t="str">
            <v>E039</v>
          </cell>
          <cell r="D1087" t="str">
            <v>03</v>
          </cell>
          <cell r="E1087" t="str">
            <v>มุ้งไฟเบอร์ สีดำ 48 นิ้ว ตราม้าบิน</v>
          </cell>
          <cell r="F1087">
            <v>0</v>
          </cell>
          <cell r="G1087">
            <v>0</v>
          </cell>
        </row>
        <row r="1088">
          <cell r="A1088" t="str">
            <v>E041121103L0606200</v>
          </cell>
          <cell r="B1088" t="str">
            <v>NAH001-010606</v>
          </cell>
          <cell r="C1088" t="str">
            <v>E041</v>
          </cell>
          <cell r="D1088" t="str">
            <v>03</v>
          </cell>
          <cell r="E1088" t="str">
            <v>เทปกาว 2หน้า (SPIDER TAPE) หนา 6 มม. x 6 มม. x 2 ม.</v>
          </cell>
          <cell r="F1088">
            <v>184</v>
          </cell>
          <cell r="G1088">
            <v>24</v>
          </cell>
        </row>
        <row r="1089">
          <cell r="A1089" t="str">
            <v>E041121103L0609200</v>
          </cell>
          <cell r="B1089" t="str">
            <v>NAH001-010609</v>
          </cell>
          <cell r="C1089" t="str">
            <v>E041</v>
          </cell>
          <cell r="D1089" t="str">
            <v>03</v>
          </cell>
          <cell r="E1089" t="str">
            <v>เทปกาว 2หน้า (SPIDER TAPE)  หนา 6 มม. x 9 มม. x 2 ม.</v>
          </cell>
          <cell r="F1089">
            <v>0</v>
          </cell>
          <cell r="G1089">
            <v>0</v>
          </cell>
        </row>
        <row r="1090">
          <cell r="A1090" t="str">
            <v>E041121103L0610200</v>
          </cell>
          <cell r="B1090" t="str">
            <v>NAH001-010610</v>
          </cell>
          <cell r="C1090" t="str">
            <v>E041</v>
          </cell>
          <cell r="D1090" t="str">
            <v>03</v>
          </cell>
          <cell r="E1090" t="str">
            <v>เทปกาว 2หน้า (SPIDER TAPE) หนา 6 มม. x 10 มม. x 2 ม.</v>
          </cell>
          <cell r="F1090">
            <v>0</v>
          </cell>
          <cell r="G1090">
            <v>0</v>
          </cell>
        </row>
        <row r="1091">
          <cell r="A1091" t="str">
            <v>E041121103L0612200</v>
          </cell>
          <cell r="B1091" t="str">
            <v>NAH001-010612</v>
          </cell>
          <cell r="C1091" t="str">
            <v>E041</v>
          </cell>
          <cell r="D1091" t="str">
            <v>03</v>
          </cell>
          <cell r="E1091" t="str">
            <v>เทปกาว 2หน้า (SPIDER TAPE)  หนา 6 มม. x 12 มม. x 2 ม.</v>
          </cell>
          <cell r="F1091">
            <v>0</v>
          </cell>
          <cell r="G1091">
            <v>0</v>
          </cell>
        </row>
        <row r="1092">
          <cell r="A1092" t="str">
            <v>E041121103L0808200</v>
          </cell>
          <cell r="B1092" t="str">
            <v>NAH001-010808</v>
          </cell>
          <cell r="C1092" t="str">
            <v>E041</v>
          </cell>
          <cell r="D1092" t="str">
            <v>03</v>
          </cell>
          <cell r="E1092" t="str">
            <v>เทปกาว 2หน้า (SPIDER TAPE) หนา 8 มม. x 8 มม. x 2 ม.</v>
          </cell>
          <cell r="F1092">
            <v>217</v>
          </cell>
          <cell r="G1092">
            <v>44</v>
          </cell>
        </row>
        <row r="1093">
          <cell r="A1093" t="str">
            <v>E042120205L4861000</v>
          </cell>
          <cell r="B1093" t="str">
            <v>NAN0000-1101090</v>
          </cell>
          <cell r="C1093" t="str">
            <v>E042</v>
          </cell>
          <cell r="D1093" t="str">
            <v>05</v>
          </cell>
          <cell r="E1093" t="str">
            <v>สักหลาดบานเลื่อนสีเทา 4.8x6 SPECIAL LINE (100 ม.)</v>
          </cell>
          <cell r="F1093">
            <v>1087</v>
          </cell>
          <cell r="G1093">
            <v>63.551400000000001</v>
          </cell>
        </row>
        <row r="1094">
          <cell r="A1094" t="str">
            <v>E042120205L4864500</v>
          </cell>
          <cell r="B1094" t="str">
            <v>NAN0000-1101450</v>
          </cell>
          <cell r="C1094" t="str">
            <v>E042</v>
          </cell>
          <cell r="D1094" t="str">
            <v>05</v>
          </cell>
          <cell r="E1094" t="str">
            <v>สักหลาดบานเลื่อนสีเทา 4.8x6 SPECIAL LINE (450 ม.)</v>
          </cell>
          <cell r="F1094">
            <v>290</v>
          </cell>
          <cell r="G1094">
            <v>299.06540000000001</v>
          </cell>
        </row>
        <row r="1095">
          <cell r="A1095" t="str">
            <v>E042120305L6780500</v>
          </cell>
          <cell r="B1095" t="str">
            <v>NAN0000-1102045</v>
          </cell>
          <cell r="C1095" t="str">
            <v>E042</v>
          </cell>
          <cell r="D1095" t="str">
            <v>05</v>
          </cell>
          <cell r="E1095" t="str">
            <v>สักหลาดบานสวิงสีเทา 6.7x8 SPECIAL LINE (50 ม.)</v>
          </cell>
          <cell r="F1095">
            <v>563</v>
          </cell>
          <cell r="G1095">
            <v>56.0747</v>
          </cell>
        </row>
        <row r="1096">
          <cell r="A1096" t="str">
            <v>E042120305L6782200</v>
          </cell>
          <cell r="B1096" t="str">
            <v>NAN0000-1102225</v>
          </cell>
          <cell r="C1096" t="str">
            <v>E042</v>
          </cell>
          <cell r="D1096" t="str">
            <v>05</v>
          </cell>
          <cell r="E1096" t="str">
            <v>สักหลาดบานสวิงสีเทา 6.7x8 SPECIAL LINE (225 ม.)</v>
          </cell>
          <cell r="F1096">
            <v>131</v>
          </cell>
          <cell r="G1096">
            <v>261.68220000000002</v>
          </cell>
        </row>
        <row r="1097">
          <cell r="A1097" t="str">
            <v>E043120205L5061000</v>
          </cell>
          <cell r="B1097" t="str">
            <v>NAN0000-1121100</v>
          </cell>
          <cell r="C1097" t="str">
            <v>E043</v>
          </cell>
          <cell r="D1097" t="str">
            <v>05</v>
          </cell>
          <cell r="E1097" t="str">
            <v>สักหลาดบานเลื่อนสีเทา 5x6 Shangjia (100 ม.)</v>
          </cell>
          <cell r="F1097">
            <v>0</v>
          </cell>
          <cell r="G1097">
            <v>0</v>
          </cell>
        </row>
        <row r="1098">
          <cell r="A1098" t="str">
            <v>E043120305L7081000</v>
          </cell>
          <cell r="B1098" t="str">
            <v>NAN0000-1122100</v>
          </cell>
          <cell r="C1098" t="str">
            <v>E043</v>
          </cell>
          <cell r="D1098" t="str">
            <v>05</v>
          </cell>
          <cell r="E1098" t="str">
            <v>สักหลาดบานสวิงสีเทา 7x8 Shangjia (100 ม.)</v>
          </cell>
          <cell r="F1098">
            <v>0</v>
          </cell>
          <cell r="G1098">
            <v>0</v>
          </cell>
        </row>
        <row r="1099">
          <cell r="A1099" t="str">
            <v>E04513000000000000</v>
          </cell>
          <cell r="B1099" t="str">
            <v>NGH000-00000</v>
          </cell>
          <cell r="C1099" t="str">
            <v>E045</v>
          </cell>
          <cell r="D1099" t="str">
            <v>00</v>
          </cell>
          <cell r="E1099" t="str">
            <v>อุปกรณ์กระจก ยี่ห้อ KD (กลุ่ม)</v>
          </cell>
          <cell r="F1099">
            <v>0</v>
          </cell>
          <cell r="G1099">
            <v>0</v>
          </cell>
        </row>
        <row r="1100">
          <cell r="A1100" t="str">
            <v>E045131100M0000000</v>
          </cell>
          <cell r="B1100" t="str">
            <v>NGH002-04002</v>
          </cell>
          <cell r="C1100" t="str">
            <v>E045</v>
          </cell>
          <cell r="D1100" t="str">
            <v>00</v>
          </cell>
          <cell r="E1100" t="str">
            <v>ลูกล้อ Speed cutter KD (Blue)</v>
          </cell>
          <cell r="F1100">
            <v>554</v>
          </cell>
          <cell r="G1100">
            <v>47.663551401799999</v>
          </cell>
        </row>
        <row r="1101">
          <cell r="A1101" t="str">
            <v>E045131100M0009000</v>
          </cell>
          <cell r="B1101" t="str">
            <v>NGH002-04005</v>
          </cell>
          <cell r="C1101" t="str">
            <v>E045</v>
          </cell>
          <cell r="D1101" t="str">
            <v>00</v>
          </cell>
          <cell r="E1101" t="str">
            <v>Speed Cutter จีน ยาว 90 ซม. ยี่ห้อ Eagle</v>
          </cell>
          <cell r="F1101">
            <v>2</v>
          </cell>
          <cell r="G1101">
            <v>1668.2243000000001</v>
          </cell>
        </row>
        <row r="1102">
          <cell r="A1102" t="str">
            <v>E045131100M0012000</v>
          </cell>
          <cell r="B1102" t="str">
            <v>NGH002-04009</v>
          </cell>
          <cell r="C1102" t="str">
            <v>E045</v>
          </cell>
          <cell r="D1102" t="str">
            <v>00</v>
          </cell>
          <cell r="E1102" t="str">
            <v>Speed Cutter จีน ยาว 1.2 เมตร ยี่ห้อ Eagle</v>
          </cell>
          <cell r="F1102">
            <v>8</v>
          </cell>
          <cell r="G1102">
            <v>1707.9439252300001</v>
          </cell>
        </row>
        <row r="1103">
          <cell r="A1103" t="str">
            <v>E045131100M0015000</v>
          </cell>
          <cell r="B1103" t="str">
            <v>NGH002-04010</v>
          </cell>
          <cell r="C1103" t="str">
            <v>E045</v>
          </cell>
          <cell r="D1103" t="str">
            <v>00</v>
          </cell>
          <cell r="E1103" t="str">
            <v>Speed Cutter จีน ยาว 1.5 เมตร ยี่ห้อ Eagle</v>
          </cell>
          <cell r="F1103">
            <v>9</v>
          </cell>
          <cell r="G1103">
            <v>1747.6635514</v>
          </cell>
        </row>
        <row r="1104">
          <cell r="A1104" t="str">
            <v>E045131100M1300000</v>
          </cell>
          <cell r="B1104" t="str">
            <v>NGH002-04011</v>
          </cell>
          <cell r="C1104" t="str">
            <v>E045</v>
          </cell>
          <cell r="D1104" t="str">
            <v>00</v>
          </cell>
          <cell r="E1104" t="str">
            <v>ชุดกระบอกหัวตัด Oil Tank KD #BP-13</v>
          </cell>
          <cell r="F1104">
            <v>24</v>
          </cell>
          <cell r="G1104">
            <v>381.30841121399999</v>
          </cell>
        </row>
        <row r="1105">
          <cell r="A1105" t="str">
            <v>E045131100M1900000</v>
          </cell>
          <cell r="B1105" t="str">
            <v>NGH002-04007</v>
          </cell>
          <cell r="C1105" t="str">
            <v>E045</v>
          </cell>
          <cell r="D1105" t="str">
            <v>00</v>
          </cell>
          <cell r="E1105" t="str">
            <v>หัวตัด Speed cutter KD #BP-19</v>
          </cell>
          <cell r="F1105">
            <v>147</v>
          </cell>
          <cell r="G1105">
            <v>158.87850467199999</v>
          </cell>
        </row>
        <row r="1106">
          <cell r="A1106" t="str">
            <v>E046131100M0360300</v>
          </cell>
          <cell r="B1106" t="str">
            <v>NGH001-01001</v>
          </cell>
          <cell r="C1106" t="str">
            <v>E046</v>
          </cell>
          <cell r="D1106" t="str">
            <v>00</v>
          </cell>
          <cell r="E1106" t="str">
            <v xml:space="preserve">หัวยางดูดกระจกแผ่น สามหัว-เยอรมัน BOHLE #603 </v>
          </cell>
          <cell r="F1106">
            <v>22</v>
          </cell>
          <cell r="G1106">
            <v>2018.6914999999999</v>
          </cell>
        </row>
        <row r="1107">
          <cell r="A1107" t="str">
            <v>E046131100M0614100</v>
          </cell>
          <cell r="B1107" t="str">
            <v>NGH001-01003</v>
          </cell>
          <cell r="C1107" t="str">
            <v>E046</v>
          </cell>
          <cell r="D1107" t="str">
            <v>00</v>
          </cell>
          <cell r="E1107" t="str">
            <v>แผ่นยางดูดสีดำเยอรมัน (อะไหล่) 4 3/4" 120mm. Bohle #B0 614.1</v>
          </cell>
          <cell r="F1107">
            <v>28</v>
          </cell>
          <cell r="G1107">
            <v>560.75</v>
          </cell>
        </row>
        <row r="1108">
          <cell r="A1108" t="str">
            <v>E047040103D1000010</v>
          </cell>
          <cell r="B1108" t="str">
            <v>NAN0004-0241211</v>
          </cell>
          <cell r="C1108" t="str">
            <v>E047</v>
          </cell>
          <cell r="D1108" t="str">
            <v>03</v>
          </cell>
          <cell r="E1108" t="str">
            <v>มือจับกระทุ้งซ้าย (แปะ) สีดำ/หลังขาว TTP</v>
          </cell>
          <cell r="F1108">
            <v>0</v>
          </cell>
          <cell r="G1108">
            <v>0</v>
          </cell>
        </row>
        <row r="1109">
          <cell r="A1109" t="str">
            <v>E047040103D1000020</v>
          </cell>
          <cell r="B1109" t="str">
            <v>NAN0004-0241221</v>
          </cell>
          <cell r="C1109" t="str">
            <v>E047</v>
          </cell>
          <cell r="D1109" t="str">
            <v>03</v>
          </cell>
          <cell r="E1109" t="str">
            <v>มือจับกระทุ้งขวา (แปะ) สีดำ/หลังขาว TTP</v>
          </cell>
          <cell r="F1109">
            <v>0</v>
          </cell>
          <cell r="G1109">
            <v>0</v>
          </cell>
        </row>
        <row r="1110">
          <cell r="A1110" t="str">
            <v>E047040104D1000010</v>
          </cell>
          <cell r="B1110" t="str">
            <v>NAN0011-0241210</v>
          </cell>
          <cell r="C1110" t="str">
            <v>E047</v>
          </cell>
          <cell r="D1110" t="str">
            <v>04</v>
          </cell>
          <cell r="E1110" t="str">
            <v>มือจับกระทุ้งซ้าย (แปะ) สีอบขาว/หลังดำ TTP</v>
          </cell>
          <cell r="F1110">
            <v>11</v>
          </cell>
          <cell r="G1110">
            <v>32.71</v>
          </cell>
        </row>
        <row r="1111">
          <cell r="A1111" t="str">
            <v>E047040104D1000020</v>
          </cell>
          <cell r="B1111" t="str">
            <v>NAN0011-0241220</v>
          </cell>
          <cell r="C1111" t="str">
            <v>E047</v>
          </cell>
          <cell r="D1111" t="str">
            <v>04</v>
          </cell>
          <cell r="E1111" t="str">
            <v>มือจับกระทุ้งขวา (แปะ) สีอบขาว/หลังดำ TTP</v>
          </cell>
          <cell r="F1111">
            <v>0</v>
          </cell>
          <cell r="G1111">
            <v>0</v>
          </cell>
        </row>
        <row r="1112">
          <cell r="A1112" t="str">
            <v>E047141300N7900010</v>
          </cell>
          <cell r="B1112" t="str">
            <v>NTN0000-1210010</v>
          </cell>
          <cell r="C1112" t="str">
            <v>E047</v>
          </cell>
          <cell r="D1112" t="str">
            <v>00</v>
          </cell>
          <cell r="E1112" t="str">
            <v>สกรูเกลียวหัวเตเปอร์ (นิเกิ้ล) 3/8 นิ้ว No.7</v>
          </cell>
          <cell r="F1112">
            <v>24</v>
          </cell>
          <cell r="G1112">
            <v>89.17</v>
          </cell>
        </row>
        <row r="1113">
          <cell r="A1113" t="str">
            <v>E04813000000000000</v>
          </cell>
          <cell r="B1113" t="str">
            <v>NGH000-00000</v>
          </cell>
          <cell r="C1113" t="str">
            <v>E048</v>
          </cell>
          <cell r="D1113" t="str">
            <v>00</v>
          </cell>
          <cell r="E1113" t="str">
            <v>อุปกรณ์กระจก ยี่ห้อ K-STAR (กลุ่ม)</v>
          </cell>
          <cell r="F1113">
            <v>0</v>
          </cell>
          <cell r="G1113">
            <v>0</v>
          </cell>
        </row>
        <row r="1114">
          <cell r="A1114" t="str">
            <v>E048131100M0180800</v>
          </cell>
          <cell r="B1114" t="str">
            <v>NGH001-01004</v>
          </cell>
          <cell r="C1114" t="str">
            <v>E048</v>
          </cell>
          <cell r="D1114" t="str">
            <v>00</v>
          </cell>
          <cell r="E1114" t="str">
            <v xml:space="preserve">หัวยางดูดกระจกแผ่น หัวเดียว 8 นิ้ว (ชนิดปั๊มลม) K-Star #RP-808S </v>
          </cell>
          <cell r="F1114">
            <v>4</v>
          </cell>
          <cell r="G1114">
            <v>2990.65</v>
          </cell>
        </row>
        <row r="1115">
          <cell r="A1115" t="str">
            <v>E048131100M0190200</v>
          </cell>
          <cell r="B1115" t="str">
            <v>NGH002-04003</v>
          </cell>
          <cell r="C1115" t="str">
            <v>E048</v>
          </cell>
          <cell r="D1115" t="str">
            <v>00</v>
          </cell>
          <cell r="E1115" t="str">
            <v>หัวตัด Speed cutter K-star #EC-1902</v>
          </cell>
          <cell r="F1115">
            <v>0</v>
          </cell>
          <cell r="G1115">
            <v>0</v>
          </cell>
        </row>
        <row r="1116">
          <cell r="A1116" t="str">
            <v>E048131100Z0030800</v>
          </cell>
          <cell r="B1116" t="str">
            <v>NGH002-01006</v>
          </cell>
          <cell r="C1116" t="str">
            <v>E048</v>
          </cell>
          <cell r="D1116" t="str">
            <v>00</v>
          </cell>
          <cell r="E1116" t="str">
            <v>มีดตัดพร้อมหัวคาร์ไบค์ K-star #308 B (J)</v>
          </cell>
          <cell r="F1116">
            <v>0</v>
          </cell>
          <cell r="G1116">
            <v>0</v>
          </cell>
        </row>
        <row r="1117">
          <cell r="A1117" t="str">
            <v>E049131100M0008000</v>
          </cell>
          <cell r="B1117" t="str">
            <v>NGH004-01003</v>
          </cell>
          <cell r="C1117" t="str">
            <v>E049</v>
          </cell>
          <cell r="D1117" t="str">
            <v>00</v>
          </cell>
          <cell r="E1117" t="str">
            <v>จานฝนริมกระจกไฟเบอร์ 4นิ้ว-เบอร์ 80 KINIK #GC80BFL27</v>
          </cell>
          <cell r="F1117">
            <v>817</v>
          </cell>
          <cell r="G1117">
            <v>20.399999999999999</v>
          </cell>
        </row>
        <row r="1118">
          <cell r="A1118" t="str">
            <v>E049131100M0012000</v>
          </cell>
          <cell r="B1118" t="str">
            <v>NGH004-01004</v>
          </cell>
          <cell r="C1118" t="str">
            <v>E049</v>
          </cell>
          <cell r="D1118" t="str">
            <v>00</v>
          </cell>
          <cell r="E1118" t="str">
            <v>จานฝนริมกระจกไฟเบอร์ 4นิ้ว-เบอร์ 120 KINIK #GC120BFL27</v>
          </cell>
          <cell r="F1118">
            <v>742</v>
          </cell>
          <cell r="G1118">
            <v>20.399999999999999</v>
          </cell>
        </row>
        <row r="1119">
          <cell r="A1119" t="str">
            <v>E050131100M0010000</v>
          </cell>
          <cell r="B1119" t="str">
            <v>NGH004-01010</v>
          </cell>
          <cell r="C1119" t="str">
            <v>E050</v>
          </cell>
          <cell r="D1119" t="str">
            <v>00</v>
          </cell>
          <cell r="E1119" t="str">
            <v>หินฝนกระจก ขนาด115x32x0  GC100</v>
          </cell>
          <cell r="F1119">
            <v>187</v>
          </cell>
          <cell r="G1119">
            <v>238.31780000000001</v>
          </cell>
        </row>
        <row r="1120">
          <cell r="A1120" t="str">
            <v>E051141300N1000000</v>
          </cell>
          <cell r="B1120" t="str">
            <v>NTN0000-0908000</v>
          </cell>
          <cell r="C1120" t="str">
            <v>E051</v>
          </cell>
          <cell r="D1120" t="str">
            <v>00</v>
          </cell>
          <cell r="E1120" t="str">
            <v>ดอกสว่าน 1 หุน (JAPAN) TIGA</v>
          </cell>
          <cell r="F1120">
            <v>2092</v>
          </cell>
          <cell r="G1120">
            <v>10.28</v>
          </cell>
        </row>
        <row r="1121">
          <cell r="A1121" t="str">
            <v>E051141300N9640000</v>
          </cell>
          <cell r="B1121" t="str">
            <v>NTN0000-0908090</v>
          </cell>
          <cell r="C1121" t="str">
            <v>E051</v>
          </cell>
          <cell r="D1121" t="str">
            <v>00</v>
          </cell>
          <cell r="E1121" t="str">
            <v>ดอกสว่าน 9/64 นิ้ว (JAPAN) TIGA</v>
          </cell>
          <cell r="F1121">
            <v>1444</v>
          </cell>
          <cell r="G1121">
            <v>11.22</v>
          </cell>
        </row>
        <row r="1122">
          <cell r="A1122" t="str">
            <v>E05214000000000000</v>
          </cell>
          <cell r="B1122" t="str">
            <v>NAN0000</v>
          </cell>
          <cell r="C1122" t="str">
            <v>E052</v>
          </cell>
          <cell r="D1122" t="str">
            <v>00</v>
          </cell>
          <cell r="E1122" t="str">
            <v>Tools ยี่ห้อ สันติ (กลุ่ม)</v>
          </cell>
          <cell r="F1122">
            <v>0</v>
          </cell>
          <cell r="G1122">
            <v>0</v>
          </cell>
        </row>
        <row r="1123">
          <cell r="A1123" t="str">
            <v>E052141300N0000900</v>
          </cell>
          <cell r="B1123" t="str">
            <v>NTN0000-9902009</v>
          </cell>
          <cell r="C1123" t="str">
            <v>E052</v>
          </cell>
          <cell r="D1123" t="str">
            <v>00</v>
          </cell>
          <cell r="E1123" t="str">
            <v>เครื่องเจาะรูสันติ ระบายน้ำฉากกันตก #ST-09</v>
          </cell>
          <cell r="F1123">
            <v>0</v>
          </cell>
          <cell r="G1123">
            <v>0</v>
          </cell>
        </row>
        <row r="1124">
          <cell r="A1124" t="str">
            <v>E052141300N0001000</v>
          </cell>
          <cell r="B1124" t="str">
            <v>NTN0000-9901010</v>
          </cell>
          <cell r="C1124" t="str">
            <v>E052</v>
          </cell>
          <cell r="D1124" t="str">
            <v>00</v>
          </cell>
          <cell r="E1124" t="str">
            <v>เครื่องตัดอลูมิเนียมสันติ 10 นิ้ว #ST-10</v>
          </cell>
          <cell r="F1124">
            <v>2</v>
          </cell>
          <cell r="G1124">
            <v>18700</v>
          </cell>
        </row>
        <row r="1125">
          <cell r="A1125" t="str">
            <v>E052141300N0001100</v>
          </cell>
          <cell r="B1125" t="str">
            <v>NTN0000-9903011</v>
          </cell>
          <cell r="C1125" t="str">
            <v>E052</v>
          </cell>
          <cell r="D1125" t="str">
            <v>00</v>
          </cell>
          <cell r="E1125" t="str">
            <v>เครื่องก๊อปปี้เราเตอร์สันติ (มอเตอร์ใหญ่) รุ่นพัฒนา #ST-11</v>
          </cell>
          <cell r="F1125">
            <v>1</v>
          </cell>
          <cell r="G1125">
            <v>27810</v>
          </cell>
        </row>
        <row r="1126">
          <cell r="A1126" t="str">
            <v>E052141300N0001200</v>
          </cell>
          <cell r="B1126" t="str">
            <v>NTN0000-9901012</v>
          </cell>
          <cell r="C1126" t="str">
            <v>E052</v>
          </cell>
          <cell r="D1126" t="str">
            <v>00</v>
          </cell>
          <cell r="E1126" t="str">
            <v>เครื่องตัดอลูมิเนียมสันติ 12 นิ้ว #ST-12</v>
          </cell>
          <cell r="F1126">
            <v>2</v>
          </cell>
          <cell r="G1126">
            <v>20400</v>
          </cell>
        </row>
        <row r="1127">
          <cell r="A1127" t="str">
            <v>E053141300N7300010</v>
          </cell>
          <cell r="B1127" t="str">
            <v>NTN0000-1210025</v>
          </cell>
          <cell r="C1127" t="str">
            <v>E053</v>
          </cell>
          <cell r="D1127" t="str">
            <v>00</v>
          </cell>
          <cell r="E1127" t="str">
            <v>สกรูเกลียวเหล็ก หัวเตเปอร์แฉก F No. 7 x 1 นิ้ว</v>
          </cell>
          <cell r="F1127">
            <v>209</v>
          </cell>
          <cell r="G1127">
            <v>144.84112149532709</v>
          </cell>
        </row>
        <row r="1128">
          <cell r="A1128" t="str">
            <v>E053141300N7500010</v>
          </cell>
          <cell r="B1128" t="str">
            <v>NTN0000-1210015</v>
          </cell>
          <cell r="C1128" t="str">
            <v>E053</v>
          </cell>
          <cell r="D1128" t="str">
            <v>00</v>
          </cell>
          <cell r="E1128" t="str">
            <v>สกรูเกลียวเหล็ก หัวเตเปอร์แฉก F No.7 x 1.1/2 นิ้ว</v>
          </cell>
          <cell r="F1128">
            <v>172</v>
          </cell>
          <cell r="G1128">
            <v>111.86915887850468</v>
          </cell>
        </row>
        <row r="1129">
          <cell r="A1129" t="str">
            <v>E053141300N7600010</v>
          </cell>
          <cell r="B1129" t="str">
            <v>NTN0000-1210002</v>
          </cell>
          <cell r="C1129" t="str">
            <v>E053</v>
          </cell>
          <cell r="D1129" t="str">
            <v>00</v>
          </cell>
          <cell r="E1129" t="str">
            <v>สกรูเกลียวเหล็ก หัวเตเปอร์แฉก F No.7 x 2 นิ้ว</v>
          </cell>
          <cell r="F1129">
            <v>166</v>
          </cell>
          <cell r="G1129">
            <v>147.19626168224298</v>
          </cell>
        </row>
        <row r="1130">
          <cell r="A1130" t="str">
            <v>E053141300N7700010</v>
          </cell>
          <cell r="B1130" t="str">
            <v>NTN0000-1210003</v>
          </cell>
          <cell r="C1130" t="str">
            <v>E053</v>
          </cell>
          <cell r="D1130" t="str">
            <v>00</v>
          </cell>
          <cell r="E1130" t="str">
            <v>สกรูเกลียวเหล็ก หัวเตเปอร์แฉก F No.7 x 3 นิ้ว</v>
          </cell>
          <cell r="F1130">
            <v>246</v>
          </cell>
          <cell r="G1130">
            <v>141.30841121495325</v>
          </cell>
        </row>
        <row r="1131">
          <cell r="A1131" t="str">
            <v>E053141300N7800000</v>
          </cell>
          <cell r="B1131" t="str">
            <v>NTN0000-1220019</v>
          </cell>
          <cell r="C1131" t="str">
            <v>E053</v>
          </cell>
          <cell r="D1131" t="str">
            <v>00</v>
          </cell>
          <cell r="E1131" t="str">
            <v>สกรูเกลียวเหล็ก หัวกลมแฉก P No. 7 x 6 หุน</v>
          </cell>
          <cell r="F1131">
            <v>53</v>
          </cell>
          <cell r="G1131">
            <v>123.9813</v>
          </cell>
        </row>
        <row r="1132">
          <cell r="A1132" t="str">
            <v>E053141300N8300010</v>
          </cell>
          <cell r="B1132" t="str">
            <v>NTN0000-1211025</v>
          </cell>
          <cell r="C1132" t="str">
            <v>E053</v>
          </cell>
          <cell r="D1132" t="str">
            <v>00</v>
          </cell>
          <cell r="E1132" t="str">
            <v>สกรูเกลียวเหล็ก หัวเตเปอร์แฉก F No. 8 x 1 นิ้ว</v>
          </cell>
          <cell r="F1132">
            <v>206</v>
          </cell>
          <cell r="G1132">
            <v>164.85981308411218</v>
          </cell>
        </row>
        <row r="1133">
          <cell r="A1133" t="str">
            <v>E053141300N8500010</v>
          </cell>
          <cell r="B1133" t="str">
            <v>NTN0000-1211015</v>
          </cell>
          <cell r="C1133" t="str">
            <v>E053</v>
          </cell>
          <cell r="D1133" t="str">
            <v>00</v>
          </cell>
          <cell r="E1133" t="str">
            <v>สกรูเกลียวเหล็ก หัวเตเปอร์แฉก F No. 8 x 1.1/2 นิ้ว</v>
          </cell>
          <cell r="F1133">
            <v>268</v>
          </cell>
          <cell r="G1133">
            <v>126.58878504672896</v>
          </cell>
        </row>
        <row r="1134">
          <cell r="A1134" t="str">
            <v>E053141300N8600010</v>
          </cell>
          <cell r="B1134" t="str">
            <v>NTN0000-1211002</v>
          </cell>
          <cell r="C1134" t="str">
            <v>E053</v>
          </cell>
          <cell r="D1134" t="str">
            <v>00</v>
          </cell>
          <cell r="E1134" t="str">
            <v>สกรูเกลียวเหล็ก หัวเตเปอร์แฉก F No. 8 x 2 นิ้ว</v>
          </cell>
          <cell r="F1134">
            <v>351</v>
          </cell>
          <cell r="G1134">
            <v>176.63551401869159</v>
          </cell>
        </row>
        <row r="1135">
          <cell r="A1135" t="str">
            <v>E053141300N8700010</v>
          </cell>
          <cell r="B1135" t="str">
            <v>NTN0000-1211003</v>
          </cell>
          <cell r="C1135" t="str">
            <v>E053</v>
          </cell>
          <cell r="D1135" t="str">
            <v>00</v>
          </cell>
          <cell r="E1135" t="str">
            <v>สกรูเกลียวเหล็ก หัวเตเปอร์แฉก F No. 8 x 3 นิ้ว</v>
          </cell>
          <cell r="F1135">
            <v>466</v>
          </cell>
          <cell r="G1135">
            <v>176.63551401869159</v>
          </cell>
        </row>
        <row r="1136">
          <cell r="A1136" t="str">
            <v>E054151300P0400300</v>
          </cell>
          <cell r="B1136" t="str">
            <v>NTN0000-2101403</v>
          </cell>
          <cell r="C1136" t="str">
            <v>E054</v>
          </cell>
          <cell r="D1136" t="str">
            <v>00</v>
          </cell>
          <cell r="E1136" t="str">
            <v>แผ่นเจียรบาง ขนาด 4"x3 มม. มาราธอน</v>
          </cell>
          <cell r="F1136">
            <v>332</v>
          </cell>
          <cell r="G1136">
            <v>11.906156156156156</v>
          </cell>
        </row>
        <row r="1137">
          <cell r="A1137" t="str">
            <v>E054151300P0400600</v>
          </cell>
          <cell r="B1137" t="str">
            <v>NTN0000-2101406</v>
          </cell>
          <cell r="C1137" t="str">
            <v>E054</v>
          </cell>
          <cell r="D1137" t="str">
            <v>00</v>
          </cell>
          <cell r="E1137" t="str">
            <v>แผ่นเจียรหนา ขนาด 4"x6 มม. มาราธอน</v>
          </cell>
          <cell r="F1137">
            <v>297</v>
          </cell>
          <cell r="G1137">
            <v>11.4</v>
          </cell>
        </row>
        <row r="1138">
          <cell r="A1138" t="str">
            <v>E054151300P0402000</v>
          </cell>
          <cell r="B1138" t="str">
            <v>NTN0000-2102420</v>
          </cell>
          <cell r="C1138" t="str">
            <v>E054</v>
          </cell>
          <cell r="D1138" t="str">
            <v>00</v>
          </cell>
          <cell r="E1138" t="str">
            <v>ใบเพชรตัดคอนกรีต 4" ขนาด 105 x 2.0 x 20 มม. มาราธอน</v>
          </cell>
          <cell r="F1138">
            <v>10</v>
          </cell>
          <cell r="G1138">
            <v>79.44</v>
          </cell>
        </row>
        <row r="1139">
          <cell r="A1139" t="str">
            <v>E05514000000000000</v>
          </cell>
          <cell r="B1139" t="str">
            <v>NAN0000</v>
          </cell>
          <cell r="C1139" t="str">
            <v>E055</v>
          </cell>
          <cell r="D1139" t="str">
            <v>00</v>
          </cell>
          <cell r="E1139" t="str">
            <v>Tools ยี่ห้อ MAKITA (กลุ่ม)</v>
          </cell>
          <cell r="F1139">
            <v>0</v>
          </cell>
          <cell r="G1139">
            <v>0</v>
          </cell>
        </row>
        <row r="1140">
          <cell r="A1140" t="str">
            <v>E055151300P0400000</v>
          </cell>
          <cell r="B1140" t="str">
            <v>NTN0000-2103101</v>
          </cell>
          <cell r="C1140" t="str">
            <v>E055</v>
          </cell>
          <cell r="D1140" t="str">
            <v>00</v>
          </cell>
          <cell r="E1140" t="str">
            <v>ใบเจียร์กระจก/หิน 4 นิ้ว อ่อนตัว MAKITA</v>
          </cell>
          <cell r="F1140">
            <v>14</v>
          </cell>
          <cell r="G1140">
            <v>23.83</v>
          </cell>
        </row>
        <row r="1141">
          <cell r="A1141" t="str">
            <v>E055151300P0400200</v>
          </cell>
          <cell r="B1141" t="str">
            <v>NTN0000-2101101</v>
          </cell>
          <cell r="C1141" t="str">
            <v>E055</v>
          </cell>
          <cell r="D1141" t="str">
            <v>00</v>
          </cell>
          <cell r="E1141" t="str">
            <v>แผ่นเจียร์ 4 นิ้ว 2 มม. อ่อนตัว MAKITA</v>
          </cell>
          <cell r="F1141">
            <v>18</v>
          </cell>
          <cell r="G1141">
            <v>16.350000000000001</v>
          </cell>
        </row>
        <row r="1142">
          <cell r="A1142" t="str">
            <v>E055151300P0400600</v>
          </cell>
          <cell r="B1142" t="str">
            <v>NTN0000-2101006</v>
          </cell>
          <cell r="C1142" t="str">
            <v>E055</v>
          </cell>
          <cell r="D1142" t="str">
            <v>00</v>
          </cell>
          <cell r="E1142" t="str">
            <v>แผ่นเจียร์ 4x6 มม. (หนา) MAKITA</v>
          </cell>
          <cell r="F1142">
            <v>24</v>
          </cell>
          <cell r="G1142">
            <v>17.29</v>
          </cell>
        </row>
        <row r="1143">
          <cell r="A1143" t="str">
            <v>E05614000000000000</v>
          </cell>
          <cell r="B1143" t="str">
            <v>NAN0000</v>
          </cell>
          <cell r="C1143" t="str">
            <v>E056</v>
          </cell>
          <cell r="D1143" t="str">
            <v>00</v>
          </cell>
          <cell r="E1143" t="str">
            <v>Tools ยี่ห้อคนป่า (กลุ่ม)</v>
          </cell>
          <cell r="F1143">
            <v>0</v>
          </cell>
          <cell r="G1143">
            <v>0</v>
          </cell>
        </row>
        <row r="1144">
          <cell r="A1144" t="str">
            <v>E056141301N4200000</v>
          </cell>
          <cell r="B1144" t="str">
            <v>NTN0001-0906402</v>
          </cell>
          <cell r="C1144" t="str">
            <v>E056</v>
          </cell>
          <cell r="D1144" t="str">
            <v>01</v>
          </cell>
          <cell r="E1144" t="str">
            <v>รีเวท 4-2 สีขาวอลู ตราคนป่า</v>
          </cell>
          <cell r="F1144">
            <v>104</v>
          </cell>
          <cell r="G1144">
            <v>178.2</v>
          </cell>
        </row>
        <row r="1145">
          <cell r="A1145" t="str">
            <v>E056141301N4300000</v>
          </cell>
          <cell r="B1145" t="str">
            <v>NTN0001-0906403</v>
          </cell>
          <cell r="C1145" t="str">
            <v>E056</v>
          </cell>
          <cell r="D1145" t="str">
            <v>01</v>
          </cell>
          <cell r="E1145" t="str">
            <v>รีเวท 4-3 สีขาวอลู ตราคนป่า</v>
          </cell>
          <cell r="F1145">
            <v>228</v>
          </cell>
          <cell r="G1145">
            <v>199.8</v>
          </cell>
        </row>
        <row r="1146">
          <cell r="A1146" t="str">
            <v>E056141301N4400000</v>
          </cell>
          <cell r="B1146" t="str">
            <v>NTN0001-0906404</v>
          </cell>
          <cell r="C1146" t="str">
            <v>E056</v>
          </cell>
          <cell r="D1146" t="str">
            <v>01</v>
          </cell>
          <cell r="E1146" t="str">
            <v>รีเวท 4-4 สีขาวอลู ตราคนป่า</v>
          </cell>
          <cell r="F1146">
            <v>490</v>
          </cell>
          <cell r="G1146">
            <v>210.6</v>
          </cell>
        </row>
        <row r="1147">
          <cell r="A1147" t="str">
            <v>E056141301N4600000</v>
          </cell>
          <cell r="B1147" t="str">
            <v>NTN0001-0906406</v>
          </cell>
          <cell r="C1147" t="str">
            <v>E056</v>
          </cell>
          <cell r="D1147" t="str">
            <v>01</v>
          </cell>
          <cell r="E1147" t="str">
            <v>รีเวท 4-6สีขาวอลู ตราคนป่า</v>
          </cell>
          <cell r="F1147">
            <v>136</v>
          </cell>
          <cell r="G1147">
            <v>259.2</v>
          </cell>
        </row>
        <row r="1148">
          <cell r="A1148" t="str">
            <v>E056141302N4200000</v>
          </cell>
          <cell r="B1148" t="str">
            <v>NTN0002-0906402</v>
          </cell>
          <cell r="C1148" t="str">
            <v>E056</v>
          </cell>
          <cell r="D1148" t="str">
            <v>02</v>
          </cell>
          <cell r="E1148" t="str">
            <v>รีเวท 4-2 สีชา ตราคนป่า</v>
          </cell>
          <cell r="F1148">
            <v>342</v>
          </cell>
          <cell r="G1148">
            <v>321.3</v>
          </cell>
        </row>
        <row r="1149">
          <cell r="A1149" t="str">
            <v>E056141302N4300000</v>
          </cell>
          <cell r="B1149" t="str">
            <v>NTN0002-0906403</v>
          </cell>
          <cell r="C1149" t="str">
            <v>E056</v>
          </cell>
          <cell r="D1149" t="str">
            <v>02</v>
          </cell>
          <cell r="E1149" t="str">
            <v>รีเวท 4-3 สีชา ตราคนป่า</v>
          </cell>
          <cell r="F1149">
            <v>248</v>
          </cell>
          <cell r="G1149">
            <v>334.8</v>
          </cell>
        </row>
        <row r="1150">
          <cell r="A1150" t="str">
            <v>E056141302N4400000</v>
          </cell>
          <cell r="B1150" t="str">
            <v>NTN0002-0906404</v>
          </cell>
          <cell r="C1150" t="str">
            <v>E056</v>
          </cell>
          <cell r="D1150" t="str">
            <v>02</v>
          </cell>
          <cell r="E1150" t="str">
            <v>รีเวท 4-4 สีชา ตราคนป่า</v>
          </cell>
          <cell r="F1150">
            <v>177</v>
          </cell>
          <cell r="G1150">
            <v>342.9</v>
          </cell>
        </row>
        <row r="1151">
          <cell r="A1151" t="str">
            <v>E056141302N4600000</v>
          </cell>
          <cell r="B1151" t="str">
            <v>NTN0002-0906406</v>
          </cell>
          <cell r="C1151" t="str">
            <v>E056</v>
          </cell>
          <cell r="D1151" t="str">
            <v>02</v>
          </cell>
          <cell r="E1151" t="str">
            <v>รีเวท 4-6 สีชา ตราคนป่า</v>
          </cell>
          <cell r="F1151">
            <v>78</v>
          </cell>
          <cell r="G1151">
            <v>399.6</v>
          </cell>
        </row>
        <row r="1152">
          <cell r="A1152" t="str">
            <v>E056141303N4200000</v>
          </cell>
          <cell r="B1152" t="str">
            <v>NTN0004-0906402</v>
          </cell>
          <cell r="C1152" t="str">
            <v>E056</v>
          </cell>
          <cell r="D1152" t="str">
            <v>03</v>
          </cell>
          <cell r="E1152" t="str">
            <v>รีเวท 4-2 สีดำ ตราคนป่า</v>
          </cell>
          <cell r="F1152">
            <v>132</v>
          </cell>
          <cell r="G1152">
            <v>321.3</v>
          </cell>
        </row>
        <row r="1153">
          <cell r="A1153" t="str">
            <v>E056141303N4300000</v>
          </cell>
          <cell r="B1153" t="str">
            <v>NTN0004-0906403</v>
          </cell>
          <cell r="C1153" t="str">
            <v>E056</v>
          </cell>
          <cell r="D1153" t="str">
            <v>03</v>
          </cell>
          <cell r="E1153" t="str">
            <v>รีเวท 4-3 สีดำ ตราคนป่า</v>
          </cell>
          <cell r="F1153">
            <v>89</v>
          </cell>
          <cell r="G1153">
            <v>334.8</v>
          </cell>
        </row>
        <row r="1154">
          <cell r="A1154" t="str">
            <v>E056141303N4400000</v>
          </cell>
          <cell r="B1154" t="str">
            <v>NTN0004-0906404</v>
          </cell>
          <cell r="C1154" t="str">
            <v>E056</v>
          </cell>
          <cell r="D1154" t="str">
            <v>03</v>
          </cell>
          <cell r="E1154" t="str">
            <v>รีเวท 4-4 สีดำ ตราคนป่า</v>
          </cell>
          <cell r="F1154">
            <v>285</v>
          </cell>
          <cell r="G1154">
            <v>342.9</v>
          </cell>
        </row>
        <row r="1155">
          <cell r="A1155" t="str">
            <v>E056141303N4600000</v>
          </cell>
          <cell r="B1155" t="str">
            <v>NTN0004-0906406</v>
          </cell>
          <cell r="C1155" t="str">
            <v>E056</v>
          </cell>
          <cell r="D1155" t="str">
            <v>03</v>
          </cell>
          <cell r="E1155" t="str">
            <v>รีเวท 4-6 สีดำ ตราคนป่า</v>
          </cell>
          <cell r="F1155">
            <v>91</v>
          </cell>
          <cell r="G1155">
            <v>399.6</v>
          </cell>
        </row>
        <row r="1156">
          <cell r="A1156" t="str">
            <v>E056141304N4200000</v>
          </cell>
          <cell r="B1156" t="str">
            <v>NTN0011-0906402</v>
          </cell>
          <cell r="C1156" t="str">
            <v>E056</v>
          </cell>
          <cell r="D1156" t="str">
            <v>04</v>
          </cell>
          <cell r="E1156" t="str">
            <v>รีเวท 4-2 สีอบขาว ตราคนป่า</v>
          </cell>
          <cell r="F1156">
            <v>203</v>
          </cell>
          <cell r="G1156">
            <v>321.3</v>
          </cell>
        </row>
        <row r="1157">
          <cell r="A1157" t="str">
            <v>E056141304N4300000</v>
          </cell>
          <cell r="B1157" t="str">
            <v>NTN0011-0906403</v>
          </cell>
          <cell r="C1157" t="str">
            <v>E056</v>
          </cell>
          <cell r="D1157" t="str">
            <v>04</v>
          </cell>
          <cell r="E1157" t="str">
            <v>รีเวท 4-3 สีอบขาว ตราคนป่า</v>
          </cell>
          <cell r="F1157">
            <v>93</v>
          </cell>
          <cell r="G1157">
            <v>334.8</v>
          </cell>
        </row>
        <row r="1158">
          <cell r="A1158" t="str">
            <v>E056141304N4400000</v>
          </cell>
          <cell r="B1158" t="str">
            <v>NTN0011-0906404</v>
          </cell>
          <cell r="C1158" t="str">
            <v>E056</v>
          </cell>
          <cell r="D1158" t="str">
            <v>04</v>
          </cell>
          <cell r="E1158" t="str">
            <v>รีเวท 4-4 สีอบขาว ตราคนป่า</v>
          </cell>
          <cell r="F1158">
            <v>252</v>
          </cell>
          <cell r="G1158">
            <v>342.9</v>
          </cell>
        </row>
        <row r="1159">
          <cell r="A1159" t="str">
            <v>E056141304N4600000</v>
          </cell>
          <cell r="B1159" t="str">
            <v>NTN0011-0906406</v>
          </cell>
          <cell r="C1159" t="str">
            <v>E056</v>
          </cell>
          <cell r="D1159" t="str">
            <v>04</v>
          </cell>
          <cell r="E1159" t="str">
            <v>รีเวท 4-6 สีอบขาว ตราคนป่า</v>
          </cell>
          <cell r="F1159">
            <v>92</v>
          </cell>
          <cell r="G1159">
            <v>399.6</v>
          </cell>
        </row>
        <row r="1160">
          <cell r="A1160" t="str">
            <v>E057130400Z0005000</v>
          </cell>
          <cell r="B1160" t="str">
            <v>NGTSPF-S50L-S</v>
          </cell>
          <cell r="C1160" t="str">
            <v>E057</v>
          </cell>
          <cell r="D1160" t="str">
            <v>00</v>
          </cell>
          <cell r="E1160" t="str">
            <v>กุญแจล็อค S50L (ซาติน) STANLEY</v>
          </cell>
          <cell r="F1160">
            <v>0</v>
          </cell>
          <cell r="G1160">
            <v>0</v>
          </cell>
        </row>
        <row r="1161">
          <cell r="A1161" t="str">
            <v>E057141300N0500000</v>
          </cell>
          <cell r="B1161" t="str">
            <v>NTH002-06001</v>
          </cell>
          <cell r="C1161" t="str">
            <v>E057</v>
          </cell>
          <cell r="D1161" t="str">
            <v>00</v>
          </cell>
          <cell r="E1161" t="str">
            <v>ตลับเมตร 5 ม. STANLEY #TYLON 30-696N</v>
          </cell>
          <cell r="F1161">
            <v>162</v>
          </cell>
          <cell r="G1161">
            <v>154.2056</v>
          </cell>
        </row>
        <row r="1162">
          <cell r="A1162" t="str">
            <v>E058151300P6110010</v>
          </cell>
          <cell r="B1162" t="str">
            <v>NTN0000-1203612</v>
          </cell>
          <cell r="C1162" t="str">
            <v>E058</v>
          </cell>
          <cell r="D1162" t="str">
            <v>00</v>
          </cell>
          <cell r="E1162" t="str">
            <v>สกรูเกลียวเหล็กหัว F # 6 x 1/2" PS (100 ตัว)</v>
          </cell>
          <cell r="F1162">
            <v>44</v>
          </cell>
          <cell r="G1162">
            <v>18</v>
          </cell>
        </row>
        <row r="1163">
          <cell r="A1163" t="str">
            <v>E058151300P6110020</v>
          </cell>
          <cell r="B1163" t="str">
            <v>NTN0000-1204612</v>
          </cell>
          <cell r="C1163" t="str">
            <v>E058</v>
          </cell>
          <cell r="D1163" t="str">
            <v>00</v>
          </cell>
          <cell r="E1163" t="str">
            <v>สกรูเกลียวเหล็กหัว P # 6 x 1/2" PS (100 ตัว)</v>
          </cell>
          <cell r="F1163">
            <v>81</v>
          </cell>
          <cell r="G1163">
            <v>18</v>
          </cell>
        </row>
        <row r="1164">
          <cell r="A1164" t="str">
            <v>E058151300P6210010</v>
          </cell>
          <cell r="B1164" t="str">
            <v>NTN0000-1203619</v>
          </cell>
          <cell r="C1164" t="str">
            <v>E058</v>
          </cell>
          <cell r="D1164" t="str">
            <v>00</v>
          </cell>
          <cell r="E1164" t="str">
            <v>สกรูเกลียวเหล็กหัว F # 6 x 3/4" PS (100 ตัว)</v>
          </cell>
          <cell r="F1164">
            <v>37</v>
          </cell>
          <cell r="G1164">
            <v>20</v>
          </cell>
        </row>
        <row r="1165">
          <cell r="A1165" t="str">
            <v>E058151300P6210020</v>
          </cell>
          <cell r="B1165" t="str">
            <v>NTN0000-1204619</v>
          </cell>
          <cell r="C1165" t="str">
            <v>E058</v>
          </cell>
          <cell r="D1165" t="str">
            <v>00</v>
          </cell>
          <cell r="E1165" t="str">
            <v>สกรูเกลียวเหล็กหัว P # 6 x 3/4" PS (100 ตัว)</v>
          </cell>
          <cell r="F1165">
            <v>67</v>
          </cell>
          <cell r="G1165">
            <v>20</v>
          </cell>
        </row>
        <row r="1166">
          <cell r="A1166" t="str">
            <v>E058151300P6310010</v>
          </cell>
          <cell r="B1166" t="str">
            <v>NTN0000-1203625</v>
          </cell>
          <cell r="C1166" t="str">
            <v>E058</v>
          </cell>
          <cell r="D1166" t="str">
            <v>00</v>
          </cell>
          <cell r="E1166" t="str">
            <v>สกรูเกลียวเหล็กหัว F # 6 x 1" PS (100 ตัว)</v>
          </cell>
          <cell r="F1166">
            <v>45</v>
          </cell>
          <cell r="G1166">
            <v>24</v>
          </cell>
        </row>
        <row r="1167">
          <cell r="A1167" t="str">
            <v>E058151300P6310020</v>
          </cell>
          <cell r="B1167" t="str">
            <v>NTN0000-1204625</v>
          </cell>
          <cell r="C1167" t="str">
            <v>E058</v>
          </cell>
          <cell r="D1167" t="str">
            <v>00</v>
          </cell>
          <cell r="E1167" t="str">
            <v>สกรูเกลียวเหล็กหัว P # 6 x 1" PS (100 ตัว)</v>
          </cell>
          <cell r="F1167">
            <v>74</v>
          </cell>
          <cell r="G1167">
            <v>24</v>
          </cell>
        </row>
        <row r="1168">
          <cell r="A1168" t="str">
            <v>E058151300P6405010</v>
          </cell>
          <cell r="B1168" t="str">
            <v>NTN0000-1203631</v>
          </cell>
          <cell r="C1168" t="str">
            <v>E058</v>
          </cell>
          <cell r="D1168" t="str">
            <v>00</v>
          </cell>
          <cell r="E1168" t="str">
            <v>สกรูเกลียวเหล็กหัว F # 6 x 1-1/4" PS (50 ตัว)</v>
          </cell>
          <cell r="F1168">
            <v>52</v>
          </cell>
          <cell r="G1168">
            <v>17</v>
          </cell>
        </row>
        <row r="1169">
          <cell r="A1169" t="str">
            <v>E058151300P6405020</v>
          </cell>
          <cell r="B1169" t="str">
            <v>NTN0000-1204631</v>
          </cell>
          <cell r="C1169" t="str">
            <v>E058</v>
          </cell>
          <cell r="D1169" t="str">
            <v>00</v>
          </cell>
          <cell r="E1169" t="str">
            <v>สกรูเกลียวเหล็กหัว P # 6 x 1-1/4" PS (50 ตัว)</v>
          </cell>
          <cell r="F1169">
            <v>85</v>
          </cell>
          <cell r="G1169">
            <v>17</v>
          </cell>
        </row>
        <row r="1170">
          <cell r="A1170" t="str">
            <v>E058151300P6505010</v>
          </cell>
          <cell r="B1170" t="str">
            <v>NTN0000-1203638</v>
          </cell>
          <cell r="C1170" t="str">
            <v>E058</v>
          </cell>
          <cell r="D1170" t="str">
            <v>00</v>
          </cell>
          <cell r="E1170" t="str">
            <v>สกรูเกลียวเหล็กหัว F # 6 x 1-1/2" PS (50 ตัว)</v>
          </cell>
          <cell r="F1170">
            <v>49</v>
          </cell>
          <cell r="G1170">
            <v>19</v>
          </cell>
        </row>
        <row r="1171">
          <cell r="A1171" t="str">
            <v>E058151300P6505020</v>
          </cell>
          <cell r="B1171" t="str">
            <v>NTN0000-1204638</v>
          </cell>
          <cell r="C1171" t="str">
            <v>E058</v>
          </cell>
          <cell r="D1171" t="str">
            <v>00</v>
          </cell>
          <cell r="E1171" t="str">
            <v>สกรูเกลียวเหล็กหัว P # 6 x 1-1/2" PS (50 ตัว)</v>
          </cell>
          <cell r="F1171">
            <v>84</v>
          </cell>
          <cell r="G1171">
            <v>19</v>
          </cell>
        </row>
        <row r="1172">
          <cell r="A1172" t="str">
            <v>E058151300P7110010</v>
          </cell>
          <cell r="B1172" t="str">
            <v>NTN0000-1203712</v>
          </cell>
          <cell r="C1172" t="str">
            <v>E058</v>
          </cell>
          <cell r="D1172" t="str">
            <v>00</v>
          </cell>
          <cell r="E1172" t="str">
            <v>สกรูเกลียวเหล็กหัว F # 7 x 1/2" PS (100 ตัว)</v>
          </cell>
          <cell r="F1172">
            <v>70</v>
          </cell>
          <cell r="G1172">
            <v>20</v>
          </cell>
        </row>
        <row r="1173">
          <cell r="A1173" t="str">
            <v>E058151300P7110020</v>
          </cell>
          <cell r="B1173" t="str">
            <v>NTN0000-1204712</v>
          </cell>
          <cell r="C1173" t="str">
            <v>E058</v>
          </cell>
          <cell r="D1173" t="str">
            <v>00</v>
          </cell>
          <cell r="E1173" t="str">
            <v>สกรูเกลียวเหล็กหัว P # 7 x 1/2" PS (100 ตัว)</v>
          </cell>
          <cell r="F1173">
            <v>47</v>
          </cell>
          <cell r="G1173">
            <v>20</v>
          </cell>
        </row>
        <row r="1174">
          <cell r="A1174" t="str">
            <v>E058151300P7210010</v>
          </cell>
          <cell r="B1174" t="str">
            <v>NTN0000-1203719</v>
          </cell>
          <cell r="C1174" t="str">
            <v>E058</v>
          </cell>
          <cell r="D1174" t="str">
            <v>00</v>
          </cell>
          <cell r="E1174" t="str">
            <v>สกรูเกลียวเหล็กหัว F # 7 x 3/4" PS (100 ตัว)</v>
          </cell>
          <cell r="F1174">
            <v>51</v>
          </cell>
          <cell r="G1174">
            <v>24</v>
          </cell>
        </row>
        <row r="1175">
          <cell r="A1175" t="str">
            <v>E058151300P7210020</v>
          </cell>
          <cell r="B1175" t="str">
            <v>NTN0000-1204719</v>
          </cell>
          <cell r="C1175" t="str">
            <v>E058</v>
          </cell>
          <cell r="D1175" t="str">
            <v>00</v>
          </cell>
          <cell r="E1175" t="str">
            <v>สกรูเกลียวเหล็กหัว P # 7 x 3/4" PS (100 ตัว)</v>
          </cell>
          <cell r="F1175">
            <v>78</v>
          </cell>
          <cell r="G1175">
            <v>24</v>
          </cell>
        </row>
        <row r="1176">
          <cell r="A1176" t="str">
            <v>E058151300P7305020</v>
          </cell>
          <cell r="B1176" t="str">
            <v>NTN0000-1204726</v>
          </cell>
          <cell r="C1176" t="str">
            <v>E058</v>
          </cell>
          <cell r="D1176" t="str">
            <v>00</v>
          </cell>
          <cell r="E1176" t="str">
            <v>สกรูเกลียวเหล็กหัว P # 7 x 1" PS (50 ตัว)</v>
          </cell>
          <cell r="F1176">
            <v>81</v>
          </cell>
          <cell r="G1176">
            <v>14</v>
          </cell>
        </row>
        <row r="1177">
          <cell r="A1177" t="str">
            <v>E058151300P7310010</v>
          </cell>
          <cell r="B1177" t="str">
            <v>NTN0000-1203725</v>
          </cell>
          <cell r="C1177" t="str">
            <v>E058</v>
          </cell>
          <cell r="D1177" t="str">
            <v>00</v>
          </cell>
          <cell r="E1177" t="str">
            <v>สกรูเกลียวเหล็กหัว F # 7 x 1" PS (100 ตัว)</v>
          </cell>
          <cell r="F1177">
            <v>69</v>
          </cell>
          <cell r="G1177">
            <v>28</v>
          </cell>
        </row>
        <row r="1178">
          <cell r="A1178" t="str">
            <v>E058151300P7310020</v>
          </cell>
          <cell r="B1178" t="str">
            <v>NTN0000-1204725</v>
          </cell>
          <cell r="C1178" t="str">
            <v>E058</v>
          </cell>
          <cell r="D1178" t="str">
            <v>00</v>
          </cell>
          <cell r="E1178" t="str">
            <v>สกรูเกลียวเหล็กหัว P # 7 x 1" PS (100 ตัว)</v>
          </cell>
          <cell r="F1178">
            <v>95</v>
          </cell>
          <cell r="G1178">
            <v>28</v>
          </cell>
        </row>
        <row r="1179">
          <cell r="A1179" t="str">
            <v>E058151300P7405010</v>
          </cell>
          <cell r="B1179" t="str">
            <v>NTN0000-1203731</v>
          </cell>
          <cell r="C1179" t="str">
            <v>E058</v>
          </cell>
          <cell r="D1179" t="str">
            <v>00</v>
          </cell>
          <cell r="E1179" t="str">
            <v>สกรูเกลียวเหล็กหัว F # 7 x 1-1/4" PS (50 ตัว)</v>
          </cell>
          <cell r="F1179">
            <v>78</v>
          </cell>
          <cell r="G1179">
            <v>19</v>
          </cell>
        </row>
        <row r="1180">
          <cell r="A1180" t="str">
            <v>E058151300P7405020</v>
          </cell>
          <cell r="B1180" t="str">
            <v>NTN0000-1204731</v>
          </cell>
          <cell r="C1180" t="str">
            <v>E058</v>
          </cell>
          <cell r="D1180" t="str">
            <v>00</v>
          </cell>
          <cell r="E1180" t="str">
            <v>สกรูเกลียวเหล็กหัว P # 7 x 1-1/4" PS (50 ตัว)</v>
          </cell>
          <cell r="F1180">
            <v>63</v>
          </cell>
          <cell r="G1180">
            <v>19</v>
          </cell>
        </row>
        <row r="1181">
          <cell r="A1181" t="str">
            <v>E058151300P7505010</v>
          </cell>
          <cell r="B1181" t="str">
            <v>NTN0000-1203738</v>
          </cell>
          <cell r="C1181" t="str">
            <v>E058</v>
          </cell>
          <cell r="D1181" t="str">
            <v>00</v>
          </cell>
          <cell r="E1181" t="str">
            <v>สกรูเกลียวเหล็กหัว F # 7 x 1-1/2" PS (50 ตัว)</v>
          </cell>
          <cell r="F1181">
            <v>72</v>
          </cell>
          <cell r="G1181">
            <v>21</v>
          </cell>
        </row>
        <row r="1182">
          <cell r="A1182" t="str">
            <v>E058151300P7505020</v>
          </cell>
          <cell r="B1182" t="str">
            <v>NTN0000-1204738</v>
          </cell>
          <cell r="C1182" t="str">
            <v>E058</v>
          </cell>
          <cell r="D1182" t="str">
            <v>00</v>
          </cell>
          <cell r="E1182" t="str">
            <v>สกรูเกลียวเหล็กหัว P # 7 x 1-1/2" PS (50 ตัว)</v>
          </cell>
          <cell r="F1182">
            <v>96</v>
          </cell>
          <cell r="G1182">
            <v>21</v>
          </cell>
        </row>
        <row r="1183">
          <cell r="A1183" t="str">
            <v>E058151300P7510020</v>
          </cell>
          <cell r="B1183" t="str">
            <v>NTN0000-1204739</v>
          </cell>
          <cell r="C1183" t="str">
            <v>E058</v>
          </cell>
          <cell r="D1183" t="str">
            <v>00</v>
          </cell>
          <cell r="E1183" t="str">
            <v>สกรูเกลียวเหล็กหัว P # 7 x 1-1/2" PS (100 ตัว)</v>
          </cell>
          <cell r="F1183">
            <v>36</v>
          </cell>
          <cell r="G1183">
            <v>42</v>
          </cell>
        </row>
        <row r="1184">
          <cell r="A1184" t="str">
            <v>E058151300P7605010</v>
          </cell>
          <cell r="B1184" t="str">
            <v>NTN0000-1203750</v>
          </cell>
          <cell r="C1184" t="str">
            <v>E058</v>
          </cell>
          <cell r="D1184" t="str">
            <v>00</v>
          </cell>
          <cell r="E1184" t="str">
            <v>สกรูเกลียวเหล็กหัว F # 7 x 2" PS (50 ตัว)</v>
          </cell>
          <cell r="F1184">
            <v>63</v>
          </cell>
          <cell r="G1184">
            <v>24</v>
          </cell>
        </row>
        <row r="1185">
          <cell r="A1185" t="str">
            <v>E058151300P7610010</v>
          </cell>
          <cell r="B1185" t="str">
            <v>NTN0000-1203751</v>
          </cell>
          <cell r="C1185" t="str">
            <v>E058</v>
          </cell>
          <cell r="D1185" t="str">
            <v>00</v>
          </cell>
          <cell r="E1185" t="str">
            <v>สกรูเกลียวเหล็กหัว F # 7 x 2" PS (100 ตัว)</v>
          </cell>
          <cell r="F1185">
            <v>27</v>
          </cell>
          <cell r="G1185">
            <v>48</v>
          </cell>
        </row>
        <row r="1186">
          <cell r="A1186" t="str">
            <v>E058151300P7705010</v>
          </cell>
          <cell r="B1186" t="str">
            <v>NTN0000-1203776</v>
          </cell>
          <cell r="C1186" t="str">
            <v>E058</v>
          </cell>
          <cell r="D1186" t="str">
            <v>00</v>
          </cell>
          <cell r="E1186" t="str">
            <v>สกรูเกลียวเหล็กหัว F # 7 x 3" PS (50 ตัว)</v>
          </cell>
          <cell r="F1186">
            <v>0</v>
          </cell>
          <cell r="G1186">
            <v>0</v>
          </cell>
        </row>
        <row r="1187">
          <cell r="A1187" t="str">
            <v>E058151300P7710010</v>
          </cell>
          <cell r="B1187" t="str">
            <v>NTN0000-1203777</v>
          </cell>
          <cell r="C1187" t="str">
            <v>E058</v>
          </cell>
          <cell r="D1187" t="str">
            <v>00</v>
          </cell>
          <cell r="E1187" t="str">
            <v>สกรูเกลียวเหล็กหัว F # 7 x 3" PS (100 ตัว)</v>
          </cell>
          <cell r="F1187">
            <v>0</v>
          </cell>
          <cell r="G1187">
            <v>0</v>
          </cell>
        </row>
        <row r="1188">
          <cell r="A1188" t="str">
            <v>E058151300P8102520</v>
          </cell>
          <cell r="B1188" t="str">
            <v>NTN0000-1214812</v>
          </cell>
          <cell r="C1188" t="str">
            <v>E058</v>
          </cell>
          <cell r="D1188" t="str">
            <v>00</v>
          </cell>
          <cell r="E1188" t="str">
            <v>สกรูเกลียวปลายสว่านหัว P # 8 x 1/2" PS (25 ตัว)</v>
          </cell>
          <cell r="F1188">
            <v>9</v>
          </cell>
          <cell r="G1188">
            <v>11</v>
          </cell>
        </row>
        <row r="1189">
          <cell r="A1189" t="str">
            <v>E058151300P8110010</v>
          </cell>
          <cell r="B1189" t="str">
            <v>NTN0000-1203812</v>
          </cell>
          <cell r="C1189" t="str">
            <v>E058</v>
          </cell>
          <cell r="D1189" t="str">
            <v>00</v>
          </cell>
          <cell r="E1189" t="str">
            <v>สกรูเกลียวเหล็กหัว F # 8 x 1/2" PS (100 ตัว)</v>
          </cell>
          <cell r="F1189">
            <v>51</v>
          </cell>
          <cell r="G1189">
            <v>22</v>
          </cell>
        </row>
        <row r="1190">
          <cell r="A1190" t="str">
            <v>E058151300P8110020</v>
          </cell>
          <cell r="B1190" t="str">
            <v>NTN0000-1204812</v>
          </cell>
          <cell r="C1190" t="str">
            <v>E058</v>
          </cell>
          <cell r="D1190" t="str">
            <v>00</v>
          </cell>
          <cell r="E1190" t="str">
            <v>สกรูเกลียวเหล็กหัว P # 8 x 1/2" PS (100 ตัว)</v>
          </cell>
          <cell r="F1190">
            <v>38</v>
          </cell>
          <cell r="G1190">
            <v>22</v>
          </cell>
        </row>
        <row r="1191">
          <cell r="A1191" t="str">
            <v>E058151300P8202520</v>
          </cell>
          <cell r="B1191" t="str">
            <v>NTN0000-1214819</v>
          </cell>
          <cell r="C1191" t="str">
            <v>E058</v>
          </cell>
          <cell r="D1191" t="str">
            <v>00</v>
          </cell>
          <cell r="E1191" t="str">
            <v>สกรูเกลียวปลายสว่านหัว P # 8 x 3/4" PS (25 ตัว)</v>
          </cell>
          <cell r="F1191">
            <v>0</v>
          </cell>
          <cell r="G1191">
            <v>0</v>
          </cell>
        </row>
        <row r="1192">
          <cell r="A1192" t="str">
            <v>E058151300P8302520</v>
          </cell>
          <cell r="B1192" t="str">
            <v>NTN0000-1214825</v>
          </cell>
          <cell r="C1192" t="str">
            <v>E058</v>
          </cell>
          <cell r="D1192" t="str">
            <v>00</v>
          </cell>
          <cell r="E1192" t="str">
            <v>สกรูเกลียวปลายสว่านหัว P # 8 x 1" PS (25 ตัว)</v>
          </cell>
          <cell r="F1192">
            <v>65</v>
          </cell>
          <cell r="G1192">
            <v>14</v>
          </cell>
        </row>
        <row r="1193">
          <cell r="A1193" t="str">
            <v>E058151300P8310010</v>
          </cell>
          <cell r="B1193" t="str">
            <v>NTN0000-1203825</v>
          </cell>
          <cell r="C1193" t="str">
            <v>E058</v>
          </cell>
          <cell r="D1193" t="str">
            <v>00</v>
          </cell>
          <cell r="E1193" t="str">
            <v>สกรูเกลียวเหล็กหัว F # 8 x 1" PS (100 ตัว)</v>
          </cell>
          <cell r="F1193">
            <v>44</v>
          </cell>
          <cell r="G1193">
            <v>31</v>
          </cell>
        </row>
        <row r="1194">
          <cell r="A1194" t="str">
            <v>E058151300P8310020</v>
          </cell>
          <cell r="B1194" t="str">
            <v>NTN0000-1204825</v>
          </cell>
          <cell r="C1194" t="str">
            <v>E058</v>
          </cell>
          <cell r="D1194" t="str">
            <v>00</v>
          </cell>
          <cell r="E1194" t="str">
            <v>สกรูเกลียวเหล็กหัว P # 8 x 1" PS (100 ตัว)</v>
          </cell>
          <cell r="F1194">
            <v>66</v>
          </cell>
          <cell r="G1194">
            <v>31</v>
          </cell>
        </row>
        <row r="1195">
          <cell r="A1195" t="str">
            <v>E058151300P8402520</v>
          </cell>
          <cell r="B1195" t="str">
            <v>NTN0000-1214831</v>
          </cell>
          <cell r="C1195" t="str">
            <v>E058</v>
          </cell>
          <cell r="D1195" t="str">
            <v>00</v>
          </cell>
          <cell r="E1195" t="str">
            <v>สกรูเกลียวปลายสว่านหัว P # 8 x 1-1/4" PS (25 ตัว)</v>
          </cell>
          <cell r="F1195">
            <v>4</v>
          </cell>
          <cell r="G1195">
            <v>18</v>
          </cell>
        </row>
        <row r="1196">
          <cell r="A1196" t="str">
            <v>E058151300P8405010</v>
          </cell>
          <cell r="B1196" t="str">
            <v>NTN0000-1203831</v>
          </cell>
          <cell r="C1196" t="str">
            <v>E058</v>
          </cell>
          <cell r="D1196" t="str">
            <v>00</v>
          </cell>
          <cell r="E1196" t="str">
            <v>สกรูเกลียวเหล็กหัว F # 8 x 1-1/4" PS (50 ตัว)</v>
          </cell>
          <cell r="F1196">
            <v>62</v>
          </cell>
          <cell r="G1196">
            <v>21</v>
          </cell>
        </row>
        <row r="1197">
          <cell r="A1197" t="str">
            <v>E058151300P8405020</v>
          </cell>
          <cell r="B1197" t="str">
            <v>NTN0000-1204831</v>
          </cell>
          <cell r="C1197" t="str">
            <v>E058</v>
          </cell>
          <cell r="D1197" t="str">
            <v>00</v>
          </cell>
          <cell r="E1197" t="str">
            <v>สกรูเกลียวเหล็กหัว P # 8 x 1-1/4" PS (50 ตัว)</v>
          </cell>
          <cell r="F1197">
            <v>111</v>
          </cell>
          <cell r="G1197">
            <v>21</v>
          </cell>
        </row>
        <row r="1198">
          <cell r="A1198" t="str">
            <v>E058151300P8502520</v>
          </cell>
          <cell r="B1198" t="str">
            <v>NTN0000-1214838</v>
          </cell>
          <cell r="C1198" t="str">
            <v>E058</v>
          </cell>
          <cell r="D1198" t="str">
            <v>00</v>
          </cell>
          <cell r="E1198" t="str">
            <v>สกรูเกลียวปลายสว่านหัว P # 8 x 1-1/2" PS (25 ตัว)</v>
          </cell>
          <cell r="F1198">
            <v>30</v>
          </cell>
          <cell r="G1198">
            <v>17</v>
          </cell>
        </row>
        <row r="1199">
          <cell r="A1199" t="str">
            <v>E058151300P8505010</v>
          </cell>
          <cell r="B1199" t="str">
            <v>NTN0000-1203838</v>
          </cell>
          <cell r="C1199" t="str">
            <v>E058</v>
          </cell>
          <cell r="D1199" t="str">
            <v>00</v>
          </cell>
          <cell r="E1199" t="str">
            <v>สกรูเกลียวเหล็กหัว F # 8 x 1-1/2" PS (50 ตัว)</v>
          </cell>
          <cell r="F1199">
            <v>52</v>
          </cell>
          <cell r="G1199">
            <v>24</v>
          </cell>
        </row>
        <row r="1200">
          <cell r="A1200" t="str">
            <v>E058151300P8505020</v>
          </cell>
          <cell r="B1200" t="str">
            <v>NTN0000-1204838</v>
          </cell>
          <cell r="C1200" t="str">
            <v>E058</v>
          </cell>
          <cell r="D1200" t="str">
            <v>00</v>
          </cell>
          <cell r="E1200" t="str">
            <v>สกรูเกลียวเหล็กหัว P # 8 x 1-1/2" PS (50 ตัว)</v>
          </cell>
          <cell r="F1200">
            <v>90</v>
          </cell>
          <cell r="G1200">
            <v>24</v>
          </cell>
        </row>
        <row r="1201">
          <cell r="A1201" t="str">
            <v>E058151300P8602520</v>
          </cell>
          <cell r="B1201" t="str">
            <v>NTN0000-1214850</v>
          </cell>
          <cell r="C1201" t="str">
            <v>E058</v>
          </cell>
          <cell r="D1201" t="str">
            <v>00</v>
          </cell>
          <cell r="E1201" t="str">
            <v>สกรูเกลียวปลายสว่านหัว P # 8 x 2" PS (25 ตัว)</v>
          </cell>
          <cell r="F1201">
            <v>0</v>
          </cell>
          <cell r="G1201">
            <v>25</v>
          </cell>
        </row>
        <row r="1202">
          <cell r="A1202" t="str">
            <v>E058151300P8605010</v>
          </cell>
          <cell r="B1202" t="str">
            <v>NTN0000-1203850</v>
          </cell>
          <cell r="C1202" t="str">
            <v>E058</v>
          </cell>
          <cell r="D1202" t="str">
            <v>00</v>
          </cell>
          <cell r="E1202" t="str">
            <v>สกรูเกลียวเหล็กหัว F # 8 x 2" PS (50 ตัว)</v>
          </cell>
          <cell r="F1202">
            <v>36</v>
          </cell>
          <cell r="G1202">
            <v>28</v>
          </cell>
        </row>
        <row r="1203">
          <cell r="A1203" t="str">
            <v>E058151300P8605020</v>
          </cell>
          <cell r="B1203" t="str">
            <v>NTN0000-1204850</v>
          </cell>
          <cell r="C1203" t="str">
            <v>E058</v>
          </cell>
          <cell r="D1203" t="str">
            <v>00</v>
          </cell>
          <cell r="E1203" t="str">
            <v>สกรูเกลียวเหล็กหัว P # 8 x 2" PS (50 ตัว)</v>
          </cell>
          <cell r="F1203">
            <v>56</v>
          </cell>
          <cell r="G1203">
            <v>28</v>
          </cell>
        </row>
        <row r="1204">
          <cell r="A1204" t="str">
            <v>E058151301P4202500</v>
          </cell>
          <cell r="B1204" t="str">
            <v>NTN0001-0905402</v>
          </cell>
          <cell r="C1204" t="str">
            <v>E058</v>
          </cell>
          <cell r="D1204" t="str">
            <v>01</v>
          </cell>
          <cell r="E1204" t="str">
            <v>รีเวท 4-2 สีขาวอลู PS (25 ตัว)</v>
          </cell>
          <cell r="F1204">
            <v>36</v>
          </cell>
          <cell r="G1204">
            <v>11</v>
          </cell>
        </row>
        <row r="1205">
          <cell r="A1205" t="str">
            <v>E058151301P4302500</v>
          </cell>
          <cell r="B1205" t="str">
            <v>NTN0001-0905403</v>
          </cell>
          <cell r="C1205" t="str">
            <v>E058</v>
          </cell>
          <cell r="D1205" t="str">
            <v>01</v>
          </cell>
          <cell r="E1205" t="str">
            <v>รีเวท 4-3 สีขาวอลู PS (25 ตัว)</v>
          </cell>
          <cell r="F1205">
            <v>37</v>
          </cell>
          <cell r="G1205">
            <v>11</v>
          </cell>
        </row>
        <row r="1206">
          <cell r="A1206" t="str">
            <v>E058151301P4402500</v>
          </cell>
          <cell r="B1206" t="str">
            <v>NTN0001-0905404</v>
          </cell>
          <cell r="C1206" t="str">
            <v>E058</v>
          </cell>
          <cell r="D1206" t="str">
            <v>01</v>
          </cell>
          <cell r="E1206" t="str">
            <v>รีเวท 4-4 สีขาวอลู  PS (25 ตัว)</v>
          </cell>
          <cell r="F1206">
            <v>23</v>
          </cell>
          <cell r="G1206">
            <v>11</v>
          </cell>
        </row>
        <row r="1207">
          <cell r="A1207" t="str">
            <v>E058151301P4405000</v>
          </cell>
          <cell r="B1207" t="str">
            <v>NTN0001-0955404</v>
          </cell>
          <cell r="C1207" t="str">
            <v>E058</v>
          </cell>
          <cell r="D1207" t="str">
            <v>01</v>
          </cell>
          <cell r="E1207" t="str">
            <v>รีเวท 4-4 สีขาวอลู  PS (50 ตัว)</v>
          </cell>
          <cell r="F1207">
            <v>5</v>
          </cell>
          <cell r="G1207">
            <v>22</v>
          </cell>
        </row>
        <row r="1208">
          <cell r="A1208" t="str">
            <v>E058151301P4502500</v>
          </cell>
          <cell r="B1208" t="str">
            <v>NTN0001-0905405</v>
          </cell>
          <cell r="C1208" t="str">
            <v>E058</v>
          </cell>
          <cell r="D1208" t="str">
            <v>01</v>
          </cell>
          <cell r="E1208" t="str">
            <v>รีเวท 4-5 สีขาวอลู  PS (25 ตัว)</v>
          </cell>
          <cell r="F1208">
            <v>114</v>
          </cell>
          <cell r="G1208">
            <v>13</v>
          </cell>
        </row>
        <row r="1209">
          <cell r="A1209" t="str">
            <v>E058151301P4505000</v>
          </cell>
          <cell r="B1209" t="str">
            <v>NTN0001-0955405</v>
          </cell>
          <cell r="C1209" t="str">
            <v>E058</v>
          </cell>
          <cell r="D1209" t="str">
            <v>01</v>
          </cell>
          <cell r="E1209" t="str">
            <v>รีเวท 4-5 สีขาวอลู  PS (50 ตัว)</v>
          </cell>
          <cell r="F1209">
            <v>32</v>
          </cell>
          <cell r="G1209">
            <v>26</v>
          </cell>
        </row>
        <row r="1210">
          <cell r="A1210" t="str">
            <v>E058151301P4602500</v>
          </cell>
          <cell r="B1210" t="str">
            <v>NTN0001-0905406</v>
          </cell>
          <cell r="C1210" t="str">
            <v>E058</v>
          </cell>
          <cell r="D1210" t="str">
            <v>01</v>
          </cell>
          <cell r="E1210" t="str">
            <v>รีเวท 4-6 สีขาวอลู  PS (25 ตัว)</v>
          </cell>
          <cell r="F1210">
            <v>173</v>
          </cell>
          <cell r="G1210">
            <v>13</v>
          </cell>
        </row>
        <row r="1211">
          <cell r="A1211" t="str">
            <v>E058151301P4605000</v>
          </cell>
          <cell r="B1211" t="str">
            <v>NTN0001-0955406</v>
          </cell>
          <cell r="C1211" t="str">
            <v>E058</v>
          </cell>
          <cell r="D1211" t="str">
            <v>01</v>
          </cell>
          <cell r="E1211" t="str">
            <v>รีเวท 4-6 สีขาวอลู  PS (50 ตัว)</v>
          </cell>
          <cell r="F1211">
            <v>81</v>
          </cell>
          <cell r="G1211">
            <v>26</v>
          </cell>
        </row>
        <row r="1212">
          <cell r="A1212" t="str">
            <v>E058151301P5302500</v>
          </cell>
          <cell r="B1212" t="str">
            <v>NTN0001-0905503</v>
          </cell>
          <cell r="C1212" t="str">
            <v>E058</v>
          </cell>
          <cell r="D1212" t="str">
            <v>01</v>
          </cell>
          <cell r="E1212" t="str">
            <v>รีเวท 5-3 สีขาวอลู  PS (25 ตัว)</v>
          </cell>
          <cell r="F1212">
            <v>53</v>
          </cell>
          <cell r="G1212">
            <v>13</v>
          </cell>
        </row>
        <row r="1213">
          <cell r="A1213" t="str">
            <v>E058151301P5402500</v>
          </cell>
          <cell r="B1213" t="str">
            <v>NTN0001-0905504</v>
          </cell>
          <cell r="C1213" t="str">
            <v>E058</v>
          </cell>
          <cell r="D1213" t="str">
            <v>01</v>
          </cell>
          <cell r="E1213" t="str">
            <v>รีเวท 5-4 สีขาวอลู  PS (25 ตัว)</v>
          </cell>
          <cell r="F1213">
            <v>88</v>
          </cell>
          <cell r="G1213">
            <v>14</v>
          </cell>
        </row>
        <row r="1214">
          <cell r="A1214" t="str">
            <v>E058151301P5502500</v>
          </cell>
          <cell r="B1214" t="str">
            <v>NTN0001-0905505</v>
          </cell>
          <cell r="C1214" t="str">
            <v>E058</v>
          </cell>
          <cell r="D1214" t="str">
            <v>01</v>
          </cell>
          <cell r="E1214" t="str">
            <v>รีเวท 5-5 สีขาวอลู  PS (25 ตัว)</v>
          </cell>
          <cell r="F1214">
            <v>81</v>
          </cell>
          <cell r="G1214">
            <v>14</v>
          </cell>
        </row>
        <row r="1215">
          <cell r="A1215" t="str">
            <v>E058151301P5602500</v>
          </cell>
          <cell r="B1215" t="str">
            <v>NTN0001-0905506</v>
          </cell>
          <cell r="C1215" t="str">
            <v>E058</v>
          </cell>
          <cell r="D1215" t="str">
            <v>01</v>
          </cell>
          <cell r="E1215" t="str">
            <v>รีเวท 5-6 สีขาวอลู  PS (25 ตัว)</v>
          </cell>
          <cell r="F1215">
            <v>74</v>
          </cell>
          <cell r="G1215">
            <v>15</v>
          </cell>
        </row>
        <row r="1216">
          <cell r="A1216" t="str">
            <v>E058151303P2520002</v>
          </cell>
          <cell r="B1216" t="str">
            <v>NTN0000-9905025</v>
          </cell>
          <cell r="C1216" t="str">
            <v>E058</v>
          </cell>
          <cell r="D1216" t="str">
            <v>03</v>
          </cell>
          <cell r="E1216" t="str">
            <v>เทปกันลื่น ภายนอกอาคาร สีดำ ขนาด 2.5 ซม. x 2 ม.</v>
          </cell>
          <cell r="F1216">
            <v>25</v>
          </cell>
          <cell r="G1216">
            <v>55</v>
          </cell>
        </row>
        <row r="1217">
          <cell r="A1217" t="str">
            <v>E058151304P0110000</v>
          </cell>
          <cell r="B1217" t="str">
            <v>NTN0000-1205000</v>
          </cell>
          <cell r="C1217" t="str">
            <v>E058</v>
          </cell>
          <cell r="D1217" t="str">
            <v>04</v>
          </cell>
          <cell r="E1217" t="str">
            <v>พุกยึดผนังกลวงรุ่นปีกผีเสื้อ สีขาว (100 ตัว)</v>
          </cell>
          <cell r="F1217">
            <v>61</v>
          </cell>
          <cell r="G1217">
            <v>80</v>
          </cell>
        </row>
        <row r="1218">
          <cell r="A1218" t="str">
            <v>E058151304P0810025</v>
          </cell>
          <cell r="B1218" t="str">
            <v>NTN0000-2225080</v>
          </cell>
          <cell r="C1218" t="str">
            <v>E058</v>
          </cell>
          <cell r="D1218" t="str">
            <v>04</v>
          </cell>
          <cell r="E1218" t="str">
            <v>สายรัดสายไฟ 2.5 x 80 มม.(100 เส้น)</v>
          </cell>
          <cell r="F1218">
            <v>77</v>
          </cell>
          <cell r="G1218">
            <v>15</v>
          </cell>
        </row>
        <row r="1219">
          <cell r="A1219" t="str">
            <v>E058151304P1010025</v>
          </cell>
          <cell r="B1219" t="str">
            <v>NTN0000-2225100</v>
          </cell>
          <cell r="C1219" t="str">
            <v>E058</v>
          </cell>
          <cell r="D1219" t="str">
            <v>04</v>
          </cell>
          <cell r="E1219" t="str">
            <v>สายรัดสายไฟ 2.5 x 100 มม.(100 เส้น)</v>
          </cell>
          <cell r="F1219">
            <v>74</v>
          </cell>
          <cell r="G1219">
            <v>17</v>
          </cell>
        </row>
        <row r="1220">
          <cell r="A1220" t="str">
            <v>E058151304P1101010</v>
          </cell>
          <cell r="B1220" t="str">
            <v>NTN0000-1203110</v>
          </cell>
          <cell r="C1220" t="str">
            <v>E058</v>
          </cell>
          <cell r="D1220" t="str">
            <v>04</v>
          </cell>
          <cell r="E1220" t="str">
            <v>พุกพลาสติก สีขาว + สกรูกลียวเหล็ก F # 10 (10 ชุด)</v>
          </cell>
          <cell r="F1220">
            <v>65</v>
          </cell>
          <cell r="G1220">
            <v>16</v>
          </cell>
        </row>
        <row r="1221">
          <cell r="A1221" t="str">
            <v>E058151304P1101020</v>
          </cell>
          <cell r="B1221" t="str">
            <v>NTN0000-1204110</v>
          </cell>
          <cell r="C1221" t="str">
            <v>E058</v>
          </cell>
          <cell r="D1221" t="str">
            <v>04</v>
          </cell>
          <cell r="E1221" t="str">
            <v>พุกพลาสติก สีขาว + สกรูกลียวเหล็ก P # 10 (10 ชุด)</v>
          </cell>
          <cell r="F1221">
            <v>73</v>
          </cell>
          <cell r="G1221">
            <v>15</v>
          </cell>
        </row>
        <row r="1222">
          <cell r="A1222" t="str">
            <v>E058151304P1102500</v>
          </cell>
          <cell r="B1222" t="str">
            <v>NTN0000-1202110</v>
          </cell>
          <cell r="C1222" t="str">
            <v>E058</v>
          </cell>
          <cell r="D1222" t="str">
            <v>04</v>
          </cell>
          <cell r="E1222" t="str">
            <v>พุกพลาสติก สีขาว#10 (25 ตัว)</v>
          </cell>
          <cell r="F1222">
            <v>71</v>
          </cell>
          <cell r="G1222">
            <v>11</v>
          </cell>
        </row>
        <row r="1223">
          <cell r="A1223" t="str">
            <v>E058151304P1510036</v>
          </cell>
          <cell r="B1223" t="str">
            <v>NTN0000-2236150</v>
          </cell>
          <cell r="C1223" t="str">
            <v>E058</v>
          </cell>
          <cell r="D1223" t="str">
            <v>04</v>
          </cell>
          <cell r="E1223" t="str">
            <v>สายรัดสายไฟ 3.6 x 150 มม.(100 เส้น)</v>
          </cell>
          <cell r="F1223">
            <v>73</v>
          </cell>
          <cell r="G1223">
            <v>30</v>
          </cell>
        </row>
        <row r="1224">
          <cell r="A1224" t="str">
            <v>E058151304P2010036</v>
          </cell>
          <cell r="B1224" t="str">
            <v>NTN0000-2236200</v>
          </cell>
          <cell r="C1224" t="str">
            <v>E058</v>
          </cell>
          <cell r="D1224" t="str">
            <v>04</v>
          </cell>
          <cell r="E1224" t="str">
            <v>สายรัดสายไฟ 3.6 x 200 มม.(100 เส้น)</v>
          </cell>
          <cell r="F1224">
            <v>66</v>
          </cell>
          <cell r="G1224">
            <v>39</v>
          </cell>
        </row>
        <row r="1225">
          <cell r="A1225" t="str">
            <v>E058151304P5101010</v>
          </cell>
          <cell r="B1225" t="str">
            <v>NTN0000-1203055</v>
          </cell>
          <cell r="C1225" t="str">
            <v>E058</v>
          </cell>
          <cell r="D1225" t="str">
            <v>04</v>
          </cell>
          <cell r="E1225" t="str">
            <v>พุกพลาสติก สีขาว + สกรูกลียวเหล็ก F # 5 (10 ชุด)</v>
          </cell>
          <cell r="F1225">
            <v>72</v>
          </cell>
          <cell r="G1225">
            <v>8</v>
          </cell>
        </row>
        <row r="1226">
          <cell r="A1226" t="str">
            <v>E058151304P5101020</v>
          </cell>
          <cell r="B1226" t="str">
            <v>NTN0000-1204055</v>
          </cell>
          <cell r="C1226" t="str">
            <v>E058</v>
          </cell>
          <cell r="D1226" t="str">
            <v>04</v>
          </cell>
          <cell r="E1226" t="str">
            <v>พุกพลาสติก สีขาว + สกรูกลียวเหล็ก P # 5 (10 ชุด)</v>
          </cell>
          <cell r="F1226">
            <v>75</v>
          </cell>
          <cell r="G1226">
            <v>8</v>
          </cell>
        </row>
        <row r="1227">
          <cell r="A1227" t="str">
            <v>E058151304P5102500</v>
          </cell>
          <cell r="B1227" t="str">
            <v>NTN0000-1202055</v>
          </cell>
          <cell r="C1227" t="str">
            <v>E058</v>
          </cell>
          <cell r="D1227" t="str">
            <v>04</v>
          </cell>
          <cell r="E1227" t="str">
            <v xml:space="preserve">พุกพลาสติก สีขาว #5 (25 ตัว) </v>
          </cell>
          <cell r="F1227">
            <v>74</v>
          </cell>
          <cell r="G1227">
            <v>7</v>
          </cell>
        </row>
        <row r="1228">
          <cell r="A1228" t="str">
            <v>E058151304P6101010</v>
          </cell>
          <cell r="B1228" t="str">
            <v>NTN0000-1203066</v>
          </cell>
          <cell r="C1228" t="str">
            <v>E058</v>
          </cell>
          <cell r="D1228" t="str">
            <v>04</v>
          </cell>
          <cell r="E1228" t="str">
            <v>พุกพลาสติก สีขาว + สกรูกลียวเหล็ก F # 6 (10 ชุด)</v>
          </cell>
          <cell r="F1228">
            <v>75</v>
          </cell>
          <cell r="G1228">
            <v>9</v>
          </cell>
        </row>
        <row r="1229">
          <cell r="A1229" t="str">
            <v>E058151304P6101020</v>
          </cell>
          <cell r="B1229" t="str">
            <v>NTN0000-1204066</v>
          </cell>
          <cell r="C1229" t="str">
            <v>E058</v>
          </cell>
          <cell r="D1229" t="str">
            <v>04</v>
          </cell>
          <cell r="E1229" t="str">
            <v>พุกพลาสติก สีขาว + สกรูกลียวเหล็ก P # 6 (10 ชุด)</v>
          </cell>
          <cell r="F1229">
            <v>85</v>
          </cell>
          <cell r="G1229">
            <v>9</v>
          </cell>
        </row>
        <row r="1230">
          <cell r="A1230" t="str">
            <v>E058151304P6102500</v>
          </cell>
          <cell r="B1230" t="str">
            <v>NTN0000-1202066</v>
          </cell>
          <cell r="C1230" t="str">
            <v>E058</v>
          </cell>
          <cell r="D1230" t="str">
            <v>04</v>
          </cell>
          <cell r="E1230" t="str">
            <v>พุกพลาสติก สีขาว #6 (25 ตัว)</v>
          </cell>
          <cell r="F1230">
            <v>56</v>
          </cell>
          <cell r="G1230">
            <v>8</v>
          </cell>
        </row>
        <row r="1231">
          <cell r="A1231" t="str">
            <v>E058151304P6200600</v>
          </cell>
          <cell r="B1231" t="str">
            <v>NTN0000-1205066</v>
          </cell>
          <cell r="C1231" t="str">
            <v>E058</v>
          </cell>
          <cell r="D1231" t="str">
            <v>04</v>
          </cell>
          <cell r="E1231" t="str">
            <v>พุกอิฐบล็อค สีขาว  + สกรูกลียวเหล็ก # 6 (6 ชุด)</v>
          </cell>
          <cell r="F1231">
            <v>80</v>
          </cell>
          <cell r="G1231">
            <v>8</v>
          </cell>
        </row>
        <row r="1232">
          <cell r="A1232" t="str">
            <v>E058151304P7101010</v>
          </cell>
          <cell r="B1232" t="str">
            <v>NTN0000-1203077</v>
          </cell>
          <cell r="C1232" t="str">
            <v>E058</v>
          </cell>
          <cell r="D1232" t="str">
            <v>04</v>
          </cell>
          <cell r="E1232" t="str">
            <v>พุกพลาสติก สีขาว + สกรูกลียวเหล็ก F # 7 (10 ชุด)</v>
          </cell>
          <cell r="F1232">
            <v>71</v>
          </cell>
          <cell r="G1232">
            <v>10</v>
          </cell>
        </row>
        <row r="1233">
          <cell r="A1233" t="str">
            <v>E058151304P7101020</v>
          </cell>
          <cell r="B1233" t="str">
            <v>NTN0000-1204077</v>
          </cell>
          <cell r="C1233" t="str">
            <v>E058</v>
          </cell>
          <cell r="D1233" t="str">
            <v>04</v>
          </cell>
          <cell r="E1233" t="str">
            <v>พุกพลาสติก สีขาว + สกรูกลียวเหล็ก P # 7 (10 ชุด)</v>
          </cell>
          <cell r="F1233">
            <v>82</v>
          </cell>
          <cell r="G1233">
            <v>10</v>
          </cell>
        </row>
        <row r="1234">
          <cell r="A1234" t="str">
            <v>E058151304P7102500</v>
          </cell>
          <cell r="B1234" t="str">
            <v>NTN0000-1202077</v>
          </cell>
          <cell r="C1234" t="str">
            <v>E058</v>
          </cell>
          <cell r="D1234" t="str">
            <v>04</v>
          </cell>
          <cell r="E1234" t="str">
            <v>พุกพลาสติก สีขาว #7 (25 ตัว)</v>
          </cell>
          <cell r="F1234">
            <v>42</v>
          </cell>
          <cell r="G1234">
            <v>9</v>
          </cell>
        </row>
        <row r="1235">
          <cell r="A1235" t="str">
            <v>E058151304P7200600</v>
          </cell>
          <cell r="B1235" t="str">
            <v>NTN0000-1205077</v>
          </cell>
          <cell r="C1235" t="str">
            <v>E058</v>
          </cell>
          <cell r="D1235" t="str">
            <v>04</v>
          </cell>
          <cell r="E1235" t="str">
            <v>พุกอิฐบล็อค สีขาว + สกรูกลียวเหล็ก # 7 (6 ชุด)</v>
          </cell>
          <cell r="F1235">
            <v>109</v>
          </cell>
          <cell r="G1235">
            <v>9</v>
          </cell>
        </row>
        <row r="1236">
          <cell r="A1236" t="str">
            <v>E058151304P8101010</v>
          </cell>
          <cell r="B1236" t="str">
            <v>NTN0000-1203088</v>
          </cell>
          <cell r="C1236" t="str">
            <v>E058</v>
          </cell>
          <cell r="D1236" t="str">
            <v>04</v>
          </cell>
          <cell r="E1236" t="str">
            <v>พุกพลาสติก สีขาว + สกรูกลียวเหล็ก F # 8 (10 ชุด)</v>
          </cell>
          <cell r="F1236">
            <v>140</v>
          </cell>
          <cell r="G1236">
            <v>11</v>
          </cell>
        </row>
        <row r="1237">
          <cell r="A1237" t="str">
            <v>E058151304P8101020</v>
          </cell>
          <cell r="B1237" t="str">
            <v>NTN0000-1204088</v>
          </cell>
          <cell r="C1237" t="str">
            <v>E058</v>
          </cell>
          <cell r="D1237" t="str">
            <v>04</v>
          </cell>
          <cell r="E1237" t="str">
            <v>พุกพลาสติก สีขาว + สกรูกลียวเหล็ก P # 8 (10 ชุด)</v>
          </cell>
          <cell r="F1237">
            <v>154</v>
          </cell>
          <cell r="G1237">
            <v>11</v>
          </cell>
        </row>
        <row r="1238">
          <cell r="A1238" t="str">
            <v>E058151304P8102500</v>
          </cell>
          <cell r="B1238" t="str">
            <v>NTN0000-1202088</v>
          </cell>
          <cell r="C1238" t="str">
            <v>E058</v>
          </cell>
          <cell r="D1238" t="str">
            <v>04</v>
          </cell>
          <cell r="E1238" t="str">
            <v>พุกพลาสติก สีขาว #8 (25 ตัว)</v>
          </cell>
          <cell r="F1238">
            <v>127</v>
          </cell>
          <cell r="G1238">
            <v>10</v>
          </cell>
        </row>
        <row r="1239">
          <cell r="A1239" t="str">
            <v>E058151304P8200600</v>
          </cell>
          <cell r="B1239" t="str">
            <v>NTN0000-1205088</v>
          </cell>
          <cell r="C1239" t="str">
            <v>E058</v>
          </cell>
          <cell r="D1239" t="str">
            <v>04</v>
          </cell>
          <cell r="E1239" t="str">
            <v>พุกอิฐบล็อค สีขาว + สกรูกลียวเหล็ก # 8 (6 ชุด)</v>
          </cell>
          <cell r="F1239">
            <v>76</v>
          </cell>
          <cell r="G1239">
            <v>10</v>
          </cell>
        </row>
        <row r="1240">
          <cell r="A1240" t="str">
            <v>E058151305P2520001</v>
          </cell>
          <cell r="B1240" t="str">
            <v>NTN0000-9904025</v>
          </cell>
          <cell r="C1240" t="str">
            <v>E058</v>
          </cell>
          <cell r="D1240" t="str">
            <v>05</v>
          </cell>
          <cell r="E1240" t="str">
            <v>เทปกันลื่น ภายในอาคาร สีเทา ขนาด 2.5 ซม. x 2 ม.</v>
          </cell>
          <cell r="F1240">
            <v>25</v>
          </cell>
          <cell r="G1240">
            <v>55</v>
          </cell>
        </row>
        <row r="1241">
          <cell r="A1241" t="str">
            <v>E059151303P1901000</v>
          </cell>
          <cell r="B1241" t="str">
            <v>NTN0004-2209500</v>
          </cell>
          <cell r="C1241" t="str">
            <v>E059</v>
          </cell>
          <cell r="D1241" t="str">
            <v>03</v>
          </cell>
          <cell r="E1241" t="str">
            <v>เทปพันสายไฟ สีดำ 19 มม.x 10 ม.120 Mic (มอก.) Armstrong</v>
          </cell>
          <cell r="F1241">
            <v>72</v>
          </cell>
          <cell r="G1241">
            <v>9.4499999999999993</v>
          </cell>
        </row>
        <row r="1242">
          <cell r="A1242" t="str">
            <v>E059151303P2401000</v>
          </cell>
          <cell r="B1242" t="str">
            <v>NTN0004-2210010</v>
          </cell>
          <cell r="C1242" t="str">
            <v>E059</v>
          </cell>
          <cell r="D1242" t="str">
            <v>03</v>
          </cell>
          <cell r="E1242" t="str">
            <v>เทปโฟมกาว 2 หน้า สีดำ 24 มม.x 10 ม. Armstrong #BF1010 HAVANA</v>
          </cell>
          <cell r="F1242">
            <v>22</v>
          </cell>
          <cell r="G1242">
            <v>90.2</v>
          </cell>
        </row>
        <row r="1243">
          <cell r="A1243" t="str">
            <v>E059151304P2401000</v>
          </cell>
          <cell r="B1243" t="str">
            <v>NTN0001-2211010</v>
          </cell>
          <cell r="C1243" t="str">
            <v>E059</v>
          </cell>
          <cell r="D1243" t="str">
            <v>04</v>
          </cell>
          <cell r="E1243" t="str">
            <v>เทปโฟมกาว 2 หน้า สีขาว 24 มม.x 10 ม. Armstrong #WF1010-STP</v>
          </cell>
          <cell r="F1243">
            <v>5</v>
          </cell>
          <cell r="G1243">
            <v>60.5</v>
          </cell>
        </row>
        <row r="1244">
          <cell r="A1244" t="str">
            <v>E059151319P2402000</v>
          </cell>
          <cell r="B1244" t="str">
            <v>NTN0000-2240000</v>
          </cell>
          <cell r="C1244" t="str">
            <v>E059</v>
          </cell>
          <cell r="D1244">
            <v>19</v>
          </cell>
          <cell r="E1244" t="str">
            <v>เทปกาวย่น 24 มม x 20 หลา Armstrong</v>
          </cell>
          <cell r="F1244">
            <v>40</v>
          </cell>
          <cell r="G1244">
            <v>12.4</v>
          </cell>
        </row>
        <row r="1245">
          <cell r="A1245" t="str">
            <v>E059151319P4802000</v>
          </cell>
          <cell r="B1245" t="str">
            <v>NTN0000-2241000</v>
          </cell>
          <cell r="C1245" t="str">
            <v>E059</v>
          </cell>
          <cell r="D1245">
            <v>19</v>
          </cell>
          <cell r="E1245" t="str">
            <v>เทปกาวย่น 48 มม x 20 หลา Armstrong</v>
          </cell>
          <cell r="F1245">
            <v>44</v>
          </cell>
          <cell r="G1245">
            <v>24.8</v>
          </cell>
        </row>
        <row r="1246">
          <cell r="A1246" t="str">
            <v>E060151300P0001000</v>
          </cell>
          <cell r="B1246" t="str">
            <v>NTN0000-3004100</v>
          </cell>
          <cell r="C1246" t="str">
            <v>E060</v>
          </cell>
          <cell r="D1246" t="str">
            <v>00</v>
          </cell>
          <cell r="E1246" t="str">
            <v>ปลั๊กยาง DATA 16A สายไฟ VCT 3x1.5 10 ม. #HD9</v>
          </cell>
          <cell r="F1246">
            <v>6</v>
          </cell>
          <cell r="G1246">
            <v>359.16</v>
          </cell>
        </row>
        <row r="1247">
          <cell r="A1247" t="str">
            <v>E060151300P2000500</v>
          </cell>
          <cell r="B1247" t="str">
            <v>NTN0000-3014050</v>
          </cell>
          <cell r="C1247" t="str">
            <v>E060</v>
          </cell>
          <cell r="D1247" t="str">
            <v>00</v>
          </cell>
          <cell r="E1247" t="str">
            <v>รางปลั๊ก DATA HD9SU2M3 2 ช่อง 5 ม. #HD9 SU3</v>
          </cell>
          <cell r="F1247">
            <v>11</v>
          </cell>
          <cell r="G1247">
            <v>117.1</v>
          </cell>
        </row>
        <row r="1248">
          <cell r="A1248" t="str">
            <v>E060151300P4400500</v>
          </cell>
          <cell r="B1248" t="str">
            <v>NTN0000-3004050</v>
          </cell>
          <cell r="C1248" t="str">
            <v>E060</v>
          </cell>
          <cell r="D1248" t="str">
            <v>00</v>
          </cell>
          <cell r="E1248" t="str">
            <v>ปลั๊กไฟ DATA มอก 4 ช่อง 4 สวิตซ์ 5 ม. #HM4496</v>
          </cell>
          <cell r="F1248">
            <v>6</v>
          </cell>
          <cell r="G1248">
            <v>261.02999999999997</v>
          </cell>
        </row>
        <row r="1249">
          <cell r="A1249" t="str">
            <v>E060151305P4100300</v>
          </cell>
          <cell r="B1249" t="str">
            <v>NTN0000-3004030</v>
          </cell>
          <cell r="C1249" t="str">
            <v>E060</v>
          </cell>
          <cell r="D1249" t="str">
            <v>05</v>
          </cell>
          <cell r="E1249" t="str">
            <v>ปลั๊กไฟ DATA มอก สีเทา 4 ช่อง 1 สวิตซ์ 3 ม. #AP4156</v>
          </cell>
          <cell r="F1249">
            <v>9</v>
          </cell>
          <cell r="G1249">
            <v>215.23364485981301</v>
          </cell>
        </row>
        <row r="1250">
          <cell r="A1250" t="str">
            <v>E061141301N0000000</v>
          </cell>
          <cell r="B1250" t="str">
            <v>NTN0001-1401000</v>
          </cell>
          <cell r="C1250" t="str">
            <v>E061</v>
          </cell>
          <cell r="D1250" t="str">
            <v>01</v>
          </cell>
          <cell r="E1250" t="str">
            <v>สีสเปรย์พ่นอลูมิเนียม สีขาวอลู SMS</v>
          </cell>
          <cell r="F1250">
            <v>7</v>
          </cell>
          <cell r="G1250">
            <v>350</v>
          </cell>
        </row>
        <row r="1251">
          <cell r="A1251" t="str">
            <v>E061141303N0000000</v>
          </cell>
          <cell r="B1251" t="str">
            <v>NTN0004-1401000</v>
          </cell>
          <cell r="C1251" t="str">
            <v>E061</v>
          </cell>
          <cell r="D1251" t="str">
            <v>03</v>
          </cell>
          <cell r="E1251" t="str">
            <v>สีสเปรย์พ่นอลูมิเนียม สีดำ SMS</v>
          </cell>
          <cell r="F1251">
            <v>167</v>
          </cell>
          <cell r="G1251">
            <v>160</v>
          </cell>
        </row>
        <row r="1252">
          <cell r="A1252" t="str">
            <v>E061141304N0000000</v>
          </cell>
          <cell r="B1252" t="str">
            <v>NTN0011-1401000</v>
          </cell>
          <cell r="C1252" t="str">
            <v>E061</v>
          </cell>
          <cell r="D1252" t="str">
            <v>04</v>
          </cell>
          <cell r="E1252" t="str">
            <v xml:space="preserve">สีสเปรย์พ่นอลูมิเนียม สีอบขาว SMS </v>
          </cell>
          <cell r="F1252">
            <v>134</v>
          </cell>
          <cell r="G1252">
            <v>110</v>
          </cell>
        </row>
        <row r="1253">
          <cell r="A1253" t="str">
            <v>E062151311P1502000</v>
          </cell>
          <cell r="B1253" t="str">
            <v>NTN0008-2215200</v>
          </cell>
          <cell r="C1253" t="str">
            <v>E062</v>
          </cell>
          <cell r="D1253">
            <v>11</v>
          </cell>
          <cell r="E1253" t="str">
            <v>เชือกถักแบน 15 มม.x 20 ม.สีแดง  ELEGANCE #8853152087304</v>
          </cell>
          <cell r="F1253">
            <v>141</v>
          </cell>
          <cell r="G1253">
            <v>120</v>
          </cell>
        </row>
        <row r="1254">
          <cell r="A1254" t="str">
            <v>E062151312P1501000</v>
          </cell>
          <cell r="B1254" t="str">
            <v>NTN0007-2215100</v>
          </cell>
          <cell r="C1254" t="str">
            <v>E062</v>
          </cell>
          <cell r="D1254">
            <v>12</v>
          </cell>
          <cell r="E1254" t="str">
            <v>เชือกถักแบน 15 มม.x 10 ม.สีน้ำเงิน ELEGANCE #8853152087236</v>
          </cell>
          <cell r="F1254">
            <v>123</v>
          </cell>
          <cell r="G1254">
            <v>85</v>
          </cell>
        </row>
        <row r="1255">
          <cell r="A1255" t="str">
            <v>E063141306N4400000</v>
          </cell>
          <cell r="B1255" t="str">
            <v>NTN0531-0906404</v>
          </cell>
          <cell r="C1255" t="str">
            <v>E063</v>
          </cell>
          <cell r="D1255" t="str">
            <v>06</v>
          </cell>
          <cell r="E1255" t="str">
            <v>รีเวท สีเทาซาฮาร่า 4-4  ตรา TIGER</v>
          </cell>
          <cell r="F1255">
            <v>1</v>
          </cell>
          <cell r="G1255">
            <v>257</v>
          </cell>
        </row>
        <row r="1256">
          <cell r="A1256" t="str">
            <v>E064020201B0090000</v>
          </cell>
          <cell r="B1256" t="e">
            <v>#N/A</v>
          </cell>
          <cell r="C1256" t="str">
            <v>E064</v>
          </cell>
          <cell r="D1256" t="e">
            <v>#N/A</v>
          </cell>
          <cell r="E1256" t="str">
            <v>โช้คอัพบานเลื่อนรางแขวน สีขาวอลู ขนาด 90 ซม. YOMA</v>
          </cell>
          <cell r="F1256">
            <v>4</v>
          </cell>
          <cell r="G1256">
            <v>830</v>
          </cell>
        </row>
        <row r="1257">
          <cell r="A1257" t="str">
            <v>E064020201B0120000</v>
          </cell>
          <cell r="B1257" t="str">
            <v/>
          </cell>
          <cell r="C1257" t="str">
            <v>E064</v>
          </cell>
          <cell r="D1257" t="str">
            <v>01</v>
          </cell>
          <cell r="E1257" t="str">
            <v>โช้คอัพบานเลื่อนรางแขวน สีขาวอลู ขนาด 120 ซม. YOMA</v>
          </cell>
          <cell r="F1257">
            <v>1</v>
          </cell>
          <cell r="G1257">
            <v>1060</v>
          </cell>
        </row>
        <row r="1258">
          <cell r="A1258" t="str">
            <v>E064020201B0150000</v>
          </cell>
          <cell r="B1258" t="str">
            <v/>
          </cell>
          <cell r="C1258" t="str">
            <v>E064</v>
          </cell>
          <cell r="D1258" t="str">
            <v>01</v>
          </cell>
          <cell r="E1258" t="str">
            <v>โช้คอัพบานเลื่อนรางแขวน สีขาวอลู ขนาด 150 ซม. YOMA</v>
          </cell>
          <cell r="F1258">
            <v>5</v>
          </cell>
          <cell r="G1258">
            <v>1475</v>
          </cell>
        </row>
        <row r="1259">
          <cell r="A1259" t="str">
            <v>E064030210Z0030200</v>
          </cell>
          <cell r="B1259" t="str">
            <v>NAN0000-0730222</v>
          </cell>
          <cell r="C1259" t="str">
            <v>E064</v>
          </cell>
          <cell r="D1259">
            <v>10</v>
          </cell>
          <cell r="E1259" t="str">
            <v>ลูกล้อบานเลื่อนเดี่ยว (น้ำเงิน/เขียว) YOMA</v>
          </cell>
          <cell r="F1259">
            <v>708</v>
          </cell>
          <cell r="G1259">
            <v>16.52</v>
          </cell>
        </row>
        <row r="1260">
          <cell r="A1260" t="str">
            <v>E064030211Z0030300</v>
          </cell>
          <cell r="B1260" t="str">
            <v>NAN0000-0730333</v>
          </cell>
          <cell r="C1260" t="str">
            <v>E064</v>
          </cell>
          <cell r="D1260">
            <v>11</v>
          </cell>
          <cell r="E1260" t="str">
            <v>ลูกล้อบานเลื่อนเดี่ยว (แดง) YOMA</v>
          </cell>
          <cell r="F1260">
            <v>2</v>
          </cell>
          <cell r="G1260">
            <v>19.38</v>
          </cell>
        </row>
        <row r="1261">
          <cell r="A1261" t="str">
            <v>E065131100Z0100000</v>
          </cell>
          <cell r="B1261" t="str">
            <v>NGH002-01003</v>
          </cell>
          <cell r="C1261" t="str">
            <v>E065</v>
          </cell>
          <cell r="D1261" t="str">
            <v>00</v>
          </cell>
          <cell r="E1261" t="str">
            <v>มีดตัดกระจก ตราเพชร 01</v>
          </cell>
          <cell r="F1261">
            <v>15</v>
          </cell>
          <cell r="G1261">
            <v>44.34</v>
          </cell>
        </row>
        <row r="1262">
          <cell r="A1262" t="str">
            <v>E066131100M0022000</v>
          </cell>
          <cell r="B1262" t="str">
            <v>NGH004-01008</v>
          </cell>
          <cell r="C1262" t="str">
            <v>E066</v>
          </cell>
          <cell r="D1262" t="str">
            <v>00</v>
          </cell>
          <cell r="E1262" t="str">
            <v>แผ่นจานขัดเงา ชนิดPVA เบอร์ 220 Whetech #EGP-220</v>
          </cell>
          <cell r="F1262">
            <v>552</v>
          </cell>
          <cell r="G1262">
            <v>43.7</v>
          </cell>
        </row>
        <row r="1263">
          <cell r="A1263" t="str">
            <v>E067030800C0010400</v>
          </cell>
          <cell r="B1263" t="str">
            <v>NAN0000-0757000</v>
          </cell>
          <cell r="C1263" t="str">
            <v>E067</v>
          </cell>
          <cell r="D1263" t="str">
            <v>00</v>
          </cell>
          <cell r="E1263" t="str">
            <v xml:space="preserve">ลูกล้อรางแขวนเล็ก 1นิ้ว (ตัว) TOP-CO </v>
          </cell>
          <cell r="F1263">
            <v>0</v>
          </cell>
          <cell r="G1263">
            <v>0</v>
          </cell>
        </row>
        <row r="1264">
          <cell r="A1264" t="str">
            <v>E067030800C0010401</v>
          </cell>
          <cell r="B1264" t="str">
            <v>NAN0000-0757000</v>
          </cell>
          <cell r="C1264" t="str">
            <v>E067</v>
          </cell>
          <cell r="D1264" t="str">
            <v>00</v>
          </cell>
          <cell r="E1264" t="str">
            <v>ลูกล้อรางแขวนเล็ก 1นิ้ว (คู่) TOP-CO</v>
          </cell>
          <cell r="F1264">
            <v>682</v>
          </cell>
          <cell r="G1264">
            <v>125</v>
          </cell>
        </row>
        <row r="1265">
          <cell r="A1265" t="str">
            <v>E068141300N0000000</v>
          </cell>
          <cell r="B1265" t="str">
            <v>NTN0000-0909100</v>
          </cell>
          <cell r="C1265" t="str">
            <v>E068</v>
          </cell>
          <cell r="D1265" t="str">
            <v>00</v>
          </cell>
          <cell r="E1265" t="str">
            <v>คีมย้ำรีเวท CRAB #030-0</v>
          </cell>
          <cell r="F1265">
            <v>102</v>
          </cell>
          <cell r="G1265">
            <v>242.9907</v>
          </cell>
        </row>
        <row r="1266">
          <cell r="A1266" t="str">
            <v>E069010603A1210000</v>
          </cell>
          <cell r="B1266" t="str">
            <v>NAN1604-0101000</v>
          </cell>
          <cell r="C1266" t="str">
            <v>E069</v>
          </cell>
          <cell r="D1266" t="str">
            <v>03</v>
          </cell>
          <cell r="E1266" t="str">
            <v>BI-FOLD ยางลูกโป่งฐานแข็ง สีดำ ฐาน 4.8 x โป่ง 6.5 มม. (100 ม.) #S76350</v>
          </cell>
          <cell r="F1266">
            <v>0</v>
          </cell>
          <cell r="G1266">
            <v>0</v>
          </cell>
        </row>
        <row r="1267">
          <cell r="A1267" t="str">
            <v>E06912000000000000</v>
          </cell>
          <cell r="B1267" t="str">
            <v>NAN0000</v>
          </cell>
          <cell r="C1267" t="str">
            <v>E069</v>
          </cell>
          <cell r="D1267" t="str">
            <v>00</v>
          </cell>
          <cell r="E1267" t="str">
            <v>ACC ALU ยี่ห้อ GSM (กลุ่ม)</v>
          </cell>
          <cell r="F1267">
            <v>22</v>
          </cell>
          <cell r="G1267">
            <v>0</v>
          </cell>
        </row>
        <row r="1268">
          <cell r="A1268" t="str">
            <v>E069120203L0000000</v>
          </cell>
          <cell r="B1268" t="str">
            <v>NAN1700-0111000</v>
          </cell>
          <cell r="C1268" t="str">
            <v>E069</v>
          </cell>
          <cell r="D1268" t="str">
            <v>03</v>
          </cell>
          <cell r="E1268" t="str">
            <v>EURO ฝาปิดรางล้อ EXTRACAP (02-GSM-8-00001)</v>
          </cell>
          <cell r="F1268">
            <v>328</v>
          </cell>
          <cell r="G1268">
            <v>2</v>
          </cell>
        </row>
        <row r="1269">
          <cell r="A1269" t="str">
            <v>E069120203L0002400</v>
          </cell>
          <cell r="B1269" t="str">
            <v>NAN1700-0110000</v>
          </cell>
          <cell r="C1269" t="str">
            <v>E069</v>
          </cell>
          <cell r="D1269" t="str">
            <v>03</v>
          </cell>
          <cell r="E1269" t="str">
            <v>EURO ฝาปิดหัวเสา สีดำ ENDCAP 02-GSM-8-00002</v>
          </cell>
          <cell r="F1269">
            <v>0</v>
          </cell>
          <cell r="G1269">
            <v>0</v>
          </cell>
        </row>
        <row r="1270">
          <cell r="A1270" t="str">
            <v>E069120203L0261001</v>
          </cell>
          <cell r="B1270" t="str">
            <v>NAN1714-GM17001</v>
          </cell>
          <cell r="C1270" t="str">
            <v>E069</v>
          </cell>
          <cell r="D1270" t="str">
            <v>03</v>
          </cell>
          <cell r="E1270" t="str">
            <v>EURO กันฝุ่น (02-026-GSM-1001)</v>
          </cell>
          <cell r="F1270">
            <v>384</v>
          </cell>
          <cell r="G1270">
            <v>10</v>
          </cell>
        </row>
        <row r="1271">
          <cell r="A1271" t="str">
            <v>E069121000L1010000</v>
          </cell>
          <cell r="B1271" t="str">
            <v/>
          </cell>
          <cell r="C1271" t="str">
            <v>E069</v>
          </cell>
          <cell r="D1271" t="str">
            <v>00</v>
          </cell>
          <cell r="E1271" t="str">
            <v>Base Plate 100*100 mm. 02-01-P-17-I007551-0100 (ชุด)</v>
          </cell>
          <cell r="F1271">
            <v>2</v>
          </cell>
          <cell r="G1271">
            <v>300</v>
          </cell>
        </row>
        <row r="1272">
          <cell r="A1272" t="str">
            <v>E069141313L0007800</v>
          </cell>
          <cell r="B1272" t="str">
            <v/>
          </cell>
          <cell r="C1272" t="str">
            <v>E069</v>
          </cell>
          <cell r="D1272">
            <v>13</v>
          </cell>
          <cell r="E1272" t="str">
            <v>สีสเปรย์พ่นอลูมิเนียม ลายไม้ #P78 ไม้สัก (Premier)</v>
          </cell>
          <cell r="F1272">
            <v>3</v>
          </cell>
          <cell r="G1272">
            <v>233.64490000000001</v>
          </cell>
        </row>
        <row r="1273">
          <cell r="A1273" t="str">
            <v>E069141313L0011900</v>
          </cell>
          <cell r="B1273" t="str">
            <v/>
          </cell>
          <cell r="C1273" t="str">
            <v>E069</v>
          </cell>
          <cell r="D1273">
            <v>13</v>
          </cell>
          <cell r="E1273" t="str">
            <v>สีสเปรย์พ่นอลูมิเนียม ลายไม้ #119 Light Oat (Premier)</v>
          </cell>
          <cell r="F1273">
            <v>3</v>
          </cell>
          <cell r="G1273">
            <v>233.64490000000001</v>
          </cell>
        </row>
        <row r="1274">
          <cell r="A1274" t="str">
            <v>E07001000000000000</v>
          </cell>
          <cell r="B1274" t="str">
            <v>NAN0000</v>
          </cell>
          <cell r="C1274" t="str">
            <v>E070</v>
          </cell>
          <cell r="D1274" t="str">
            <v>00</v>
          </cell>
          <cell r="E1274" t="str">
            <v>ยางยี่ห้อ KINGBO (กลุ่ม)</v>
          </cell>
          <cell r="F1274">
            <v>30</v>
          </cell>
          <cell r="G1274">
            <v>0</v>
          </cell>
        </row>
        <row r="1275">
          <cell r="A1275" t="str">
            <v>E070040703D7500100</v>
          </cell>
          <cell r="B1275" t="str">
            <v>NAN1814-KB10001</v>
          </cell>
          <cell r="C1275" t="str">
            <v>E070</v>
          </cell>
          <cell r="D1275" t="str">
            <v>03</v>
          </cell>
          <cell r="E1275" t="str">
            <v>EURO มือจับบานเปิด หน้าต่าง 35 มม. (แกนฟ็อก) สีดำ (02-001-017-KIB-10001)</v>
          </cell>
          <cell r="F1275">
            <v>184</v>
          </cell>
          <cell r="G1275">
            <v>210</v>
          </cell>
        </row>
        <row r="1276">
          <cell r="A1276" t="str">
            <v>E070040703D7500200</v>
          </cell>
          <cell r="B1276" t="str">
            <v>NAN1814-KB10002</v>
          </cell>
          <cell r="C1276" t="str">
            <v>E070</v>
          </cell>
          <cell r="D1276" t="str">
            <v>03</v>
          </cell>
          <cell r="E1276" t="str">
            <v>EURO มือจับบานเปิด  สีดำ (02-001-017-KIB-10002)</v>
          </cell>
          <cell r="F1276">
            <v>32</v>
          </cell>
          <cell r="G1276">
            <v>406</v>
          </cell>
        </row>
        <row r="1277">
          <cell r="A1277" t="str">
            <v>E070040703D7500303</v>
          </cell>
          <cell r="B1277" t="str">
            <v>NAN1814-KB10003</v>
          </cell>
          <cell r="C1277" t="str">
            <v>E070</v>
          </cell>
          <cell r="D1277" t="str">
            <v>03</v>
          </cell>
          <cell r="E1277" t="str">
            <v>EURO มือจับบานเปิด ดัมมี่ สีดำ (02-001-017-KIB-10003)</v>
          </cell>
          <cell r="F1277">
            <v>49</v>
          </cell>
          <cell r="G1277">
            <v>350</v>
          </cell>
        </row>
        <row r="1278">
          <cell r="A1278" t="str">
            <v>E070040703D7600500</v>
          </cell>
          <cell r="B1278" t="str">
            <v>NAN1714-KB10005</v>
          </cell>
          <cell r="C1278" t="str">
            <v>E070</v>
          </cell>
          <cell r="D1278" t="str">
            <v>03</v>
          </cell>
          <cell r="E1278" t="str">
            <v>EURO มือจับบานเลื่อนล็อค 1 จุด สีดำ (02-001-017-KIB-10005)</v>
          </cell>
          <cell r="F1278">
            <v>11</v>
          </cell>
          <cell r="G1278">
            <v>77</v>
          </cell>
        </row>
        <row r="1279">
          <cell r="A1279" t="str">
            <v>E070040703D7600600</v>
          </cell>
          <cell r="B1279" t="str">
            <v>NAN1714-KB10006</v>
          </cell>
          <cell r="C1279" t="str">
            <v>E070</v>
          </cell>
          <cell r="D1279" t="str">
            <v>03</v>
          </cell>
          <cell r="E1279" t="str">
            <v>EURO มือจับบานเลื่อน มัลติพอยท์ล็อค สีดำ (02-001-017-KIB-10006)</v>
          </cell>
          <cell r="F1279">
            <v>23</v>
          </cell>
          <cell r="G1279">
            <v>147</v>
          </cell>
        </row>
        <row r="1280">
          <cell r="A1280" t="str">
            <v>E070040703D7600800</v>
          </cell>
          <cell r="B1280" t="str">
            <v>NAN1714-KB10008</v>
          </cell>
          <cell r="C1280" t="str">
            <v>E070</v>
          </cell>
          <cell r="D1280" t="str">
            <v>03</v>
          </cell>
          <cell r="E1280" t="str">
            <v>EURO มือจับบานเลื่อนล็อค 1 จุดมีกุญแจ  สีดำ (02-001-017-KIB-10008)</v>
          </cell>
          <cell r="F1280">
            <v>21</v>
          </cell>
          <cell r="G1280">
            <v>135</v>
          </cell>
        </row>
        <row r="1281">
          <cell r="A1281" t="str">
            <v>E070040703D7600900</v>
          </cell>
          <cell r="B1281" t="str">
            <v>NAN1714-KB10009</v>
          </cell>
          <cell r="C1281" t="str">
            <v>E070</v>
          </cell>
          <cell r="D1281" t="str">
            <v>03</v>
          </cell>
          <cell r="E1281" t="str">
            <v>EURO มือจับบานเลื่อน มัลติพอยท์ล็อคมีกุญแจ สีดำ (02-001-017-KIB-10009)</v>
          </cell>
          <cell r="F1281">
            <v>50</v>
          </cell>
          <cell r="G1281">
            <v>217</v>
          </cell>
        </row>
        <row r="1282">
          <cell r="A1282" t="str">
            <v>E070040703D7601000</v>
          </cell>
          <cell r="B1282" t="str">
            <v>NAN1704-KB10021</v>
          </cell>
          <cell r="C1282" t="str">
            <v>E070</v>
          </cell>
          <cell r="D1282" t="str">
            <v>03</v>
          </cell>
          <cell r="E1282" t="str">
            <v>EURO มือจับดัมมี่บานเลื่อน (ไม่มีรู) สีดำ (02-001-017-KIB-10010)</v>
          </cell>
          <cell r="F1282">
            <v>54</v>
          </cell>
          <cell r="G1282">
            <v>55</v>
          </cell>
        </row>
        <row r="1283">
          <cell r="A1283" t="str">
            <v>E070040703D7601100</v>
          </cell>
          <cell r="B1283" t="str">
            <v>NAN1704-KB10020</v>
          </cell>
          <cell r="C1283" t="str">
            <v>E070</v>
          </cell>
          <cell r="D1283" t="str">
            <v>03</v>
          </cell>
          <cell r="E1283" t="str">
            <v>EURO มือจับดัมมี่บานเลื่อน (มีรู) สีดำ (02-001-017-KIB-10011)</v>
          </cell>
          <cell r="F1283">
            <v>48</v>
          </cell>
          <cell r="G1283">
            <v>55</v>
          </cell>
        </row>
        <row r="1284">
          <cell r="A1284" t="str">
            <v>E070040704D7500100</v>
          </cell>
          <cell r="B1284" t="str">
            <v>NAN1811-KB10001</v>
          </cell>
          <cell r="C1284" t="str">
            <v>E070</v>
          </cell>
          <cell r="D1284" t="str">
            <v>04</v>
          </cell>
          <cell r="E1284" t="str">
            <v>EURO มือจับบานเปิด หน้าต่าง 35 มม. (แกนฟ็อก) สีอบขาว (02-001-005-KIB-10001)</v>
          </cell>
          <cell r="F1284">
            <v>18</v>
          </cell>
          <cell r="G1284">
            <v>210</v>
          </cell>
        </row>
        <row r="1285">
          <cell r="A1285" t="str">
            <v>E070040704D7500200</v>
          </cell>
          <cell r="B1285" t="str">
            <v>NAN1811-KB10002</v>
          </cell>
          <cell r="C1285" t="str">
            <v>E070</v>
          </cell>
          <cell r="D1285" t="str">
            <v>04</v>
          </cell>
          <cell r="E1285" t="str">
            <v>EURO มือจับบานเปิด  สีอบขาว (02-001-005-KIB-10002)</v>
          </cell>
          <cell r="F1285">
            <v>10</v>
          </cell>
          <cell r="G1285">
            <v>406</v>
          </cell>
        </row>
        <row r="1286">
          <cell r="A1286" t="str">
            <v>E070040704D7500303</v>
          </cell>
          <cell r="B1286" t="str">
            <v>NAN1811-KB10003</v>
          </cell>
          <cell r="C1286" t="str">
            <v>E070</v>
          </cell>
          <cell r="D1286" t="str">
            <v>04</v>
          </cell>
          <cell r="E1286" t="str">
            <v>EURO มือจับบานเปิด ดัมมี่ สีอบขาว (02-001-005-KIB-10003)</v>
          </cell>
          <cell r="F1286">
            <v>13</v>
          </cell>
          <cell r="G1286">
            <v>350</v>
          </cell>
        </row>
        <row r="1287">
          <cell r="A1287" t="str">
            <v>E070040704D7600600</v>
          </cell>
          <cell r="B1287" t="str">
            <v>NAN1711-KB10006</v>
          </cell>
          <cell r="C1287" t="str">
            <v>E070</v>
          </cell>
          <cell r="D1287" t="str">
            <v>04</v>
          </cell>
          <cell r="E1287" t="str">
            <v>EURO มือจับบานเลื่อน มัลติพอยท์ล็อค สีอบขาว (02-001-005-KIB-10006)</v>
          </cell>
          <cell r="F1287">
            <v>1</v>
          </cell>
          <cell r="G1287">
            <v>147</v>
          </cell>
        </row>
        <row r="1288">
          <cell r="A1288" t="str">
            <v>E070040704D7600801</v>
          </cell>
          <cell r="B1288" t="str">
            <v>NAN1711-KB10005</v>
          </cell>
          <cell r="C1288" t="str">
            <v>E070</v>
          </cell>
          <cell r="D1288" t="str">
            <v>04</v>
          </cell>
          <cell r="E1288" t="str">
            <v>EURO มือจับบานเลื่อนล็อค 1 จุด  สีอบขาว (02-001-005-KIB-10008)</v>
          </cell>
          <cell r="F1288">
            <v>36</v>
          </cell>
          <cell r="G1288">
            <v>77</v>
          </cell>
        </row>
        <row r="1289">
          <cell r="A1289" t="str">
            <v>E070040704D7600802</v>
          </cell>
          <cell r="B1289" t="str">
            <v>NAN1711-KB10008</v>
          </cell>
          <cell r="C1289" t="str">
            <v>E070</v>
          </cell>
          <cell r="D1289" t="str">
            <v>04</v>
          </cell>
          <cell r="E1289" t="str">
            <v>EURO มือจับบานเลื่อนล็อค 1 จุดมีกุญแจ  สีอบขาว (02-001-005-KIB-10008)</v>
          </cell>
          <cell r="F1289">
            <v>5</v>
          </cell>
          <cell r="G1289">
            <v>135</v>
          </cell>
        </row>
        <row r="1290">
          <cell r="A1290" t="str">
            <v>E070040704D7600900</v>
          </cell>
          <cell r="B1290" t="str">
            <v>NAN1711-KB10009</v>
          </cell>
          <cell r="C1290" t="str">
            <v>E070</v>
          </cell>
          <cell r="D1290" t="str">
            <v>04</v>
          </cell>
          <cell r="E1290" t="str">
            <v>EURO มือจับบานเลื่อน มัลติพอยท์ล็อคมีกุญแจ สีอบขาว (02-001-005-KIB-10009)</v>
          </cell>
          <cell r="F1290">
            <v>0</v>
          </cell>
          <cell r="G1290">
            <v>0</v>
          </cell>
        </row>
        <row r="1291">
          <cell r="A1291" t="str">
            <v>E070050700E0353500</v>
          </cell>
          <cell r="B1291" t="str">
            <v>NAN1800-KB07001</v>
          </cell>
          <cell r="C1291" t="str">
            <v>E070</v>
          </cell>
          <cell r="D1291" t="str">
            <v>00</v>
          </cell>
          <cell r="E1291" t="str">
            <v>EURO ไส้กุญแจ 35-35 (02-007-000-KIB-10001)</v>
          </cell>
          <cell r="F1291">
            <v>90</v>
          </cell>
          <cell r="G1291">
            <v>404</v>
          </cell>
        </row>
        <row r="1292">
          <cell r="A1292" t="str">
            <v>E070050703E0300400</v>
          </cell>
          <cell r="B1292" t="str">
            <v>NAN1814-KB03004</v>
          </cell>
          <cell r="C1292" t="str">
            <v>E070</v>
          </cell>
          <cell r="D1292" t="str">
            <v>03</v>
          </cell>
          <cell r="E1292" t="str">
            <v>EURO ก้านกลอน 200 มม. สีดำ (02-003-017-KIB-10004)</v>
          </cell>
          <cell r="F1292">
            <v>36</v>
          </cell>
          <cell r="G1292">
            <v>119</v>
          </cell>
        </row>
        <row r="1293">
          <cell r="A1293" t="str">
            <v>E070050703E0300500</v>
          </cell>
          <cell r="B1293" t="str">
            <v>NAN1814-KB03005</v>
          </cell>
          <cell r="C1293" t="str">
            <v>E070</v>
          </cell>
          <cell r="D1293" t="str">
            <v>03</v>
          </cell>
          <cell r="E1293" t="str">
            <v>EURO ก้านกลอน 500 มม. สีดำ (02-003-017-KIB-10005)</v>
          </cell>
          <cell r="F1293">
            <v>6</v>
          </cell>
          <cell r="G1293">
            <v>164</v>
          </cell>
        </row>
        <row r="1294">
          <cell r="A1294" t="str">
            <v>E070050704E0300400</v>
          </cell>
          <cell r="B1294" t="str">
            <v>NAN1811-KB03004</v>
          </cell>
          <cell r="C1294" t="str">
            <v>E070</v>
          </cell>
          <cell r="D1294" t="str">
            <v>04</v>
          </cell>
          <cell r="E1294" t="str">
            <v>EURO ก้านกลอน 200 มม. สีอบขาว (02-003-005-KIB-10004)</v>
          </cell>
          <cell r="F1294">
            <v>11</v>
          </cell>
          <cell r="G1294">
            <v>119</v>
          </cell>
        </row>
        <row r="1295">
          <cell r="A1295" t="str">
            <v>E070050704E0300500</v>
          </cell>
          <cell r="B1295" t="str">
            <v>NAN1811-KB03005</v>
          </cell>
          <cell r="C1295" t="str">
            <v>E070</v>
          </cell>
          <cell r="D1295" t="str">
            <v>04</v>
          </cell>
          <cell r="E1295" t="str">
            <v>EURO ก้านกลอน 500 มม. สีอบขาว (02-003-005-KIB-10005)</v>
          </cell>
          <cell r="F1295">
            <v>12</v>
          </cell>
          <cell r="G1295">
            <v>164</v>
          </cell>
        </row>
        <row r="1296">
          <cell r="A1296" t="str">
            <v>E070080700H0600100</v>
          </cell>
          <cell r="B1296" t="str">
            <v>NAN1800-KB06001</v>
          </cell>
          <cell r="C1296" t="str">
            <v>E070</v>
          </cell>
          <cell r="D1296" t="str">
            <v>00</v>
          </cell>
          <cell r="E1296" t="str">
            <v>EURO บานพับ 4 Bar 35-90องศา 14 นิ้ว (02-006-000-KIB-10001)</v>
          </cell>
          <cell r="F1296">
            <v>88</v>
          </cell>
          <cell r="G1296">
            <v>347</v>
          </cell>
        </row>
        <row r="1297">
          <cell r="A1297" t="str">
            <v>E070080700H0600200</v>
          </cell>
          <cell r="B1297" t="str">
            <v>NAN1800-KB06002</v>
          </cell>
          <cell r="C1297" t="str">
            <v>E070</v>
          </cell>
          <cell r="D1297" t="str">
            <v>00</v>
          </cell>
          <cell r="E1297" t="str">
            <v>EURO แขนค้ำ 12 นิ้ว (02-006-000-KIB-10002)</v>
          </cell>
          <cell r="F1297">
            <v>73</v>
          </cell>
          <cell r="G1297">
            <v>81</v>
          </cell>
        </row>
        <row r="1298">
          <cell r="A1298" t="str">
            <v>E070080700H1400300</v>
          </cell>
          <cell r="B1298" t="str">
            <v>NAN1800-KB14003</v>
          </cell>
          <cell r="C1298" t="str">
            <v>E070</v>
          </cell>
          <cell r="D1298" t="str">
            <v>00</v>
          </cell>
          <cell r="E1298" t="str">
            <v>EURO บานพับซ่อน เปิด 90 องศา (02-014-000-KIB-10003)</v>
          </cell>
          <cell r="F1298">
            <v>33</v>
          </cell>
          <cell r="G1298">
            <v>175</v>
          </cell>
        </row>
        <row r="1299">
          <cell r="A1299" t="str">
            <v>E070080700H1400400</v>
          </cell>
          <cell r="B1299" t="str">
            <v>NAN1800-KB14004</v>
          </cell>
          <cell r="C1299" t="str">
            <v>E070</v>
          </cell>
          <cell r="D1299" t="str">
            <v>00</v>
          </cell>
          <cell r="E1299" t="str">
            <v>EURO บานพับซ่อน เปิด 180 องศา (02-014-000-KIB-10004)</v>
          </cell>
          <cell r="F1299">
            <v>34</v>
          </cell>
          <cell r="G1299">
            <v>302</v>
          </cell>
        </row>
        <row r="1300">
          <cell r="A1300" t="str">
            <v>E070080703H1400100</v>
          </cell>
          <cell r="B1300" t="str">
            <v>NAN1814-KB14001</v>
          </cell>
          <cell r="C1300" t="str">
            <v>E070</v>
          </cell>
          <cell r="D1300" t="str">
            <v>03</v>
          </cell>
          <cell r="E1300" t="str">
            <v>EURO บานพับ Hinge 40 kg  สีดำ (02-014-017-KIB-10001)</v>
          </cell>
          <cell r="F1300">
            <v>120</v>
          </cell>
          <cell r="G1300">
            <v>84</v>
          </cell>
        </row>
        <row r="1301">
          <cell r="A1301" t="str">
            <v>E070080703H1400200</v>
          </cell>
          <cell r="B1301" t="str">
            <v>NAN1814-KB14002</v>
          </cell>
          <cell r="C1301" t="str">
            <v>E070</v>
          </cell>
          <cell r="D1301" t="str">
            <v>03</v>
          </cell>
          <cell r="E1301" t="str">
            <v>EURO บานพับ-ขวา Hinge 60 kg  สีดำ (02-014-017-KIB-10002)</v>
          </cell>
          <cell r="F1301">
            <v>75</v>
          </cell>
          <cell r="G1301">
            <v>300</v>
          </cell>
        </row>
        <row r="1302">
          <cell r="A1302" t="str">
            <v>E070080703H1400600</v>
          </cell>
          <cell r="B1302" t="str">
            <v>NAN1814-KB14006</v>
          </cell>
          <cell r="C1302" t="str">
            <v>E070</v>
          </cell>
          <cell r="D1302" t="str">
            <v>03</v>
          </cell>
          <cell r="E1302" t="str">
            <v>EURO บานพับ-ซ้าย Hinge 60 kg  สีดำ (02-014-017-KIB-10006)</v>
          </cell>
          <cell r="F1302">
            <v>18</v>
          </cell>
          <cell r="G1302">
            <v>300</v>
          </cell>
        </row>
        <row r="1303">
          <cell r="A1303" t="str">
            <v>E070080704H1400100</v>
          </cell>
          <cell r="B1303" t="str">
            <v>NAN1811-KB14001</v>
          </cell>
          <cell r="C1303" t="str">
            <v>E070</v>
          </cell>
          <cell r="D1303" t="str">
            <v>04</v>
          </cell>
          <cell r="E1303" t="str">
            <v>EURO บานพับ Hinge 40 kg  สีอบขาว (02-014-005-KIB-10001)</v>
          </cell>
          <cell r="F1303">
            <v>34</v>
          </cell>
          <cell r="G1303">
            <v>84</v>
          </cell>
        </row>
        <row r="1304">
          <cell r="A1304" t="str">
            <v>E070080704H1400200</v>
          </cell>
          <cell r="B1304" t="str">
            <v>NAN1811-KB14002</v>
          </cell>
          <cell r="C1304" t="str">
            <v>E070</v>
          </cell>
          <cell r="D1304" t="str">
            <v>04</v>
          </cell>
          <cell r="E1304" t="str">
            <v>EURO บานพับ-ขวา Hinge 60 kg  สีอบขาว (02-014-005-KIB-10002)</v>
          </cell>
          <cell r="F1304">
            <v>46</v>
          </cell>
          <cell r="G1304">
            <v>300</v>
          </cell>
        </row>
        <row r="1305">
          <cell r="A1305" t="str">
            <v>E070080704H1400600</v>
          </cell>
          <cell r="B1305" t="str">
            <v>NAN1811-KB14006</v>
          </cell>
          <cell r="C1305" t="str">
            <v>E070</v>
          </cell>
          <cell r="D1305" t="str">
            <v>04</v>
          </cell>
          <cell r="E1305" t="str">
            <v>EURO บานพับ-ซ้าย Hinge 60 kg  สีอบขาว (02-014-005-KIB-10006)</v>
          </cell>
          <cell r="F1305">
            <v>25</v>
          </cell>
          <cell r="G1305">
            <v>300</v>
          </cell>
        </row>
        <row r="1306">
          <cell r="A1306" t="str">
            <v>E07012000000000000</v>
          </cell>
          <cell r="B1306" t="str">
            <v>NAN0000</v>
          </cell>
          <cell r="C1306" t="str">
            <v>E070</v>
          </cell>
          <cell r="D1306" t="str">
            <v>00</v>
          </cell>
          <cell r="E1306" t="str">
            <v>ACC ALU ยี่ห้อ KINGBO (กลุ่ม)</v>
          </cell>
          <cell r="F1306">
            <v>0</v>
          </cell>
          <cell r="G1306">
            <v>0</v>
          </cell>
        </row>
        <row r="1307">
          <cell r="A1307" t="str">
            <v>E070120200L1000700</v>
          </cell>
          <cell r="B1307" t="str">
            <v>NAN1800-10007</v>
          </cell>
          <cell r="C1307" t="str">
            <v>E070</v>
          </cell>
          <cell r="D1307" t="str">
            <v>00</v>
          </cell>
          <cell r="E1307" t="str">
            <v>EURO รับล็อค (02-003-000-KIB-10007)</v>
          </cell>
          <cell r="F1307">
            <v>171</v>
          </cell>
          <cell r="G1307">
            <v>70</v>
          </cell>
        </row>
        <row r="1308">
          <cell r="A1308" t="str">
            <v>E070120700L0300200</v>
          </cell>
          <cell r="B1308" t="str">
            <v>NAN1800-KB03002</v>
          </cell>
          <cell r="C1308" t="str">
            <v>E070</v>
          </cell>
          <cell r="D1308" t="str">
            <v>00</v>
          </cell>
          <cell r="E1308" t="str">
            <v>EURO รับล็อคมัลติ C-groove (02-003-000-KIB-10002)</v>
          </cell>
          <cell r="F1308">
            <v>188</v>
          </cell>
          <cell r="G1308">
            <v>40</v>
          </cell>
        </row>
        <row r="1309">
          <cell r="A1309" t="str">
            <v>E070120700L0300300</v>
          </cell>
          <cell r="B1309" t="str">
            <v>NAN1800-KB03003</v>
          </cell>
          <cell r="C1309" t="str">
            <v>E070</v>
          </cell>
          <cell r="D1309" t="str">
            <v>00</v>
          </cell>
          <cell r="E1309" t="str">
            <v>EURO หมุดล็อคมัลติ (02-003-000-KIB-10003)</v>
          </cell>
          <cell r="F1309">
            <v>324</v>
          </cell>
          <cell r="G1309">
            <v>53</v>
          </cell>
        </row>
        <row r="1310">
          <cell r="A1310" t="str">
            <v>E070120700L0300600</v>
          </cell>
          <cell r="B1310" t="str">
            <v>NAN1800-KB03006</v>
          </cell>
          <cell r="C1310" t="str">
            <v>E070</v>
          </cell>
          <cell r="D1310" t="str">
            <v>00</v>
          </cell>
          <cell r="E1310" t="str">
            <v>EURO รับล็อคกลอน (02-003-017-KIB-10006)</v>
          </cell>
          <cell r="F1310">
            <v>85</v>
          </cell>
          <cell r="G1310">
            <v>18</v>
          </cell>
        </row>
        <row r="1311">
          <cell r="A1311" t="str">
            <v>E070120700L0400100</v>
          </cell>
          <cell r="B1311" t="str">
            <v>NAN1800-KB04001</v>
          </cell>
          <cell r="C1311" t="str">
            <v>E070</v>
          </cell>
          <cell r="D1311" t="str">
            <v>00</v>
          </cell>
          <cell r="E1311" t="str">
            <v>EURO ตลับกุญแจ Mortise Single Lock 35 มม. (02-004-000-KIB-10001)</v>
          </cell>
          <cell r="F1311">
            <v>12</v>
          </cell>
          <cell r="G1311">
            <v>233</v>
          </cell>
        </row>
        <row r="1312">
          <cell r="A1312" t="str">
            <v>E070120700L0400200</v>
          </cell>
          <cell r="B1312" t="str">
            <v>NAN1800-KB04002</v>
          </cell>
          <cell r="C1312" t="str">
            <v>E070</v>
          </cell>
          <cell r="D1312" t="str">
            <v>00</v>
          </cell>
          <cell r="E1312" t="str">
            <v>EURO ตลับกุญแจ Mortise-Multi 35 มม. (02-004-000-KIB-10002)</v>
          </cell>
          <cell r="F1312">
            <v>33</v>
          </cell>
          <cell r="G1312">
            <v>535</v>
          </cell>
        </row>
        <row r="1313">
          <cell r="A1313" t="str">
            <v>E070120700L1000100</v>
          </cell>
          <cell r="B1313" t="str">
            <v>NAN1700-KB10001</v>
          </cell>
          <cell r="C1313" t="str">
            <v>E070</v>
          </cell>
          <cell r="D1313" t="str">
            <v>00</v>
          </cell>
          <cell r="E1313" t="str">
            <v>EURO ตัวที 35 มม. (02-003-000-KIB-10001)</v>
          </cell>
          <cell r="F1313">
            <v>279</v>
          </cell>
          <cell r="G1313">
            <v>33</v>
          </cell>
        </row>
        <row r="1314">
          <cell r="A1314" t="str">
            <v>E070120700L1000101</v>
          </cell>
          <cell r="B1314" t="str">
            <v>NAN1800-0309000</v>
          </cell>
          <cell r="C1314" t="str">
            <v>E070</v>
          </cell>
          <cell r="D1314" t="str">
            <v>00</v>
          </cell>
          <cell r="E1314" t="str">
            <v>EURO กันบานตกบานเปิด (02-009-000-KIB-10001)</v>
          </cell>
          <cell r="F1314">
            <v>130</v>
          </cell>
          <cell r="G1314">
            <v>55</v>
          </cell>
        </row>
        <row r="1315">
          <cell r="A1315" t="str">
            <v>E070120700L1000900</v>
          </cell>
          <cell r="B1315" t="str">
            <v>NAN1700-KB10009</v>
          </cell>
          <cell r="C1315" t="str">
            <v>E070</v>
          </cell>
          <cell r="D1315" t="str">
            <v>00</v>
          </cell>
          <cell r="E1315" t="str">
            <v xml:space="preserve">EURO หมุดล็อค 15 มม. (02-003-000-KIB-10009) </v>
          </cell>
          <cell r="F1315">
            <v>258</v>
          </cell>
          <cell r="G1315">
            <v>33</v>
          </cell>
        </row>
        <row r="1316">
          <cell r="A1316" t="str">
            <v>E070120700L1001000</v>
          </cell>
          <cell r="B1316" t="str">
            <v>NAN1700-KB10010</v>
          </cell>
          <cell r="C1316" t="str">
            <v>E070</v>
          </cell>
          <cell r="D1316" t="str">
            <v>00</v>
          </cell>
          <cell r="E1316" t="str">
            <v>EURO แป้นยูรับล็อค (02-003-000-KIB-10010)</v>
          </cell>
          <cell r="F1316">
            <v>10</v>
          </cell>
          <cell r="G1316">
            <v>20</v>
          </cell>
        </row>
        <row r="1317">
          <cell r="A1317" t="str">
            <v>E070120700L1001200</v>
          </cell>
          <cell r="B1317" t="str">
            <v>NAN1700-0302002</v>
          </cell>
          <cell r="C1317" t="str">
            <v>E070</v>
          </cell>
          <cell r="D1317" t="str">
            <v>00</v>
          </cell>
          <cell r="E1317" t="str">
            <v>EURO แป้นยูรับล็อคบานเลื่อน (02-003-000-KIB-10012)</v>
          </cell>
          <cell r="F1317">
            <v>169</v>
          </cell>
          <cell r="G1317">
            <v>15</v>
          </cell>
        </row>
        <row r="1318">
          <cell r="A1318" t="str">
            <v>E071141300N1010000</v>
          </cell>
          <cell r="B1318" t="str">
            <v>NTN0000-9906010</v>
          </cell>
          <cell r="C1318" t="str">
            <v>E071</v>
          </cell>
          <cell r="D1318" t="str">
            <v>00</v>
          </cell>
          <cell r="E1318" t="str">
            <v xml:space="preserve">ใบตัดอลูมิเนียม (ITALY) T.C.T ขนาด 10x100T </v>
          </cell>
          <cell r="F1318">
            <v>0</v>
          </cell>
          <cell r="G1318">
            <v>0</v>
          </cell>
        </row>
        <row r="1319">
          <cell r="A1319" t="str">
            <v>E071141300N1012000</v>
          </cell>
          <cell r="B1319" t="str">
            <v>NTN0000-9906012</v>
          </cell>
          <cell r="C1319" t="str">
            <v>E071</v>
          </cell>
          <cell r="D1319" t="str">
            <v>00</v>
          </cell>
          <cell r="E1319" t="str">
            <v>ใบตัดอลูมิเนียม (ITALY) T.C.T ขนาด 10x120T</v>
          </cell>
          <cell r="F1319">
            <v>0</v>
          </cell>
          <cell r="G1319">
            <v>0</v>
          </cell>
        </row>
        <row r="1320">
          <cell r="A1320" t="str">
            <v>E071141300N1212000</v>
          </cell>
          <cell r="B1320" t="str">
            <v>NTN0000-9907012</v>
          </cell>
          <cell r="C1320" t="str">
            <v>E071</v>
          </cell>
          <cell r="D1320" t="str">
            <v>00</v>
          </cell>
          <cell r="E1320" t="str">
            <v>ใบตัดอลูมิเนียม (ITALY)T.C.T  ขนาด 12x120T</v>
          </cell>
          <cell r="F1320">
            <v>0</v>
          </cell>
          <cell r="G1320">
            <v>0</v>
          </cell>
        </row>
        <row r="1321">
          <cell r="A1321" t="str">
            <v>E072040315Z3011101</v>
          </cell>
          <cell r="B1321" t="str">
            <v>NAHGGM111-111A-2</v>
          </cell>
          <cell r="C1321" t="str">
            <v>E072</v>
          </cell>
          <cell r="D1321">
            <v>15</v>
          </cell>
          <cell r="E1321" t="str">
            <v>มือจับสแตนเลส GM รุ่น 111 SS ขนาด 25x305</v>
          </cell>
          <cell r="F1321">
            <v>2</v>
          </cell>
          <cell r="G1321">
            <v>694</v>
          </cell>
        </row>
        <row r="1322">
          <cell r="A1322" t="str">
            <v>E072040315Z3011102</v>
          </cell>
          <cell r="B1322" t="str">
            <v>NAHGGM111-111B-2</v>
          </cell>
          <cell r="C1322" t="str">
            <v>E072</v>
          </cell>
          <cell r="D1322">
            <v>15</v>
          </cell>
          <cell r="E1322" t="str">
            <v>มือจับสแตนเลส GM รุ่น 111 SS ขนาด 25x350</v>
          </cell>
          <cell r="F1322">
            <v>4</v>
          </cell>
          <cell r="G1322">
            <v>708.39</v>
          </cell>
        </row>
        <row r="1323">
          <cell r="A1323" t="str">
            <v>E072040315Z3011103</v>
          </cell>
          <cell r="B1323" t="str">
            <v>NAHGGM111-111C-2</v>
          </cell>
          <cell r="C1323" t="str">
            <v>E072</v>
          </cell>
          <cell r="D1323">
            <v>15</v>
          </cell>
          <cell r="E1323" t="str">
            <v>มือจับสแตนเลส GM รุ่น 111 SS ขนาด 32x305</v>
          </cell>
          <cell r="F1323">
            <v>3</v>
          </cell>
          <cell r="G1323">
            <v>1060</v>
          </cell>
        </row>
        <row r="1324">
          <cell r="A1324" t="str">
            <v>E072040315Z3011104</v>
          </cell>
          <cell r="B1324" t="str">
            <v>NAHGGM111-111D-2</v>
          </cell>
          <cell r="C1324" t="str">
            <v>E072</v>
          </cell>
          <cell r="D1324">
            <v>15</v>
          </cell>
          <cell r="E1324" t="str">
            <v>มือจับสแตนเลส GM รุ่น 111 SS ขนาด 32x350</v>
          </cell>
          <cell r="F1324">
            <v>1</v>
          </cell>
          <cell r="G1324">
            <v>1259</v>
          </cell>
        </row>
        <row r="1325">
          <cell r="A1325" t="str">
            <v>E073130000M9130000</v>
          </cell>
          <cell r="B1325" t="str">
            <v>NGH001-01023</v>
          </cell>
          <cell r="C1325" t="str">
            <v>E073</v>
          </cell>
          <cell r="D1325" t="str">
            <v>00</v>
          </cell>
          <cell r="E1325" t="str">
            <v>ถุงมือผ้าเคลือบยาง 9/L #1H-CG-300B</v>
          </cell>
          <cell r="F1325">
            <v>1069</v>
          </cell>
          <cell r="G1325">
            <v>45</v>
          </cell>
        </row>
        <row r="1326">
          <cell r="A1326" t="str">
            <v>E074040206Z2300000</v>
          </cell>
          <cell r="B1326" t="str">
            <v>NAN0531-0212001</v>
          </cell>
          <cell r="C1326" t="str">
            <v>E074</v>
          </cell>
          <cell r="D1326" t="str">
            <v>06</v>
          </cell>
          <cell r="E1326" t="str">
            <v>มือจับเรียบมีรู รุ่นใหญ่ สีเทาเข้มซาฮาร่า Hi-P</v>
          </cell>
          <cell r="F1326">
            <v>15</v>
          </cell>
          <cell r="G1326">
            <v>50</v>
          </cell>
        </row>
        <row r="1327">
          <cell r="A1327" t="str">
            <v>E07412000000000000</v>
          </cell>
          <cell r="B1327" t="str">
            <v>NAN0000</v>
          </cell>
          <cell r="C1327" t="str">
            <v>E074</v>
          </cell>
          <cell r="D1327" t="str">
            <v>00</v>
          </cell>
          <cell r="E1327" t="str">
            <v>ACC ALU ยี่ห้อ HI-P (กลุ่ม)</v>
          </cell>
          <cell r="F1327">
            <v>0</v>
          </cell>
          <cell r="G1327">
            <v>0</v>
          </cell>
        </row>
        <row r="1328">
          <cell r="A1328" t="str">
            <v>E075130000M0000000</v>
          </cell>
          <cell r="B1328" t="str">
            <v>NGH001-01008</v>
          </cell>
          <cell r="C1328" t="str">
            <v>E075</v>
          </cell>
          <cell r="D1328" t="str">
            <v>00</v>
          </cell>
          <cell r="E1328" t="str">
            <v>ถุงมือยางจับกระจก ชุบยางสีเหลือง เบอร์9 #NRC4-GL9A</v>
          </cell>
          <cell r="F1328">
            <v>2733</v>
          </cell>
          <cell r="G1328">
            <v>57.747700000000002</v>
          </cell>
        </row>
        <row r="1329">
          <cell r="A1329" t="str">
            <v>E077090902I2100100</v>
          </cell>
          <cell r="B1329" t="str">
            <v>NAN0002-0506000</v>
          </cell>
          <cell r="C1329" t="str">
            <v>E077</v>
          </cell>
          <cell r="D1329" t="str">
            <v>02</v>
          </cell>
          <cell r="E1329" t="str">
            <v xml:space="preserve">กันชนแม่เหล็ก สีชา (เล็ก) </v>
          </cell>
          <cell r="F1329">
            <v>545</v>
          </cell>
          <cell r="G1329">
            <v>5.61</v>
          </cell>
        </row>
        <row r="1330">
          <cell r="A1330" t="str">
            <v>E079090904I2100100</v>
          </cell>
          <cell r="B1330" t="str">
            <v>NAN0011-0506000</v>
          </cell>
          <cell r="C1330" t="str">
            <v>E079</v>
          </cell>
          <cell r="D1330" t="str">
            <v>04</v>
          </cell>
          <cell r="E1330" t="str">
            <v>กันชนแม่เหล็ก สีอบขาว (เล็ก)</v>
          </cell>
          <cell r="F1330">
            <v>502</v>
          </cell>
          <cell r="G1330">
            <v>5.61</v>
          </cell>
        </row>
        <row r="1331">
          <cell r="A1331" t="str">
            <v>E080151300P0009900</v>
          </cell>
          <cell r="B1331" t="str">
            <v>NTN0000-2500009</v>
          </cell>
          <cell r="C1331" t="str">
            <v>E080</v>
          </cell>
          <cell r="D1331" t="str">
            <v>00</v>
          </cell>
          <cell r="E1331" t="str">
            <v>หกเหลี่ยม (9ชิ้น) TEXAS BULL #TX-HK9LB</v>
          </cell>
          <cell r="F1331">
            <v>16</v>
          </cell>
          <cell r="G1331">
            <v>77.56</v>
          </cell>
        </row>
        <row r="1332">
          <cell r="A1332" t="str">
            <v>E080151300P2632200</v>
          </cell>
          <cell r="B1332" t="str">
            <v>NTN0000-0904200</v>
          </cell>
          <cell r="C1332" t="str">
            <v>E080</v>
          </cell>
          <cell r="D1332" t="str">
            <v>00</v>
          </cell>
          <cell r="E1332" t="str">
            <v>โฮลซอเจาะฝ้า (ไฟดาวน์ไลท์) 30-200 มม. TEXAS BULL #TX-26322</v>
          </cell>
          <cell r="F1332">
            <v>42</v>
          </cell>
          <cell r="G1332">
            <v>160.13</v>
          </cell>
        </row>
        <row r="1333">
          <cell r="A1333" t="str">
            <v>E081070504G1401100</v>
          </cell>
          <cell r="B1333" t="str">
            <v>NAN0011-1301411</v>
          </cell>
          <cell r="C1333" t="str">
            <v>E081</v>
          </cell>
          <cell r="D1333" t="str">
            <v>04</v>
          </cell>
          <cell r="E1333" t="str">
            <v>ขาเกล็ด สีอบขาว 4x11 (ป้าย 333)</v>
          </cell>
          <cell r="F1333">
            <v>13</v>
          </cell>
          <cell r="G1333">
            <v>82.8</v>
          </cell>
        </row>
        <row r="1334">
          <cell r="A1334" t="str">
            <v>E081070504G1401200</v>
          </cell>
          <cell r="B1334" t="str">
            <v>NAN0011-1301412</v>
          </cell>
          <cell r="C1334" t="str">
            <v>E081</v>
          </cell>
          <cell r="D1334" t="str">
            <v>04</v>
          </cell>
          <cell r="E1334" t="str">
            <v>ขาเกล็ด สีอบขาว 4x12 (ป้าย 333)</v>
          </cell>
          <cell r="F1334">
            <v>5</v>
          </cell>
          <cell r="G1334">
            <v>203.52</v>
          </cell>
        </row>
        <row r="1335">
          <cell r="A1335" t="str">
            <v>E082020415Z0000000</v>
          </cell>
          <cell r="B1335" t="str">
            <v>NAHGGM999-2</v>
          </cell>
          <cell r="C1335" t="str">
            <v>E082</v>
          </cell>
          <cell r="D1335">
            <v>15</v>
          </cell>
          <cell r="E1335" t="str">
            <v>โช้คอัพฝังพื้น 999 SS (ใช้กับบานฟิตติ้ง, บานเปลือย) (ไม่มีอะไหล่)</v>
          </cell>
          <cell r="F1335">
            <v>4</v>
          </cell>
          <cell r="G1335">
            <v>1105.6099999999999</v>
          </cell>
        </row>
        <row r="1336">
          <cell r="A1336" t="str">
            <v>E083090903I1363000</v>
          </cell>
          <cell r="B1336" t="str">
            <v>NAN0004-0522036</v>
          </cell>
          <cell r="C1336" t="str">
            <v>E083</v>
          </cell>
          <cell r="D1336" t="str">
            <v>03</v>
          </cell>
          <cell r="E1336" t="str">
            <v>มุ้งลวด 36 นิ้ว ตรายูนิคอร์น สีดำ</v>
          </cell>
          <cell r="F1336">
            <v>2</v>
          </cell>
          <cell r="G1336">
            <v>1588.2617</v>
          </cell>
        </row>
        <row r="1337">
          <cell r="A1337" t="str">
            <v>E083090903I1423000</v>
          </cell>
          <cell r="B1337" t="str">
            <v>NAN0004-0522042</v>
          </cell>
          <cell r="C1337" t="str">
            <v>E083</v>
          </cell>
          <cell r="D1337" t="str">
            <v>03</v>
          </cell>
          <cell r="E1337" t="str">
            <v>มุ้งลวด 42 นิ้ว ตรายูนิคอร์น สีดำ</v>
          </cell>
          <cell r="F1337">
            <v>2</v>
          </cell>
          <cell r="G1337">
            <v>1972.0934999999999</v>
          </cell>
        </row>
        <row r="1338">
          <cell r="A1338" t="str">
            <v>E083090903I1483000</v>
          </cell>
          <cell r="B1338" t="str">
            <v>NAN0004-0522048</v>
          </cell>
          <cell r="C1338" t="str">
            <v>E083</v>
          </cell>
          <cell r="D1338" t="str">
            <v>03</v>
          </cell>
          <cell r="E1338" t="str">
            <v>มุ้งลวด 48 นิ้ว ตรายูนิคอร์น สีดำ</v>
          </cell>
          <cell r="F1338">
            <v>2</v>
          </cell>
          <cell r="G1338">
            <v>2289.7440000000001</v>
          </cell>
        </row>
        <row r="1339">
          <cell r="A1339" t="str">
            <v>E084141300N1010000</v>
          </cell>
          <cell r="B1339" t="str">
            <v>NTN0000-9909010</v>
          </cell>
          <cell r="C1339" t="str">
            <v>E084</v>
          </cell>
          <cell r="D1339" t="str">
            <v>00</v>
          </cell>
          <cell r="E1339" t="str">
            <v>ใบตัดอลูมิเนียม FREUD #LU5E0300 ขนาด10x100T</v>
          </cell>
          <cell r="F1339">
            <v>0</v>
          </cell>
          <cell r="G1339">
            <v>0</v>
          </cell>
        </row>
        <row r="1340">
          <cell r="A1340" t="str">
            <v>E084141300N1012000</v>
          </cell>
          <cell r="B1340" t="str">
            <v>NTN0000-9908012</v>
          </cell>
          <cell r="C1340" t="str">
            <v>E084</v>
          </cell>
          <cell r="D1340" t="str">
            <v>00</v>
          </cell>
          <cell r="E1340" t="str">
            <v>ใบตัดอลูมิเนียม FREUD #LU5E0600 ขนาด12x120T</v>
          </cell>
          <cell r="F1340">
            <v>0</v>
          </cell>
          <cell r="G1340">
            <v>0</v>
          </cell>
        </row>
        <row r="1341">
          <cell r="A1341" t="str">
            <v>E08503000000000000</v>
          </cell>
          <cell r="B1341" t="str">
            <v>NAN0000</v>
          </cell>
          <cell r="C1341" t="str">
            <v>E085</v>
          </cell>
          <cell r="D1341" t="str">
            <v>00</v>
          </cell>
          <cell r="E1341" t="str">
            <v>ลูกล้อ ยี่ห้อ WISDOM (กลุ่ม)</v>
          </cell>
          <cell r="F1341">
            <v>2</v>
          </cell>
          <cell r="G1341">
            <v>0</v>
          </cell>
        </row>
        <row r="1342">
          <cell r="A1342" t="str">
            <v>E08614000000000000</v>
          </cell>
          <cell r="B1342" t="str">
            <v>NAN0000</v>
          </cell>
          <cell r="C1342" t="str">
            <v>E086</v>
          </cell>
          <cell r="D1342" t="str">
            <v>00</v>
          </cell>
          <cell r="E1342" t="str">
            <v>Tools ยี่ห้อ DMK (กลุ่ม)</v>
          </cell>
          <cell r="F1342">
            <v>0</v>
          </cell>
          <cell r="G1342">
            <v>0</v>
          </cell>
        </row>
        <row r="1343">
          <cell r="A1343" t="str">
            <v>E08804000000000000</v>
          </cell>
          <cell r="B1343" t="str">
            <v>NAN0000</v>
          </cell>
          <cell r="C1343" t="str">
            <v>E088</v>
          </cell>
          <cell r="D1343" t="str">
            <v>00</v>
          </cell>
          <cell r="E1343" t="str">
            <v>มือจับ ยี่ห้อ Cenza (กลุ่ม)</v>
          </cell>
          <cell r="F1343">
            <v>0</v>
          </cell>
          <cell r="G1343">
            <v>0</v>
          </cell>
        </row>
        <row r="1344">
          <cell r="A1344" t="str">
            <v>E08904000000000000</v>
          </cell>
          <cell r="B1344" t="str">
            <v>NAN0000</v>
          </cell>
          <cell r="C1344" t="str">
            <v>E089</v>
          </cell>
          <cell r="D1344" t="str">
            <v>00</v>
          </cell>
          <cell r="E1344" t="str">
            <v>มือจับ ยี่ห้อ CMECH (กลุ่ม)</v>
          </cell>
          <cell r="F1344">
            <v>0</v>
          </cell>
          <cell r="G1344">
            <v>0</v>
          </cell>
        </row>
        <row r="1345">
          <cell r="A1345" t="str">
            <v>E089040100D1010000</v>
          </cell>
          <cell r="B1345" t="str">
            <v>NAN0004-0225009</v>
          </cell>
          <cell r="C1345" t="str">
            <v>E089</v>
          </cell>
          <cell r="D1345" t="str">
            <v>00</v>
          </cell>
          <cell r="E1345" t="str">
            <v>แกนฟ็อกมือจับบานเปิด 33 มิล CMECH #ชิดริม-A110100</v>
          </cell>
          <cell r="F1345">
            <v>0</v>
          </cell>
          <cell r="G1345">
            <v>0</v>
          </cell>
        </row>
        <row r="1346">
          <cell r="A1346" t="str">
            <v>E089040103D1021300</v>
          </cell>
          <cell r="B1346" t="str">
            <v>NAN0004-0225007</v>
          </cell>
          <cell r="C1346" t="str">
            <v>E089</v>
          </cell>
          <cell r="D1346" t="str">
            <v>03</v>
          </cell>
          <cell r="E1346" t="str">
            <v>มือจับบานเปิด สีดำ CMECH #โคโลญ-A010213 (ซื้อ)</v>
          </cell>
          <cell r="F1346">
            <v>0</v>
          </cell>
          <cell r="G1346">
            <v>0</v>
          </cell>
        </row>
        <row r="1347">
          <cell r="A1347" t="str">
            <v>E089040103D1021301</v>
          </cell>
          <cell r="B1347" t="str">
            <v>NAN0004-0235000</v>
          </cell>
          <cell r="C1347" t="str">
            <v>E089</v>
          </cell>
          <cell r="D1347" t="str">
            <v>03</v>
          </cell>
          <cell r="E1347" t="str">
            <v>มือจับบานเปิด สีดำ CMECH #โคโลญ-A010213 พร้อมแกนฟ็อก 33 มม.</v>
          </cell>
          <cell r="F1347">
            <v>38</v>
          </cell>
          <cell r="G1347">
            <v>365.4</v>
          </cell>
        </row>
        <row r="1348">
          <cell r="A1348" t="str">
            <v>E089040103D1044700</v>
          </cell>
          <cell r="B1348" t="str">
            <v>NAN0004-0225008</v>
          </cell>
          <cell r="C1348" t="str">
            <v>E089</v>
          </cell>
          <cell r="D1348" t="str">
            <v>03</v>
          </cell>
          <cell r="E1348" t="str">
            <v>มือจับบานเปิดเบอร์ลิน สีดำ CMECH #เบอร์ลิน-A010447 (ซื้อ)</v>
          </cell>
          <cell r="F1348">
            <v>0</v>
          </cell>
          <cell r="G1348">
            <v>0</v>
          </cell>
        </row>
        <row r="1349">
          <cell r="A1349" t="str">
            <v>E089040103D1044701</v>
          </cell>
          <cell r="B1349" t="str">
            <v>NAN0004-0235001</v>
          </cell>
          <cell r="C1349" t="str">
            <v>E089</v>
          </cell>
          <cell r="D1349" t="str">
            <v>03</v>
          </cell>
          <cell r="E1349" t="str">
            <v>มือจับบานเปิด สีดำ CMECH #เบอร์ลิน-A010447 พร้อมแกนฟ็อก 33 มม.</v>
          </cell>
          <cell r="F1349">
            <v>108</v>
          </cell>
          <cell r="G1349">
            <v>390.98</v>
          </cell>
        </row>
        <row r="1350">
          <cell r="A1350" t="str">
            <v>E089040203D1000400</v>
          </cell>
          <cell r="B1350" t="str">
            <v>NAN0004-0225003</v>
          </cell>
          <cell r="C1350" t="str">
            <v>E089</v>
          </cell>
          <cell r="D1350" t="str">
            <v>03</v>
          </cell>
          <cell r="E1350" t="str">
            <v>มือจับดัมมี่ สีดำ CMECH #เมโทร-E010004</v>
          </cell>
          <cell r="F1350">
            <v>94</v>
          </cell>
          <cell r="G1350">
            <v>253.8</v>
          </cell>
        </row>
        <row r="1351">
          <cell r="A1351" t="str">
            <v>E089040203D1001900</v>
          </cell>
          <cell r="B1351" t="str">
            <v>NAN0004-0225006</v>
          </cell>
          <cell r="C1351" t="str">
            <v>E089</v>
          </cell>
          <cell r="D1351" t="str">
            <v>03</v>
          </cell>
          <cell r="E1351" t="str">
            <v>มือจับฝังมัลติพอยท์ล็อคดัมมี่ สีดำ CMECH-E010019-10</v>
          </cell>
          <cell r="F1351">
            <v>75</v>
          </cell>
          <cell r="G1351">
            <v>109.2</v>
          </cell>
        </row>
        <row r="1352">
          <cell r="A1352" t="str">
            <v>E089040203D1002500</v>
          </cell>
          <cell r="B1352" t="str">
            <v>NAN0004-0225005</v>
          </cell>
          <cell r="C1352" t="str">
            <v>E089</v>
          </cell>
          <cell r="D1352" t="str">
            <v>03</v>
          </cell>
          <cell r="E1352" t="str">
            <v>มือจับฝังมัลติพอยท์ล็อคล็อคกุญแจ สีดำ CMECH E010025</v>
          </cell>
          <cell r="F1352">
            <v>63</v>
          </cell>
          <cell r="G1352">
            <v>271.2</v>
          </cell>
        </row>
        <row r="1353">
          <cell r="A1353" t="str">
            <v>E089040203D1002600</v>
          </cell>
          <cell r="B1353" t="str">
            <v>NAN0004-0225004</v>
          </cell>
          <cell r="C1353" t="str">
            <v>E089</v>
          </cell>
          <cell r="D1353" t="str">
            <v>03</v>
          </cell>
          <cell r="E1353" t="str">
            <v>มือจับฝังมัลติพอยท์ล็อค สีดำ CMECH-E010026-10</v>
          </cell>
          <cell r="F1353">
            <v>49</v>
          </cell>
          <cell r="G1353">
            <v>138.6</v>
          </cell>
        </row>
        <row r="1354">
          <cell r="A1354" t="str">
            <v>E089040203D1003600</v>
          </cell>
          <cell r="B1354" t="str">
            <v>NAN0004-0225001</v>
          </cell>
          <cell r="C1354" t="str">
            <v>E089</v>
          </cell>
          <cell r="D1354" t="str">
            <v>03</v>
          </cell>
          <cell r="E1354" t="str">
            <v>มือจับล็อค สีดำ CMECH #เมโทร-E010036-10</v>
          </cell>
          <cell r="F1354">
            <v>85</v>
          </cell>
          <cell r="G1354">
            <v>379.8</v>
          </cell>
        </row>
        <row r="1355">
          <cell r="A1355" t="str">
            <v>E089040203D1003700</v>
          </cell>
          <cell r="B1355" t="str">
            <v>NAN0004-0225002</v>
          </cell>
          <cell r="C1355" t="str">
            <v>E089</v>
          </cell>
          <cell r="D1355" t="str">
            <v>03</v>
          </cell>
          <cell r="E1355" t="str">
            <v>มือจับล็อค+กุญแจ สีดำ CMECH #เมโทร-E010037-10</v>
          </cell>
          <cell r="F1355">
            <v>39</v>
          </cell>
          <cell r="G1355">
            <v>682.8</v>
          </cell>
        </row>
        <row r="1356">
          <cell r="A1356" t="str">
            <v>E089040204D1000400</v>
          </cell>
          <cell r="B1356" t="str">
            <v/>
          </cell>
          <cell r="C1356" t="str">
            <v>E089</v>
          </cell>
          <cell r="D1356" t="str">
            <v>04</v>
          </cell>
          <cell r="E1356" t="str">
            <v>มือจับดัมมี่ สีอบขาว CMECH #เมโทร-E010004-09</v>
          </cell>
          <cell r="F1356">
            <v>6</v>
          </cell>
          <cell r="G1356">
            <v>253.8</v>
          </cell>
        </row>
        <row r="1357">
          <cell r="A1357" t="str">
            <v>E089040204D1001900</v>
          </cell>
          <cell r="B1357" t="str">
            <v/>
          </cell>
          <cell r="C1357" t="str">
            <v>E089</v>
          </cell>
          <cell r="D1357" t="str">
            <v>04</v>
          </cell>
          <cell r="E1357" t="str">
            <v>มือจับฝังมัลติพอยท์ล็อคดัมมี่ สีอบขาว CMECH-E010019-09</v>
          </cell>
          <cell r="F1357">
            <v>20</v>
          </cell>
          <cell r="G1357">
            <v>109.2</v>
          </cell>
        </row>
        <row r="1358">
          <cell r="A1358" t="str">
            <v>E089040204D1002500</v>
          </cell>
          <cell r="B1358" t="str">
            <v/>
          </cell>
          <cell r="C1358" t="str">
            <v>E089</v>
          </cell>
          <cell r="D1358" t="str">
            <v>04</v>
          </cell>
          <cell r="E1358" t="str">
            <v>มือจับฝังมัลติพอยท์ล็อคล็อคกุญแจ สีอบขาว CMECH E010025-09</v>
          </cell>
          <cell r="F1358">
            <v>10</v>
          </cell>
          <cell r="G1358">
            <v>271.2</v>
          </cell>
        </row>
        <row r="1359">
          <cell r="A1359" t="str">
            <v>E089040204D1002600</v>
          </cell>
          <cell r="B1359" t="str">
            <v/>
          </cell>
          <cell r="C1359" t="str">
            <v>E089</v>
          </cell>
          <cell r="D1359" t="str">
            <v>04</v>
          </cell>
          <cell r="E1359" t="str">
            <v>มือจับฝังมัลติพอยท์ล็อค สีอบขาว CMECH-E010026-09</v>
          </cell>
          <cell r="F1359">
            <v>20</v>
          </cell>
          <cell r="G1359">
            <v>138.6</v>
          </cell>
        </row>
        <row r="1360">
          <cell r="A1360" t="str">
            <v>E089040204D1003600</v>
          </cell>
          <cell r="B1360" t="str">
            <v/>
          </cell>
          <cell r="C1360" t="str">
            <v>E089</v>
          </cell>
          <cell r="D1360" t="str">
            <v>04</v>
          </cell>
          <cell r="E1360" t="str">
            <v>มือจับล็อค สีอบขาว CMECH #เมโทร-E010036-09</v>
          </cell>
          <cell r="F1360">
            <v>18</v>
          </cell>
          <cell r="G1360">
            <v>379.8</v>
          </cell>
        </row>
        <row r="1361">
          <cell r="A1361" t="str">
            <v>E089040204D1003700</v>
          </cell>
          <cell r="B1361" t="str">
            <v/>
          </cell>
          <cell r="C1361" t="str">
            <v>E089</v>
          </cell>
          <cell r="D1361" t="str">
            <v>04</v>
          </cell>
          <cell r="E1361" t="str">
            <v>มือจับล็อค+กุญแจ สีอบขาว CMECH #เมโทร-E010037-09</v>
          </cell>
          <cell r="F1361">
            <v>11</v>
          </cell>
          <cell r="G1361">
            <v>682.8</v>
          </cell>
        </row>
        <row r="1362">
          <cell r="A1362" t="str">
            <v>E08905000000000000</v>
          </cell>
          <cell r="B1362" t="str">
            <v>NAN0000</v>
          </cell>
          <cell r="C1362" t="str">
            <v>E089</v>
          </cell>
          <cell r="D1362" t="str">
            <v>00</v>
          </cell>
          <cell r="E1362" t="str">
            <v>กุญแจ-กลอน ยี่ห้อ CMECH (กลุ่ม)</v>
          </cell>
          <cell r="F1362">
            <v>0</v>
          </cell>
          <cell r="G1362">
            <v>0</v>
          </cell>
        </row>
        <row r="1363">
          <cell r="A1363" t="str">
            <v>E08912000000000000</v>
          </cell>
          <cell r="B1363" t="str">
            <v>NAN0000</v>
          </cell>
          <cell r="C1363" t="str">
            <v>E089</v>
          </cell>
          <cell r="D1363" t="str">
            <v>00</v>
          </cell>
          <cell r="E1363" t="str">
            <v>ACC ALU ยี่ห้อ CMECH (กลุ่ม)</v>
          </cell>
          <cell r="F1363">
            <v>0</v>
          </cell>
          <cell r="G1363">
            <v>0</v>
          </cell>
        </row>
        <row r="1364">
          <cell r="A1364" t="str">
            <v>E094010603A1205001</v>
          </cell>
          <cell r="B1364" t="str">
            <v>NAN0004-0183650</v>
          </cell>
          <cell r="C1364" t="str">
            <v>E094</v>
          </cell>
          <cell r="D1364" t="str">
            <v>03</v>
          </cell>
          <cell r="E1364" t="str">
            <v>ยางลูกโป่ง Santoprene ฐาน 4.8 มม x โป่ง 6.5 มม สีดำ (50 ม.) S76350</v>
          </cell>
          <cell r="F1364">
            <v>41</v>
          </cell>
          <cell r="G1364">
            <v>550</v>
          </cell>
        </row>
        <row r="1365">
          <cell r="A1365" t="str">
            <v>E095090901Z1483099</v>
          </cell>
          <cell r="B1365" t="str">
            <v>NAN0001-0510048</v>
          </cell>
          <cell r="C1365" t="str">
            <v>E095</v>
          </cell>
          <cell r="D1365" t="str">
            <v>01</v>
          </cell>
          <cell r="E1365" t="str">
            <v>มุ้งลวด สีขาวอลู48 นิ้ว ตราลูกโลก</v>
          </cell>
          <cell r="F1365">
            <v>0</v>
          </cell>
          <cell r="G1365">
            <v>0</v>
          </cell>
        </row>
        <row r="1366">
          <cell r="A1366" t="str">
            <v>E09604000000000000</v>
          </cell>
          <cell r="B1366" t="str">
            <v>NAN0000</v>
          </cell>
          <cell r="C1366" t="str">
            <v>E096</v>
          </cell>
          <cell r="D1366" t="str">
            <v>00</v>
          </cell>
          <cell r="E1366" t="str">
            <v>มือจับ ยี่ห้อ PT Handle (กลุ่ม)</v>
          </cell>
          <cell r="F1366">
            <v>5</v>
          </cell>
          <cell r="G1366">
            <v>0</v>
          </cell>
        </row>
        <row r="1367">
          <cell r="A1367" t="str">
            <v>E09708000000000000</v>
          </cell>
          <cell r="B1367" t="str">
            <v>NAN0000</v>
          </cell>
          <cell r="C1367" t="str">
            <v>E097</v>
          </cell>
          <cell r="D1367" t="str">
            <v>00</v>
          </cell>
          <cell r="E1367" t="str">
            <v>บานพับ ยี่ห้อ LOX (กลุ่ม)</v>
          </cell>
          <cell r="F1367">
            <v>0</v>
          </cell>
          <cell r="G1367">
            <v>0</v>
          </cell>
        </row>
        <row r="1368">
          <cell r="A1368" t="str">
            <v>E09805000000000000</v>
          </cell>
          <cell r="B1368" t="str">
            <v>NAN0000</v>
          </cell>
          <cell r="C1368" t="str">
            <v>E098</v>
          </cell>
          <cell r="D1368" t="str">
            <v>00</v>
          </cell>
          <cell r="E1368" t="str">
            <v>กุญแจ-กลอน ยี่ห้อ Yale (กลุ่ม)</v>
          </cell>
          <cell r="F1368">
            <v>0</v>
          </cell>
          <cell r="G1368">
            <v>0</v>
          </cell>
        </row>
        <row r="1369">
          <cell r="A1369" t="str">
            <v>E099090903I3363000</v>
          </cell>
          <cell r="B1369" t="e">
            <v>#N/A</v>
          </cell>
          <cell r="C1369" t="str">
            <v>E099</v>
          </cell>
          <cell r="D1369" t="e">
            <v>#N/A</v>
          </cell>
          <cell r="E1369" t="str">
            <v>มุ้งไฟเบอร์ สีดำ 36นิ้ว 3DI</v>
          </cell>
          <cell r="F1369">
            <v>20</v>
          </cell>
          <cell r="G1369">
            <v>332.71</v>
          </cell>
        </row>
        <row r="1370">
          <cell r="A1370" t="str">
            <v>E099090903I3423000</v>
          </cell>
          <cell r="B1370" t="str">
            <v/>
          </cell>
          <cell r="C1370" t="str">
            <v>E099</v>
          </cell>
          <cell r="D1370" t="str">
            <v>03</v>
          </cell>
          <cell r="E1370" t="str">
            <v>มุ้งไฟเบอร์ สีดำ 42นิ้ว 3DI</v>
          </cell>
          <cell r="F1370">
            <v>23</v>
          </cell>
          <cell r="G1370">
            <v>374.77</v>
          </cell>
        </row>
        <row r="1371">
          <cell r="A1371" t="str">
            <v>E099090903I3483000</v>
          </cell>
          <cell r="B1371" t="str">
            <v/>
          </cell>
          <cell r="C1371" t="str">
            <v>E099</v>
          </cell>
          <cell r="D1371" t="str">
            <v>03</v>
          </cell>
          <cell r="E1371" t="str">
            <v>มุ้งไฟเบอร์ สีดำ 48นิ้ว 3DI</v>
          </cell>
          <cell r="F1371">
            <v>23</v>
          </cell>
          <cell r="G1371">
            <v>424.3</v>
          </cell>
        </row>
        <row r="1372">
          <cell r="A1372" t="str">
            <v>E099090905I3363000</v>
          </cell>
          <cell r="B1372" t="str">
            <v/>
          </cell>
          <cell r="C1372" t="str">
            <v>E099</v>
          </cell>
          <cell r="D1372" t="str">
            <v>05</v>
          </cell>
          <cell r="E1372" t="str">
            <v>มุ้งไฟเบอร์ สีเทา 36 นิ้ว ตรา 3DI</v>
          </cell>
          <cell r="F1372">
            <v>29</v>
          </cell>
          <cell r="G1372">
            <v>332.71</v>
          </cell>
        </row>
        <row r="1373">
          <cell r="A1373" t="str">
            <v>E099090905I3423000</v>
          </cell>
          <cell r="B1373" t="str">
            <v/>
          </cell>
          <cell r="C1373" t="str">
            <v>E099</v>
          </cell>
          <cell r="D1373" t="str">
            <v>05</v>
          </cell>
          <cell r="E1373" t="str">
            <v>มุ้งไฟเบอร์ สีเทา 42 นิ้ว ตรา 3DI</v>
          </cell>
          <cell r="F1373">
            <v>34</v>
          </cell>
          <cell r="G1373">
            <v>374.77</v>
          </cell>
        </row>
        <row r="1374">
          <cell r="A1374" t="str">
            <v>E099090905I3483000</v>
          </cell>
          <cell r="B1374" t="str">
            <v/>
          </cell>
          <cell r="C1374" t="str">
            <v>E099</v>
          </cell>
          <cell r="D1374" t="str">
            <v>05</v>
          </cell>
          <cell r="E1374" t="str">
            <v>มุ้งไฟเบอร์ สีเทา 48 นิ้ว ตรา 3DI</v>
          </cell>
          <cell r="F1374">
            <v>31</v>
          </cell>
          <cell r="G1374">
            <v>424.3</v>
          </cell>
        </row>
        <row r="1375">
          <cell r="A1375" t="str">
            <v>E099141300N1800000</v>
          </cell>
          <cell r="B1375" t="str">
            <v/>
          </cell>
          <cell r="C1375" t="str">
            <v>E099</v>
          </cell>
          <cell r="D1375" t="str">
            <v>00</v>
          </cell>
          <cell r="E1375" t="str">
            <v>ดอกสว่าน 1/8" 3DI  (ซื้อ)</v>
          </cell>
          <cell r="F1375">
            <v>0</v>
          </cell>
          <cell r="G1375">
            <v>0</v>
          </cell>
        </row>
        <row r="1376">
          <cell r="A1376" t="str">
            <v>E099141300N1800001</v>
          </cell>
          <cell r="B1376" t="str">
            <v/>
          </cell>
          <cell r="C1376" t="str">
            <v>E099</v>
          </cell>
          <cell r="D1376" t="str">
            <v>00</v>
          </cell>
          <cell r="E1376" t="str">
            <v>ดอกสว่าน 1/8" 3DI (12ดอก/ห่อ)</v>
          </cell>
          <cell r="F1376">
            <v>317</v>
          </cell>
          <cell r="G1376">
            <v>51.4</v>
          </cell>
        </row>
        <row r="1377">
          <cell r="A1377" t="str">
            <v>E099141300N9640000</v>
          </cell>
          <cell r="B1377" t="str">
            <v/>
          </cell>
          <cell r="C1377" t="str">
            <v>E099</v>
          </cell>
          <cell r="D1377" t="str">
            <v>00</v>
          </cell>
          <cell r="E1377" t="str">
            <v>ดอกสว่าน 9/64" 3DI (ซื้อ)</v>
          </cell>
          <cell r="F1377">
            <v>0</v>
          </cell>
          <cell r="G1377">
            <v>0</v>
          </cell>
        </row>
        <row r="1378">
          <cell r="A1378" t="str">
            <v>E099141300N9640001</v>
          </cell>
          <cell r="B1378" t="str">
            <v/>
          </cell>
          <cell r="C1378" t="str">
            <v>E099</v>
          </cell>
          <cell r="D1378" t="str">
            <v>00</v>
          </cell>
          <cell r="E1378" t="str">
            <v>ดอกสว่าน 9/64" 3DI (12ดอก/ห่อ)</v>
          </cell>
          <cell r="F1378">
            <v>291</v>
          </cell>
          <cell r="G1378">
            <v>59.813099999999999</v>
          </cell>
        </row>
        <row r="1379">
          <cell r="A1379" t="str">
            <v>E099141301N4200000</v>
          </cell>
          <cell r="B1379" t="str">
            <v/>
          </cell>
          <cell r="C1379" t="str">
            <v>E099</v>
          </cell>
          <cell r="D1379" t="str">
            <v>01</v>
          </cell>
          <cell r="E1379" t="str">
            <v>รีเวท 4-2 สีขาวอลู ตรา 3DI</v>
          </cell>
          <cell r="F1379">
            <v>8</v>
          </cell>
          <cell r="G1379">
            <v>121.5</v>
          </cell>
        </row>
        <row r="1380">
          <cell r="A1380" t="str">
            <v>E099141301N4400000</v>
          </cell>
          <cell r="B1380" t="e">
            <v>#N/A</v>
          </cell>
          <cell r="C1380" t="str">
            <v>E099</v>
          </cell>
          <cell r="D1380" t="e">
            <v>#N/A</v>
          </cell>
          <cell r="E1380" t="str">
            <v>รีเวท 4-4 สีขาวอลู ตรา 3DI</v>
          </cell>
          <cell r="F1380">
            <v>187</v>
          </cell>
          <cell r="G1380">
            <v>113.09</v>
          </cell>
        </row>
        <row r="1381">
          <cell r="A1381" t="str">
            <v>E099141302N4400000</v>
          </cell>
          <cell r="B1381" t="e">
            <v>#N/A</v>
          </cell>
          <cell r="C1381" t="str">
            <v>E099</v>
          </cell>
          <cell r="D1381" t="e">
            <v>#N/A</v>
          </cell>
          <cell r="E1381" t="str">
            <v>รีเวท 4-4 สีชา ตรา 3DI</v>
          </cell>
          <cell r="F1381">
            <v>100</v>
          </cell>
          <cell r="G1381">
            <v>135.51</v>
          </cell>
        </row>
        <row r="1382">
          <cell r="A1382" t="str">
            <v>E099141303N4000000</v>
          </cell>
          <cell r="B1382" t="str">
            <v/>
          </cell>
          <cell r="C1382" t="str">
            <v>E099</v>
          </cell>
          <cell r="D1382" t="str">
            <v>03</v>
          </cell>
          <cell r="E1382" t="str">
            <v>ใบตัดเหล็กและสแตนเลส 4นิ้ว สีดำ 3DI (ซื้อ)</v>
          </cell>
          <cell r="F1382">
            <v>0</v>
          </cell>
          <cell r="G1382">
            <v>0</v>
          </cell>
        </row>
        <row r="1383">
          <cell r="A1383" t="str">
            <v>E099141303N4000101</v>
          </cell>
          <cell r="B1383" t="str">
            <v/>
          </cell>
          <cell r="C1383" t="str">
            <v>E099</v>
          </cell>
          <cell r="D1383" t="str">
            <v>03</v>
          </cell>
          <cell r="E1383" t="str">
            <v>ใบตัดเหล็กและสแตนเลส 4นิ้ว สีดำ 3DI</v>
          </cell>
          <cell r="F1383">
            <v>148</v>
          </cell>
          <cell r="G1383">
            <v>4.67</v>
          </cell>
        </row>
        <row r="1384">
          <cell r="A1384" t="str">
            <v>E099141303N4400000</v>
          </cell>
          <cell r="B1384" t="str">
            <v/>
          </cell>
          <cell r="C1384" t="str">
            <v>E099</v>
          </cell>
          <cell r="D1384" t="str">
            <v>03</v>
          </cell>
          <cell r="E1384" t="str">
            <v>รีเวท 4-4 สีดำ ตรา 3DI</v>
          </cell>
          <cell r="F1384">
            <v>231</v>
          </cell>
          <cell r="G1384">
            <v>135.51</v>
          </cell>
        </row>
        <row r="1385">
          <cell r="A1385" t="str">
            <v>E099141304N4400000</v>
          </cell>
          <cell r="B1385" t="str">
            <v/>
          </cell>
          <cell r="C1385" t="str">
            <v>E099</v>
          </cell>
          <cell r="D1385" t="str">
            <v>04</v>
          </cell>
          <cell r="E1385" t="str">
            <v>รีเวท 4-4 สีอบขาว ตรา 3DI</v>
          </cell>
          <cell r="F1385">
            <v>233</v>
          </cell>
          <cell r="G1385">
            <v>135.51</v>
          </cell>
        </row>
        <row r="1386">
          <cell r="A1386" t="str">
            <v>E099141306N4400000</v>
          </cell>
          <cell r="B1386" t="str">
            <v/>
          </cell>
          <cell r="C1386" t="str">
            <v>E099</v>
          </cell>
          <cell r="D1386" t="str">
            <v>06</v>
          </cell>
          <cell r="E1386" t="str">
            <v>รีเวท 4-4 สีเทาซาฮาร่า ตรา 3DI</v>
          </cell>
          <cell r="F1386">
            <v>100</v>
          </cell>
          <cell r="G1386">
            <v>135.51</v>
          </cell>
        </row>
        <row r="1387">
          <cell r="A1387" t="str">
            <v>E099141310N4000000</v>
          </cell>
          <cell r="B1387" t="str">
            <v/>
          </cell>
          <cell r="C1387" t="str">
            <v>E099</v>
          </cell>
          <cell r="D1387">
            <v>10</v>
          </cell>
          <cell r="E1387" t="str">
            <v>ใบตัดเหล็กและสแตนเลส 4นิ้ว สีเขียว 3DI (ซื้อ)</v>
          </cell>
          <cell r="F1387">
            <v>0</v>
          </cell>
          <cell r="G1387">
            <v>0</v>
          </cell>
        </row>
        <row r="1388">
          <cell r="A1388" t="str">
            <v>E099141310N4000101</v>
          </cell>
          <cell r="B1388" t="str">
            <v/>
          </cell>
          <cell r="C1388" t="str">
            <v>E099</v>
          </cell>
          <cell r="D1388">
            <v>10</v>
          </cell>
          <cell r="E1388" t="str">
            <v>ใบตัดเหล็กและสแตนเลส 4นิ้ว สีเขียว 3DI</v>
          </cell>
          <cell r="F1388">
            <v>1002</v>
          </cell>
          <cell r="G1388">
            <v>4.67</v>
          </cell>
        </row>
        <row r="1389">
          <cell r="A1389" t="str">
            <v>E099141313N4400001</v>
          </cell>
          <cell r="B1389" t="str">
            <v/>
          </cell>
          <cell r="C1389" t="str">
            <v>E099</v>
          </cell>
          <cell r="D1389">
            <v>13</v>
          </cell>
          <cell r="E1389" t="str">
            <v>รีเวท 4-4 สีไลท์โอ๊ค ตรา 3DI</v>
          </cell>
          <cell r="F1389">
            <v>108</v>
          </cell>
          <cell r="G1389">
            <v>135.51</v>
          </cell>
        </row>
        <row r="1390">
          <cell r="A1390" t="str">
            <v>E099141313N4400002</v>
          </cell>
          <cell r="B1390" t="str">
            <v/>
          </cell>
          <cell r="C1390" t="str">
            <v>E099</v>
          </cell>
          <cell r="D1390">
            <v>13</v>
          </cell>
          <cell r="E1390" t="str">
            <v>รีเวท 4-4 สีไม้สักทอง ตรา 3DI</v>
          </cell>
          <cell r="F1390">
            <v>109</v>
          </cell>
          <cell r="G1390">
            <v>135.51</v>
          </cell>
        </row>
        <row r="1391">
          <cell r="A1391" t="str">
            <v>E099141313N4400003</v>
          </cell>
          <cell r="B1391" t="str">
            <v/>
          </cell>
          <cell r="C1391" t="str">
            <v>E099</v>
          </cell>
          <cell r="D1391">
            <v>13</v>
          </cell>
          <cell r="E1391" t="str">
            <v>รีเวท 4-4 สีไม้สัก ตรา 3DI</v>
          </cell>
          <cell r="F1391">
            <v>107</v>
          </cell>
          <cell r="G1391">
            <v>135.51</v>
          </cell>
        </row>
        <row r="1392">
          <cell r="A1392" t="str">
            <v>E100141300N7020000</v>
          </cell>
          <cell r="B1392" t="str">
            <v/>
          </cell>
          <cell r="C1392" t="str">
            <v>E100</v>
          </cell>
          <cell r="D1392" t="str">
            <v>00</v>
          </cell>
          <cell r="E1392" t="str">
            <v>คีมย้ำรีเวท SRC รุ่น HR702 (เหล็ก) 3DI</v>
          </cell>
          <cell r="F1392">
            <v>73</v>
          </cell>
          <cell r="G1392">
            <v>119.63</v>
          </cell>
        </row>
        <row r="1393">
          <cell r="A1393" t="str">
            <v>E100141300N7050000</v>
          </cell>
          <cell r="B1393" t="str">
            <v/>
          </cell>
          <cell r="C1393" t="str">
            <v>E100</v>
          </cell>
          <cell r="D1393" t="str">
            <v>00</v>
          </cell>
          <cell r="E1393" t="str">
            <v>คีมย้ำรีเวท SRC รุ่น HR705 (อลูมิเนียม) 3DI</v>
          </cell>
          <cell r="F1393">
            <v>23</v>
          </cell>
          <cell r="G1393">
            <v>174.77</v>
          </cell>
        </row>
        <row r="1394">
          <cell r="A1394" t="str">
            <v>E10113000000000000</v>
          </cell>
          <cell r="B1394" t="str">
            <v/>
          </cell>
          <cell r="C1394" t="str">
            <v>E101</v>
          </cell>
          <cell r="D1394" t="str">
            <v>00</v>
          </cell>
          <cell r="E1394" t="str">
            <v>อุปกรณ์กระจก ยี่ห้อ HAFELE (กลุ่ม)</v>
          </cell>
          <cell r="F1394">
            <v>0</v>
          </cell>
          <cell r="G1394">
            <v>0</v>
          </cell>
        </row>
        <row r="1395">
          <cell r="A1395" t="str">
            <v>E102030000C0000100</v>
          </cell>
          <cell r="B1395" t="str">
            <v/>
          </cell>
          <cell r="C1395" t="str">
            <v>E102</v>
          </cell>
          <cell r="D1395" t="str">
            <v>00</v>
          </cell>
          <cell r="E1395" t="str">
            <v>ลูกล้อลูกปืนรางหนีบ ตราใบไม้ (บานเลื่อนล้อตู้)</v>
          </cell>
          <cell r="F1395">
            <v>54</v>
          </cell>
          <cell r="G1395">
            <v>13.5</v>
          </cell>
        </row>
        <row r="1396">
          <cell r="A1396" t="str">
            <v>E103040314D3011700</v>
          </cell>
          <cell r="B1396" t="str">
            <v/>
          </cell>
          <cell r="C1396" t="str">
            <v>E103</v>
          </cell>
          <cell r="D1396">
            <v>14</v>
          </cell>
          <cell r="E1396" t="str">
            <v>มือจับสแตนเลส SMA รุ่น 117 (SUS304) ขนาด305*25*75</v>
          </cell>
          <cell r="F1396">
            <v>51</v>
          </cell>
          <cell r="G1396">
            <v>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639B-9204-4690-922B-F0FA709E714D}">
  <dimension ref="A1:P1471"/>
  <sheetViews>
    <sheetView tabSelected="1" zoomScale="110" zoomScaleNormal="110" workbookViewId="0">
      <pane xSplit="3" ySplit="1" topLeftCell="D2" activePane="bottomRight" state="frozen"/>
      <selection pane="topRight" activeCell="F1" sqref="F1"/>
      <selection pane="bottomLeft" activeCell="A2" sqref="A2"/>
      <selection pane="bottomRight" activeCell="D18" sqref="D18"/>
    </sheetView>
  </sheetViews>
  <sheetFormatPr defaultRowHeight="14.4" x14ac:dyDescent="0.3"/>
  <cols>
    <col min="1" max="1" width="21.33203125" customWidth="1"/>
    <col min="2" max="2" width="10.21875" style="3" customWidth="1"/>
    <col min="3" max="3" width="39" customWidth="1"/>
    <col min="4" max="4" width="12.77734375" style="29" customWidth="1"/>
    <col min="5" max="5" width="12.5546875" style="3" customWidth="1"/>
    <col min="6" max="6" width="8.44140625" style="3" customWidth="1"/>
    <col min="7" max="7" width="14.109375" style="21" customWidth="1"/>
    <col min="8" max="8" width="14.5546875" style="1" customWidth="1"/>
    <col min="9" max="9" width="11.44140625" style="4" customWidth="1"/>
    <col min="10" max="10" width="12" style="20" customWidth="1"/>
    <col min="11" max="15" width="10.44140625" style="1" bestFit="1" customWidth="1"/>
    <col min="16" max="16" width="28" customWidth="1"/>
  </cols>
  <sheetData>
    <row r="1" spans="1:16" s="22" customFormat="1" ht="45.6" customHeight="1" x14ac:dyDescent="0.3">
      <c r="A1" s="23" t="s">
        <v>2640</v>
      </c>
      <c r="B1" s="23" t="s">
        <v>2772</v>
      </c>
      <c r="C1" s="23" t="s">
        <v>2942</v>
      </c>
      <c r="D1" s="27" t="s">
        <v>2922</v>
      </c>
      <c r="E1" s="34" t="s">
        <v>2930</v>
      </c>
      <c r="F1" s="34" t="s">
        <v>2931</v>
      </c>
      <c r="G1" s="24" t="s">
        <v>2928</v>
      </c>
      <c r="H1" s="24" t="s">
        <v>2929</v>
      </c>
      <c r="I1" s="25" t="s">
        <v>2914</v>
      </c>
      <c r="J1" s="26" t="s">
        <v>2913</v>
      </c>
      <c r="K1" s="27" t="s">
        <v>2639</v>
      </c>
      <c r="L1" s="27" t="s">
        <v>2638</v>
      </c>
      <c r="M1" s="27" t="s">
        <v>2637</v>
      </c>
      <c r="N1" s="27" t="s">
        <v>2636</v>
      </c>
      <c r="O1" s="27" t="s">
        <v>2635</v>
      </c>
      <c r="P1" s="23" t="s">
        <v>2634</v>
      </c>
    </row>
    <row r="2" spans="1:16" x14ac:dyDescent="0.3">
      <c r="A2" s="9" t="s">
        <v>2525</v>
      </c>
      <c r="B2" s="10" t="s">
        <v>2799</v>
      </c>
      <c r="C2" s="9" t="s">
        <v>2524</v>
      </c>
      <c r="D2" s="9">
        <f>VLOOKUP(A2,[2]Sheet1!$A:$C,3,0)</f>
        <v>1</v>
      </c>
      <c r="E2" s="10">
        <v>0</v>
      </c>
      <c r="F2" s="10"/>
      <c r="G2" s="28">
        <v>0</v>
      </c>
      <c r="H2" s="10">
        <v>0</v>
      </c>
      <c r="I2" s="13">
        <v>0</v>
      </c>
      <c r="J2" s="10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9"/>
    </row>
    <row r="3" spans="1:16" x14ac:dyDescent="0.3">
      <c r="A3" s="9" t="s">
        <v>2523</v>
      </c>
      <c r="B3" s="10" t="s">
        <v>2799</v>
      </c>
      <c r="C3" s="9" t="s">
        <v>2522</v>
      </c>
      <c r="D3" s="9">
        <f>VLOOKUP(A3,[2]Sheet1!$A:$C,3,0)</f>
        <v>0</v>
      </c>
      <c r="E3" s="10">
        <v>0</v>
      </c>
      <c r="F3" s="10"/>
      <c r="G3" s="28">
        <v>0</v>
      </c>
      <c r="H3" s="10">
        <v>0</v>
      </c>
      <c r="I3" s="13">
        <v>0</v>
      </c>
      <c r="J3" s="10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9"/>
    </row>
    <row r="4" spans="1:16" x14ac:dyDescent="0.3">
      <c r="A4" s="9" t="s">
        <v>2521</v>
      </c>
      <c r="B4" s="10" t="s">
        <v>2799</v>
      </c>
      <c r="C4" s="9" t="s">
        <v>2520</v>
      </c>
      <c r="D4" s="9">
        <f>VLOOKUP(A4,[2]Sheet1!$A:$C,3,0)</f>
        <v>0</v>
      </c>
      <c r="E4" s="10">
        <v>0</v>
      </c>
      <c r="F4" s="10"/>
      <c r="G4" s="28">
        <v>0</v>
      </c>
      <c r="H4" s="10">
        <v>0</v>
      </c>
      <c r="I4" s="13">
        <v>0</v>
      </c>
      <c r="J4" s="10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9"/>
    </row>
    <row r="5" spans="1:16" x14ac:dyDescent="0.3">
      <c r="A5" s="9" t="s">
        <v>2519</v>
      </c>
      <c r="B5" s="10" t="s">
        <v>2799</v>
      </c>
      <c r="C5" s="9" t="s">
        <v>2518</v>
      </c>
      <c r="D5" s="9">
        <f>VLOOKUP(A5,[2]Sheet1!$A:$C,3,0)</f>
        <v>360</v>
      </c>
      <c r="E5" s="10">
        <v>0</v>
      </c>
      <c r="F5" s="10"/>
      <c r="G5" s="28">
        <v>0</v>
      </c>
      <c r="H5" s="10">
        <v>0</v>
      </c>
      <c r="I5" s="13">
        <v>0</v>
      </c>
      <c r="J5" s="10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9"/>
    </row>
    <row r="6" spans="1:16" x14ac:dyDescent="0.3">
      <c r="A6" s="9" t="s">
        <v>2517</v>
      </c>
      <c r="B6" s="10" t="s">
        <v>2799</v>
      </c>
      <c r="C6" s="9" t="s">
        <v>2516</v>
      </c>
      <c r="D6" s="9">
        <f>VLOOKUP(A6,[2]Sheet1!$A:$C,3,0)</f>
        <v>2</v>
      </c>
      <c r="E6" s="10">
        <v>0</v>
      </c>
      <c r="F6" s="10"/>
      <c r="G6" s="28">
        <v>0</v>
      </c>
      <c r="H6" s="10">
        <v>0</v>
      </c>
      <c r="I6" s="13">
        <v>0</v>
      </c>
      <c r="J6" s="10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9"/>
    </row>
    <row r="7" spans="1:16" x14ac:dyDescent="0.3">
      <c r="A7" s="9" t="s">
        <v>2515</v>
      </c>
      <c r="B7" s="10" t="s">
        <v>2799</v>
      </c>
      <c r="C7" s="9" t="s">
        <v>2514</v>
      </c>
      <c r="D7" s="9">
        <f>VLOOKUP(A7,[2]Sheet1!$A:$C,3,0)</f>
        <v>0</v>
      </c>
      <c r="E7" s="10">
        <v>0</v>
      </c>
      <c r="F7" s="10"/>
      <c r="G7" s="28">
        <v>0</v>
      </c>
      <c r="H7" s="10">
        <v>0</v>
      </c>
      <c r="I7" s="13">
        <v>0</v>
      </c>
      <c r="J7" s="10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9"/>
    </row>
    <row r="8" spans="1:16" x14ac:dyDescent="0.3">
      <c r="A8" s="9" t="s">
        <v>2513</v>
      </c>
      <c r="B8" s="10" t="s">
        <v>2799</v>
      </c>
      <c r="C8" s="9" t="s">
        <v>2512</v>
      </c>
      <c r="D8" s="9">
        <f>VLOOKUP(A8,[2]Sheet1!$A:$C,3,0)</f>
        <v>0</v>
      </c>
      <c r="E8" s="10">
        <v>0</v>
      </c>
      <c r="F8" s="10"/>
      <c r="G8" s="28">
        <v>0</v>
      </c>
      <c r="H8" s="10">
        <v>0</v>
      </c>
      <c r="I8" s="13">
        <v>0</v>
      </c>
      <c r="J8" s="10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9"/>
    </row>
    <row r="9" spans="1:16" x14ac:dyDescent="0.3">
      <c r="A9" s="9" t="s">
        <v>2511</v>
      </c>
      <c r="B9" s="10" t="s">
        <v>2799</v>
      </c>
      <c r="C9" s="9" t="s">
        <v>2510</v>
      </c>
      <c r="D9" s="9">
        <f>VLOOKUP(A9,[2]Sheet1!$A:$C,3,0)</f>
        <v>2</v>
      </c>
      <c r="E9" s="10">
        <v>0</v>
      </c>
      <c r="F9" s="10"/>
      <c r="G9" s="28">
        <v>0</v>
      </c>
      <c r="H9" s="10">
        <v>0</v>
      </c>
      <c r="I9" s="13">
        <v>0</v>
      </c>
      <c r="J9" s="10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9"/>
    </row>
    <row r="10" spans="1:16" x14ac:dyDescent="0.3">
      <c r="A10" s="9" t="s">
        <v>2509</v>
      </c>
      <c r="B10" s="10" t="s">
        <v>2799</v>
      </c>
      <c r="C10" s="9" t="s">
        <v>2508</v>
      </c>
      <c r="D10" s="9">
        <f>VLOOKUP(A10,[2]Sheet1!$A:$C,3,0)</f>
        <v>0</v>
      </c>
      <c r="E10" s="10">
        <v>0</v>
      </c>
      <c r="F10" s="10"/>
      <c r="G10" s="28">
        <v>0</v>
      </c>
      <c r="H10" s="10">
        <v>0</v>
      </c>
      <c r="I10" s="13">
        <v>0</v>
      </c>
      <c r="J10" s="10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9"/>
    </row>
    <row r="11" spans="1:16" x14ac:dyDescent="0.3">
      <c r="A11" t="s">
        <v>2507</v>
      </c>
      <c r="B11" s="3" t="s">
        <v>2799</v>
      </c>
      <c r="C11" t="s">
        <v>2506</v>
      </c>
      <c r="D11" s="11">
        <f>VLOOKUP(A11,[2]Sheet1!$A:$C,3,0)</f>
        <v>13684</v>
      </c>
      <c r="E11" s="3" t="s">
        <v>2916</v>
      </c>
      <c r="I11" s="4">
        <v>0</v>
      </c>
      <c r="J11" s="1">
        <v>1.2211799999999999</v>
      </c>
      <c r="K11" s="1">
        <v>0.9</v>
      </c>
      <c r="L11" s="1">
        <v>1</v>
      </c>
      <c r="M11" s="1">
        <v>1.25</v>
      </c>
      <c r="N11" s="1">
        <v>1.35</v>
      </c>
      <c r="O11" s="1">
        <v>1.5</v>
      </c>
      <c r="P11" t="s">
        <v>2774</v>
      </c>
    </row>
    <row r="12" spans="1:16" x14ac:dyDescent="0.3">
      <c r="A12" t="s">
        <v>2505</v>
      </c>
      <c r="B12" s="3" t="s">
        <v>2799</v>
      </c>
      <c r="C12" t="s">
        <v>2504</v>
      </c>
      <c r="D12" s="11">
        <f>VLOOKUP(A12,[2]Sheet1!$A:$C,3,0)</f>
        <v>2</v>
      </c>
      <c r="E12" s="3" t="s">
        <v>2920</v>
      </c>
      <c r="G12" s="21">
        <v>490</v>
      </c>
      <c r="H12" s="5">
        <f>G12/1.07</f>
        <v>457.94392523364485</v>
      </c>
      <c r="I12" s="16">
        <v>0.2</v>
      </c>
      <c r="J12" s="5">
        <f>H12-(H12*20/100)</f>
        <v>366.35514018691589</v>
      </c>
      <c r="K12" s="2">
        <v>0</v>
      </c>
      <c r="L12" s="1">
        <v>450</v>
      </c>
      <c r="M12" s="1">
        <v>470</v>
      </c>
      <c r="N12" s="1">
        <v>480</v>
      </c>
      <c r="O12" s="1">
        <v>515</v>
      </c>
      <c r="P12" t="s">
        <v>2774</v>
      </c>
    </row>
    <row r="13" spans="1:16" x14ac:dyDescent="0.3">
      <c r="A13" t="s">
        <v>2503</v>
      </c>
      <c r="B13" s="3" t="s">
        <v>2799</v>
      </c>
      <c r="C13" t="s">
        <v>2502</v>
      </c>
      <c r="D13" s="11">
        <f>VLOOKUP(A13,[2]Sheet1!$A:$C,3,0)</f>
        <v>17888</v>
      </c>
      <c r="E13" s="3" t="s">
        <v>2916</v>
      </c>
      <c r="I13" s="4">
        <v>0</v>
      </c>
      <c r="J13" s="1">
        <v>0.73270999999999997</v>
      </c>
      <c r="K13" s="1">
        <v>0.9</v>
      </c>
      <c r="L13" s="1">
        <v>1</v>
      </c>
      <c r="M13" s="1">
        <v>1.25</v>
      </c>
      <c r="N13" s="1">
        <v>1.35</v>
      </c>
      <c r="O13" s="1">
        <v>1.5</v>
      </c>
      <c r="P13" t="s">
        <v>2775</v>
      </c>
    </row>
    <row r="14" spans="1:16" x14ac:dyDescent="0.3">
      <c r="A14" t="s">
        <v>2501</v>
      </c>
      <c r="B14" s="3" t="s">
        <v>2799</v>
      </c>
      <c r="C14" t="s">
        <v>2500</v>
      </c>
      <c r="D14" s="11">
        <f>VLOOKUP(A14,[2]Sheet1!$A:$C,3,0)</f>
        <v>2</v>
      </c>
      <c r="E14" s="3" t="s">
        <v>2920</v>
      </c>
      <c r="G14" s="21">
        <v>490</v>
      </c>
      <c r="H14" s="5">
        <f>G14/1.07</f>
        <v>457.94392523364485</v>
      </c>
      <c r="I14" s="16">
        <v>0.2</v>
      </c>
      <c r="J14" s="5">
        <f>H14-(H14*20/100)</f>
        <v>366.35514018691589</v>
      </c>
      <c r="K14" s="2">
        <v>0</v>
      </c>
      <c r="L14" s="1">
        <v>450</v>
      </c>
      <c r="M14" s="1">
        <v>470</v>
      </c>
      <c r="N14" s="1">
        <v>480</v>
      </c>
      <c r="O14" s="1">
        <v>515</v>
      </c>
      <c r="P14" t="s">
        <v>2775</v>
      </c>
    </row>
    <row r="15" spans="1:16" x14ac:dyDescent="0.3">
      <c r="A15" t="s">
        <v>2499</v>
      </c>
      <c r="B15" s="3" t="s">
        <v>2799</v>
      </c>
      <c r="C15" t="s">
        <v>2498</v>
      </c>
      <c r="D15" s="11">
        <f>VLOOKUP(A15,[2]Sheet1!$A:$C,3,0)</f>
        <v>5700</v>
      </c>
      <c r="E15" s="3" t="s">
        <v>2916</v>
      </c>
      <c r="I15" s="4">
        <v>0</v>
      </c>
      <c r="J15" s="1">
        <v>1.28349</v>
      </c>
      <c r="K15" s="1">
        <v>1.5</v>
      </c>
      <c r="L15" s="1">
        <v>1.75</v>
      </c>
      <c r="M15" s="1">
        <v>1.85</v>
      </c>
      <c r="N15" s="1">
        <v>2</v>
      </c>
      <c r="O15" s="1">
        <v>2.5</v>
      </c>
    </row>
    <row r="16" spans="1:16" x14ac:dyDescent="0.3">
      <c r="A16" t="s">
        <v>2497</v>
      </c>
      <c r="B16" s="3" t="s">
        <v>2799</v>
      </c>
      <c r="C16" t="s">
        <v>2496</v>
      </c>
      <c r="D16" s="11">
        <f>VLOOKUP(A16,[2]Sheet1!$A:$C,3,0)</f>
        <v>0</v>
      </c>
      <c r="E16" s="3" t="s">
        <v>2920</v>
      </c>
      <c r="G16" s="21">
        <v>515</v>
      </c>
      <c r="H16" s="5">
        <f>G16/1.07</f>
        <v>481.30841121495325</v>
      </c>
      <c r="I16" s="16">
        <v>0.2</v>
      </c>
      <c r="J16" s="5">
        <f>H16-(H16*20/100)</f>
        <v>385.04672897196258</v>
      </c>
      <c r="K16" s="1">
        <v>465</v>
      </c>
      <c r="L16" s="1">
        <v>475</v>
      </c>
      <c r="M16" s="1">
        <v>485</v>
      </c>
      <c r="N16" s="1">
        <v>500</v>
      </c>
      <c r="O16" s="1">
        <v>550</v>
      </c>
    </row>
    <row r="17" spans="1:16" x14ac:dyDescent="0.3">
      <c r="A17" t="s">
        <v>2207</v>
      </c>
      <c r="B17" s="3" t="s">
        <v>2799</v>
      </c>
      <c r="C17" t="s">
        <v>2206</v>
      </c>
      <c r="D17" s="9">
        <f>VLOOKUP(A17,[2]Sheet1!$A:$C,3,0)</f>
        <v>5556</v>
      </c>
      <c r="J17" s="1"/>
      <c r="K17" s="2">
        <v>0</v>
      </c>
      <c r="L17" s="1">
        <v>2.5</v>
      </c>
      <c r="M17" s="1">
        <v>2.75</v>
      </c>
      <c r="N17" s="1">
        <v>3</v>
      </c>
      <c r="O17" s="1">
        <v>5</v>
      </c>
      <c r="P17" t="s">
        <v>2776</v>
      </c>
    </row>
    <row r="18" spans="1:16" x14ac:dyDescent="0.3">
      <c r="A18" t="s">
        <v>2205</v>
      </c>
      <c r="B18" s="3" t="s">
        <v>2799</v>
      </c>
      <c r="C18" t="s">
        <v>2204</v>
      </c>
      <c r="D18" s="9">
        <f>VLOOKUP(A18,[2]Sheet1!$A:$C,3,0)</f>
        <v>6005</v>
      </c>
      <c r="J18" s="1"/>
      <c r="K18" s="2">
        <v>0</v>
      </c>
      <c r="L18" s="1">
        <v>2</v>
      </c>
      <c r="M18" s="1">
        <v>2.25</v>
      </c>
      <c r="N18" s="1">
        <v>2.5</v>
      </c>
      <c r="O18" s="1">
        <v>3</v>
      </c>
    </row>
    <row r="19" spans="1:16" x14ac:dyDescent="0.3">
      <c r="A19" s="17" t="s">
        <v>2203</v>
      </c>
      <c r="B19" s="18" t="s">
        <v>2799</v>
      </c>
      <c r="C19" s="17" t="s">
        <v>2202</v>
      </c>
      <c r="D19" s="11">
        <f>VLOOKUP(A19,[2]Sheet1!$A:$C,3,0)</f>
        <v>13700</v>
      </c>
      <c r="E19" s="18" t="s">
        <v>2919</v>
      </c>
      <c r="F19" s="18"/>
      <c r="G19" s="30"/>
      <c r="H19" s="19"/>
      <c r="I19" s="15"/>
      <c r="J19" s="19">
        <v>13.308</v>
      </c>
      <c r="K19" s="19">
        <v>15</v>
      </c>
      <c r="L19" s="19">
        <v>16</v>
      </c>
      <c r="M19" s="19">
        <v>18</v>
      </c>
      <c r="N19" s="19">
        <v>20</v>
      </c>
      <c r="O19" s="19">
        <v>25</v>
      </c>
      <c r="P19" t="s">
        <v>2777</v>
      </c>
    </row>
    <row r="20" spans="1:16" x14ac:dyDescent="0.3">
      <c r="A20" t="s">
        <v>2201</v>
      </c>
      <c r="B20" s="3" t="s">
        <v>2799</v>
      </c>
      <c r="C20" t="s">
        <v>2200</v>
      </c>
      <c r="D20" s="9">
        <f>VLOOKUP(A20,[2]Sheet1!$A:$C,3,0)</f>
        <v>0</v>
      </c>
      <c r="E20" s="3" t="s">
        <v>2921</v>
      </c>
      <c r="J20" s="1"/>
      <c r="K20" s="1">
        <v>150</v>
      </c>
      <c r="L20" s="1">
        <v>155</v>
      </c>
      <c r="M20" s="1">
        <v>160</v>
      </c>
      <c r="N20" s="1">
        <v>170</v>
      </c>
      <c r="O20" s="1">
        <v>180</v>
      </c>
      <c r="P20" t="s">
        <v>2777</v>
      </c>
    </row>
    <row r="21" spans="1:16" x14ac:dyDescent="0.3">
      <c r="A21" t="s">
        <v>2199</v>
      </c>
      <c r="B21" s="3" t="s">
        <v>2799</v>
      </c>
      <c r="C21" t="s">
        <v>2198</v>
      </c>
      <c r="D21" s="9">
        <f>VLOOKUP(A21,[2]Sheet1!$A:$C,3,0)</f>
        <v>1910</v>
      </c>
      <c r="J21" s="1"/>
      <c r="K21" s="2">
        <v>0</v>
      </c>
      <c r="L21" s="1">
        <v>5.25</v>
      </c>
      <c r="M21" s="1">
        <v>5.5</v>
      </c>
      <c r="N21" s="1">
        <v>5.75</v>
      </c>
      <c r="O21" s="1">
        <v>6</v>
      </c>
    </row>
    <row r="22" spans="1:16" x14ac:dyDescent="0.3">
      <c r="A22" t="s">
        <v>2137</v>
      </c>
      <c r="B22" s="3" t="s">
        <v>2799</v>
      </c>
      <c r="C22" t="s">
        <v>2136</v>
      </c>
      <c r="D22" s="9">
        <f>VLOOKUP(A22,[2]Sheet1!$A:$C,3,0)</f>
        <v>3192</v>
      </c>
      <c r="J22" s="1"/>
      <c r="K22" s="2">
        <v>0</v>
      </c>
      <c r="L22" s="1">
        <v>4.5</v>
      </c>
      <c r="M22" s="1">
        <v>5</v>
      </c>
      <c r="N22" s="1">
        <v>6</v>
      </c>
      <c r="O22" s="1">
        <v>7</v>
      </c>
      <c r="P22" t="s">
        <v>2776</v>
      </c>
    </row>
    <row r="23" spans="1:16" x14ac:dyDescent="0.3">
      <c r="A23" t="s">
        <v>2135</v>
      </c>
      <c r="B23" s="3" t="s">
        <v>2799</v>
      </c>
      <c r="C23" t="s">
        <v>2134</v>
      </c>
      <c r="D23" s="9">
        <f>VLOOKUP(A23,[2]Sheet1!$A:$C,3,0)</f>
        <v>3210</v>
      </c>
      <c r="J23" s="1"/>
      <c r="K23" s="2">
        <v>0</v>
      </c>
      <c r="L23" s="1">
        <v>4</v>
      </c>
      <c r="M23" s="1">
        <v>4.25</v>
      </c>
      <c r="N23" s="1">
        <v>4.5</v>
      </c>
      <c r="O23" s="1">
        <v>5</v>
      </c>
    </row>
    <row r="24" spans="1:16" x14ac:dyDescent="0.3">
      <c r="A24" t="s">
        <v>2133</v>
      </c>
      <c r="B24" s="3" t="s">
        <v>2799</v>
      </c>
      <c r="C24" t="s">
        <v>2132</v>
      </c>
      <c r="D24" s="9">
        <f>VLOOKUP(A24,[2]Sheet1!$A:$C,3,0)</f>
        <v>390</v>
      </c>
      <c r="J24" s="1"/>
      <c r="K24" s="2">
        <v>0</v>
      </c>
      <c r="L24" s="1">
        <v>10</v>
      </c>
      <c r="M24" s="1">
        <v>10.25</v>
      </c>
      <c r="N24" s="1">
        <v>10.5</v>
      </c>
      <c r="O24" s="1">
        <v>11</v>
      </c>
      <c r="P24" t="s">
        <v>2778</v>
      </c>
    </row>
    <row r="25" spans="1:16" x14ac:dyDescent="0.3">
      <c r="A25" s="17" t="s">
        <v>2131</v>
      </c>
      <c r="B25" s="18" t="s">
        <v>2799</v>
      </c>
      <c r="C25" s="17" t="s">
        <v>2130</v>
      </c>
      <c r="D25" s="11">
        <f>VLOOKUP(A25,[2]Sheet1!$A:$C,3,0)</f>
        <v>8800</v>
      </c>
      <c r="E25" s="18" t="s">
        <v>2919</v>
      </c>
      <c r="F25" s="18"/>
      <c r="G25" s="30"/>
      <c r="H25" s="19"/>
      <c r="I25" s="15"/>
      <c r="J25" s="19">
        <v>13.308</v>
      </c>
      <c r="K25" s="19">
        <v>15</v>
      </c>
      <c r="L25" s="19">
        <v>16</v>
      </c>
      <c r="M25" s="19">
        <v>18</v>
      </c>
      <c r="N25" s="19">
        <v>20</v>
      </c>
      <c r="O25" s="19">
        <v>25</v>
      </c>
      <c r="P25" t="s">
        <v>2777</v>
      </c>
    </row>
    <row r="26" spans="1:16" x14ac:dyDescent="0.3">
      <c r="A26" t="s">
        <v>2129</v>
      </c>
      <c r="B26" s="3" t="s">
        <v>2799</v>
      </c>
      <c r="C26" t="s">
        <v>2128</v>
      </c>
      <c r="D26" s="9">
        <f>VLOOKUP(A26,[2]Sheet1!$A:$C,3,0)</f>
        <v>0</v>
      </c>
      <c r="E26" s="3" t="s">
        <v>2921</v>
      </c>
      <c r="J26" s="1"/>
      <c r="K26" s="1">
        <v>150</v>
      </c>
      <c r="L26" s="1">
        <v>155</v>
      </c>
      <c r="M26" s="1">
        <v>160</v>
      </c>
      <c r="N26" s="1">
        <v>170</v>
      </c>
      <c r="O26" s="1">
        <v>180</v>
      </c>
      <c r="P26" t="s">
        <v>2777</v>
      </c>
    </row>
    <row r="27" spans="1:16" x14ac:dyDescent="0.3">
      <c r="A27" t="s">
        <v>2127</v>
      </c>
      <c r="B27" s="3" t="s">
        <v>2799</v>
      </c>
      <c r="C27" t="s">
        <v>2126</v>
      </c>
      <c r="D27" s="9">
        <f>VLOOKUP(A27,[2]Sheet1!$A:$C,3,0)</f>
        <v>1630</v>
      </c>
      <c r="J27" s="1"/>
      <c r="K27" s="1">
        <v>6.25</v>
      </c>
      <c r="L27" s="1">
        <v>6.5</v>
      </c>
      <c r="M27" s="1">
        <v>6.75</v>
      </c>
      <c r="N27" s="1">
        <v>7</v>
      </c>
      <c r="O27" s="1">
        <v>8</v>
      </c>
    </row>
    <row r="28" spans="1:16" x14ac:dyDescent="0.3">
      <c r="A28" t="s">
        <v>2050</v>
      </c>
      <c r="B28" s="3" t="s">
        <v>2799</v>
      </c>
      <c r="C28" t="s">
        <v>2049</v>
      </c>
      <c r="D28" s="9">
        <f>VLOOKUP(A28,[2]Sheet1!$A:$C,3,0)</f>
        <v>3078</v>
      </c>
      <c r="J28" s="1"/>
      <c r="K28" s="2">
        <v>0</v>
      </c>
      <c r="L28" s="1">
        <v>4.5</v>
      </c>
      <c r="M28" s="1">
        <v>5</v>
      </c>
      <c r="N28" s="1">
        <v>6</v>
      </c>
      <c r="O28" s="1">
        <v>7</v>
      </c>
      <c r="P28" t="s">
        <v>2776</v>
      </c>
    </row>
    <row r="29" spans="1:16" x14ac:dyDescent="0.3">
      <c r="A29" t="s">
        <v>2048</v>
      </c>
      <c r="B29" s="3" t="s">
        <v>2799</v>
      </c>
      <c r="C29" t="s">
        <v>2047</v>
      </c>
      <c r="D29" s="9">
        <f>VLOOKUP(A29,[2]Sheet1!$A:$C,3,0)</f>
        <v>4839</v>
      </c>
      <c r="J29" s="1"/>
      <c r="K29" s="2">
        <v>0</v>
      </c>
      <c r="L29" s="1">
        <v>4</v>
      </c>
      <c r="M29" s="1">
        <v>4.25</v>
      </c>
      <c r="N29" s="1">
        <v>4.5</v>
      </c>
      <c r="O29" s="1">
        <v>5</v>
      </c>
    </row>
    <row r="30" spans="1:16" x14ac:dyDescent="0.3">
      <c r="A30" s="17" t="s">
        <v>2046</v>
      </c>
      <c r="B30" s="18" t="s">
        <v>2799</v>
      </c>
      <c r="C30" s="17" t="s">
        <v>2045</v>
      </c>
      <c r="D30" s="11">
        <f>VLOOKUP(A30,[2]Sheet1!$A:$C,3,0)</f>
        <v>700</v>
      </c>
      <c r="E30" s="18" t="s">
        <v>2919</v>
      </c>
      <c r="F30" s="18"/>
      <c r="G30" s="30"/>
      <c r="H30" s="19"/>
      <c r="I30" s="15"/>
      <c r="J30" s="19">
        <v>13.308</v>
      </c>
      <c r="K30" s="19">
        <v>15</v>
      </c>
      <c r="L30" s="19">
        <v>16</v>
      </c>
      <c r="M30" s="19">
        <v>18</v>
      </c>
      <c r="N30" s="19">
        <v>20</v>
      </c>
      <c r="O30" s="19">
        <v>25</v>
      </c>
      <c r="P30" t="s">
        <v>2777</v>
      </c>
    </row>
    <row r="31" spans="1:16" x14ac:dyDescent="0.3">
      <c r="A31" t="s">
        <v>2044</v>
      </c>
      <c r="B31" s="3" t="s">
        <v>2799</v>
      </c>
      <c r="C31" t="s">
        <v>2043</v>
      </c>
      <c r="D31" s="9">
        <f>VLOOKUP(A31,[2]Sheet1!$A:$C,3,0)</f>
        <v>0</v>
      </c>
      <c r="E31" s="3" t="s">
        <v>2921</v>
      </c>
      <c r="J31" s="1"/>
      <c r="K31" s="1">
        <v>150</v>
      </c>
      <c r="L31" s="1">
        <v>155</v>
      </c>
      <c r="M31" s="1">
        <v>160</v>
      </c>
      <c r="N31" s="1">
        <v>170</v>
      </c>
      <c r="O31" s="1">
        <v>180</v>
      </c>
      <c r="P31" t="s">
        <v>2777</v>
      </c>
    </row>
    <row r="32" spans="1:16" x14ac:dyDescent="0.3">
      <c r="A32" t="s">
        <v>2042</v>
      </c>
      <c r="B32" s="3" t="s">
        <v>2799</v>
      </c>
      <c r="C32" t="s">
        <v>2041</v>
      </c>
      <c r="D32" s="9">
        <f>VLOOKUP(A32,[2]Sheet1!$A:$C,3,0)</f>
        <v>1205</v>
      </c>
      <c r="J32" s="1"/>
      <c r="K32" s="1">
        <v>6.25</v>
      </c>
      <c r="L32" s="1">
        <v>6.5</v>
      </c>
      <c r="M32" s="1">
        <v>6.75</v>
      </c>
      <c r="N32" s="1">
        <v>7</v>
      </c>
      <c r="O32" s="1">
        <v>8</v>
      </c>
    </row>
    <row r="33" spans="1:16" x14ac:dyDescent="0.3">
      <c r="A33" t="s">
        <v>1856</v>
      </c>
      <c r="B33" s="3" t="s">
        <v>2799</v>
      </c>
      <c r="C33" t="s">
        <v>1855</v>
      </c>
      <c r="D33" s="9">
        <f>VLOOKUP(A33,[2]Sheet1!$A:$C,3,0)</f>
        <v>5560</v>
      </c>
      <c r="J33" s="1"/>
      <c r="K33" s="2">
        <v>0</v>
      </c>
      <c r="L33" s="1">
        <v>4.5</v>
      </c>
      <c r="M33" s="1">
        <v>5</v>
      </c>
      <c r="N33" s="1">
        <v>6</v>
      </c>
      <c r="O33" s="1">
        <v>7</v>
      </c>
      <c r="P33" t="s">
        <v>2776</v>
      </c>
    </row>
    <row r="34" spans="1:16" x14ac:dyDescent="0.3">
      <c r="A34" t="s">
        <v>1854</v>
      </c>
      <c r="B34" s="3" t="s">
        <v>2799</v>
      </c>
      <c r="C34" t="s">
        <v>1853</v>
      </c>
      <c r="D34" s="9">
        <f>VLOOKUP(A34,[2]Sheet1!$A:$C,3,0)</f>
        <v>5141</v>
      </c>
      <c r="J34" s="1"/>
      <c r="K34" s="2">
        <v>0</v>
      </c>
      <c r="L34" s="1">
        <v>4</v>
      </c>
      <c r="M34" s="1">
        <v>4.25</v>
      </c>
      <c r="N34" s="1">
        <v>4.5</v>
      </c>
      <c r="O34" s="1">
        <v>5</v>
      </c>
    </row>
    <row r="35" spans="1:16" x14ac:dyDescent="0.3">
      <c r="A35" t="s">
        <v>1852</v>
      </c>
      <c r="B35" s="3" t="s">
        <v>2799</v>
      </c>
      <c r="C35" t="s">
        <v>1851</v>
      </c>
      <c r="D35" s="9">
        <f>VLOOKUP(A35,[2]Sheet1!$A:$C,3,0)</f>
        <v>519</v>
      </c>
      <c r="J35" s="1"/>
      <c r="K35" s="2">
        <v>0</v>
      </c>
      <c r="L35" s="1">
        <v>10</v>
      </c>
      <c r="M35" s="1">
        <v>10.25</v>
      </c>
      <c r="N35" s="1">
        <v>10.5</v>
      </c>
      <c r="O35" s="1">
        <v>11</v>
      </c>
      <c r="P35" t="s">
        <v>2778</v>
      </c>
    </row>
    <row r="36" spans="1:16" x14ac:dyDescent="0.3">
      <c r="A36" t="s">
        <v>1850</v>
      </c>
      <c r="B36" s="3" t="s">
        <v>2799</v>
      </c>
      <c r="C36" t="s">
        <v>1849</v>
      </c>
      <c r="D36" s="9">
        <f>VLOOKUP(A36,[2]Sheet1!$A:$C,3,0)</f>
        <v>1370</v>
      </c>
      <c r="J36" s="1"/>
      <c r="K36" s="1">
        <v>6.25</v>
      </c>
      <c r="L36" s="1">
        <v>6.5</v>
      </c>
      <c r="M36" s="1">
        <v>6.75</v>
      </c>
      <c r="N36" s="1">
        <v>7</v>
      </c>
      <c r="O36" s="1">
        <v>8</v>
      </c>
    </row>
    <row r="37" spans="1:16" x14ac:dyDescent="0.3">
      <c r="A37" s="9" t="s">
        <v>2495</v>
      </c>
      <c r="B37" s="10" t="s">
        <v>2799</v>
      </c>
      <c r="C37" s="9" t="s">
        <v>2494</v>
      </c>
      <c r="D37" s="9">
        <f>VLOOKUP(A37,[2]Sheet1!$A:$C,3,0)</f>
        <v>0</v>
      </c>
      <c r="E37" s="10">
        <v>0</v>
      </c>
      <c r="F37" s="10"/>
      <c r="G37" s="28">
        <v>0</v>
      </c>
      <c r="H37" s="10">
        <v>0</v>
      </c>
      <c r="I37" s="13">
        <v>0</v>
      </c>
      <c r="J37" s="10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9"/>
    </row>
    <row r="38" spans="1:16" x14ac:dyDescent="0.3">
      <c r="A38" s="9" t="s">
        <v>2493</v>
      </c>
      <c r="B38" s="10" t="s">
        <v>2799</v>
      </c>
      <c r="C38" s="9" t="s">
        <v>2492</v>
      </c>
      <c r="D38" s="9">
        <f>VLOOKUP(A38,[2]Sheet1!$A:$C,3,0)</f>
        <v>0</v>
      </c>
      <c r="E38" s="10">
        <v>0</v>
      </c>
      <c r="F38" s="10"/>
      <c r="G38" s="28">
        <v>0</v>
      </c>
      <c r="H38" s="10">
        <v>0</v>
      </c>
      <c r="I38" s="13">
        <v>0</v>
      </c>
      <c r="J38" s="10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9"/>
    </row>
    <row r="39" spans="1:16" x14ac:dyDescent="0.3">
      <c r="A39" s="9" t="s">
        <v>2491</v>
      </c>
      <c r="B39" s="10" t="s">
        <v>2799</v>
      </c>
      <c r="C39" s="9" t="s">
        <v>2490</v>
      </c>
      <c r="D39" s="9">
        <f>VLOOKUP(A39,[2]Sheet1!$A:$C,3,0)</f>
        <v>2</v>
      </c>
      <c r="E39" s="10">
        <v>0</v>
      </c>
      <c r="F39" s="10"/>
      <c r="G39" s="28">
        <v>0</v>
      </c>
      <c r="H39" s="10">
        <v>0</v>
      </c>
      <c r="I39" s="13">
        <v>0</v>
      </c>
      <c r="J39" s="10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9"/>
    </row>
    <row r="40" spans="1:16" x14ac:dyDescent="0.3">
      <c r="A40" t="s">
        <v>2197</v>
      </c>
      <c r="B40" s="3" t="s">
        <v>2799</v>
      </c>
      <c r="C40" t="s">
        <v>2196</v>
      </c>
      <c r="D40" s="9">
        <f>VLOOKUP(A40,[2]Sheet1!$A:$C,3,0)</f>
        <v>0</v>
      </c>
      <c r="J40" s="1"/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6" x14ac:dyDescent="0.3">
      <c r="A41" t="s">
        <v>2195</v>
      </c>
      <c r="B41" s="3" t="s">
        <v>2799</v>
      </c>
      <c r="C41" t="s">
        <v>2194</v>
      </c>
      <c r="D41" s="9">
        <f>VLOOKUP(A41,[2]Sheet1!$A:$C,3,0)</f>
        <v>0</v>
      </c>
      <c r="J41" s="1"/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6" x14ac:dyDescent="0.3">
      <c r="A42" t="s">
        <v>2193</v>
      </c>
      <c r="B42" s="3" t="s">
        <v>2799</v>
      </c>
      <c r="C42" t="s">
        <v>2192</v>
      </c>
      <c r="D42" s="9">
        <f>VLOOKUP(A42,[2]Sheet1!$A:$C,3,0)</f>
        <v>0</v>
      </c>
      <c r="J42" s="1"/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6" x14ac:dyDescent="0.3">
      <c r="A43" t="s">
        <v>2191</v>
      </c>
      <c r="B43" s="3" t="s">
        <v>2799</v>
      </c>
      <c r="C43" t="s">
        <v>2190</v>
      </c>
      <c r="D43" s="9">
        <f>VLOOKUP(A43,[2]Sheet1!$A:$C,3,0)</f>
        <v>0</v>
      </c>
      <c r="J43" s="1"/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6" x14ac:dyDescent="0.3">
      <c r="A44" t="s">
        <v>2189</v>
      </c>
      <c r="B44" s="3" t="s">
        <v>2799</v>
      </c>
      <c r="C44" t="s">
        <v>2188</v>
      </c>
      <c r="D44" s="9">
        <f>VLOOKUP(A44,[2]Sheet1!$A:$C,3,0)</f>
        <v>0</v>
      </c>
      <c r="J44" s="1"/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6" x14ac:dyDescent="0.3">
      <c r="A45" t="s">
        <v>2125</v>
      </c>
      <c r="B45" s="3" t="s">
        <v>2799</v>
      </c>
      <c r="C45" t="s">
        <v>2124</v>
      </c>
      <c r="D45" s="9">
        <f>VLOOKUP(A45,[2]Sheet1!$A:$C,3,0)</f>
        <v>0</v>
      </c>
      <c r="J45" s="1"/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6" x14ac:dyDescent="0.3">
      <c r="A46" t="s">
        <v>1848</v>
      </c>
      <c r="B46" s="3" t="s">
        <v>2799</v>
      </c>
      <c r="C46" t="s">
        <v>1847</v>
      </c>
      <c r="D46" s="9">
        <f>VLOOKUP(A46,[2]Sheet1!$A:$C,3,0)</f>
        <v>0</v>
      </c>
      <c r="J46" s="1"/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6" x14ac:dyDescent="0.3">
      <c r="A47" t="s">
        <v>2489</v>
      </c>
      <c r="B47" s="3" t="s">
        <v>2799</v>
      </c>
      <c r="C47" t="s">
        <v>2488</v>
      </c>
      <c r="D47" s="9">
        <f>VLOOKUP(A47,[2]Sheet1!$A:$C,3,0)</f>
        <v>2475</v>
      </c>
      <c r="J47" s="1"/>
      <c r="K47" s="1">
        <v>0.65</v>
      </c>
      <c r="L47" s="1">
        <v>0.75</v>
      </c>
      <c r="M47" s="1">
        <v>0.8</v>
      </c>
      <c r="N47" s="1">
        <v>0.9</v>
      </c>
      <c r="O47" s="1">
        <v>1</v>
      </c>
    </row>
    <row r="48" spans="1:16" x14ac:dyDescent="0.3">
      <c r="A48" t="s">
        <v>2487</v>
      </c>
      <c r="B48" s="3" t="s">
        <v>2799</v>
      </c>
      <c r="C48" t="s">
        <v>2486</v>
      </c>
      <c r="D48" s="9">
        <f>VLOOKUP(A48,[2]Sheet1!$A:$C,3,0)</f>
        <v>0</v>
      </c>
      <c r="J48" s="1"/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6" x14ac:dyDescent="0.3">
      <c r="A49" t="s">
        <v>2485</v>
      </c>
      <c r="B49" s="3" t="s">
        <v>2799</v>
      </c>
      <c r="C49" t="s">
        <v>2484</v>
      </c>
      <c r="D49" s="9">
        <f>VLOOKUP(A49,[2]Sheet1!$A:$C,3,0)</f>
        <v>6460</v>
      </c>
      <c r="J49" s="1"/>
      <c r="K49" s="1">
        <v>0.5</v>
      </c>
      <c r="L49" s="1">
        <v>0.55000000000000004</v>
      </c>
      <c r="M49" s="1">
        <v>0.75</v>
      </c>
      <c r="N49" s="1">
        <v>0.8</v>
      </c>
      <c r="O49" s="1">
        <v>1</v>
      </c>
    </row>
    <row r="50" spans="1:16" x14ac:dyDescent="0.3">
      <c r="A50" t="s">
        <v>2483</v>
      </c>
      <c r="B50" s="3" t="s">
        <v>2799</v>
      </c>
      <c r="C50" t="s">
        <v>2482</v>
      </c>
      <c r="D50" s="9">
        <f>VLOOKUP(A50,[2]Sheet1!$A:$C,3,0)</f>
        <v>0</v>
      </c>
      <c r="J50" s="1"/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6" x14ac:dyDescent="0.3">
      <c r="A51" t="s">
        <v>2481</v>
      </c>
      <c r="B51" s="3" t="s">
        <v>2799</v>
      </c>
      <c r="C51" t="s">
        <v>2480</v>
      </c>
      <c r="D51" s="9">
        <f>VLOOKUP(A51,[2]Sheet1!$A:$C,3,0)</f>
        <v>0</v>
      </c>
      <c r="J51" s="1"/>
      <c r="K51" s="2">
        <v>0</v>
      </c>
      <c r="L51" s="1">
        <v>17.5</v>
      </c>
      <c r="M51" s="1">
        <v>18</v>
      </c>
      <c r="N51" s="1">
        <v>18.5</v>
      </c>
      <c r="O51" s="1">
        <v>20</v>
      </c>
    </row>
    <row r="52" spans="1:16" x14ac:dyDescent="0.3">
      <c r="A52" t="s">
        <v>2479</v>
      </c>
      <c r="B52" s="3" t="s">
        <v>2799</v>
      </c>
      <c r="C52" t="s">
        <v>2478</v>
      </c>
      <c r="D52" s="9">
        <f>VLOOKUP(A52,[2]Sheet1!$A:$C,3,0)</f>
        <v>0</v>
      </c>
      <c r="J52" s="1"/>
      <c r="K52" s="2">
        <v>0</v>
      </c>
      <c r="L52" s="1">
        <v>20</v>
      </c>
      <c r="M52" s="1">
        <v>20.75</v>
      </c>
      <c r="N52" s="1">
        <v>21.5</v>
      </c>
      <c r="O52" s="1">
        <v>23</v>
      </c>
    </row>
    <row r="53" spans="1:16" x14ac:dyDescent="0.3">
      <c r="A53" t="s">
        <v>2477</v>
      </c>
      <c r="B53" s="3" t="s">
        <v>2799</v>
      </c>
      <c r="C53" t="s">
        <v>2476</v>
      </c>
      <c r="D53" s="9">
        <f>VLOOKUP(A53,[2]Sheet1!$A:$C,3,0)</f>
        <v>0</v>
      </c>
      <c r="J53" s="1"/>
      <c r="K53" s="2">
        <v>0</v>
      </c>
      <c r="L53" s="1">
        <v>21.75</v>
      </c>
      <c r="M53" s="1">
        <v>22.5</v>
      </c>
      <c r="N53" s="1">
        <v>23.5</v>
      </c>
      <c r="O53" s="1">
        <v>25</v>
      </c>
    </row>
    <row r="54" spans="1:16" x14ac:dyDescent="0.3">
      <c r="A54" t="s">
        <v>2475</v>
      </c>
      <c r="B54" s="3" t="s">
        <v>2799</v>
      </c>
      <c r="C54" t="s">
        <v>2474</v>
      </c>
      <c r="D54" s="9">
        <f>VLOOKUP(A54,[2]Sheet1!$A:$C,3,0)</f>
        <v>0</v>
      </c>
      <c r="J54" s="1"/>
      <c r="K54" s="2">
        <v>0</v>
      </c>
      <c r="L54" s="1">
        <v>24.5</v>
      </c>
      <c r="M54" s="1">
        <v>25.5</v>
      </c>
      <c r="N54" s="1">
        <v>26</v>
      </c>
      <c r="O54" s="1">
        <v>27.5</v>
      </c>
    </row>
    <row r="55" spans="1:16" x14ac:dyDescent="0.3">
      <c r="A55" t="s">
        <v>2473</v>
      </c>
      <c r="B55" s="3" t="s">
        <v>2799</v>
      </c>
      <c r="C55" t="s">
        <v>2472</v>
      </c>
      <c r="D55" s="9">
        <f>VLOOKUP(A55,[2]Sheet1!$A:$C,3,0)</f>
        <v>0</v>
      </c>
      <c r="J55" s="1"/>
      <c r="K55" s="2">
        <v>0</v>
      </c>
      <c r="L55" s="1">
        <v>25</v>
      </c>
      <c r="M55" s="1">
        <v>26</v>
      </c>
      <c r="N55" s="1">
        <v>27</v>
      </c>
      <c r="O55" s="1">
        <v>28.5</v>
      </c>
    </row>
    <row r="56" spans="1:16" x14ac:dyDescent="0.3">
      <c r="A56" t="s">
        <v>2471</v>
      </c>
      <c r="B56" s="3" t="s">
        <v>2799</v>
      </c>
      <c r="C56" t="s">
        <v>2470</v>
      </c>
      <c r="D56" s="9">
        <f>VLOOKUP(A56,[2]Sheet1!$A:$C,3,0)</f>
        <v>0</v>
      </c>
      <c r="J56" s="1"/>
      <c r="K56" s="2">
        <v>0</v>
      </c>
      <c r="L56" s="1">
        <v>28</v>
      </c>
      <c r="M56" s="1">
        <v>28.75</v>
      </c>
      <c r="N56" s="1">
        <v>29.5</v>
      </c>
      <c r="O56" s="1">
        <v>31</v>
      </c>
    </row>
    <row r="57" spans="1:16" x14ac:dyDescent="0.3">
      <c r="A57" t="s">
        <v>2469</v>
      </c>
      <c r="B57" s="3" t="s">
        <v>2799</v>
      </c>
      <c r="C57" t="s">
        <v>2468</v>
      </c>
      <c r="D57" s="9">
        <f>VLOOKUP(A57,[2]Sheet1!$A:$C,3,0)</f>
        <v>0</v>
      </c>
      <c r="J57" s="1"/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6" x14ac:dyDescent="0.3">
      <c r="A58" t="s">
        <v>2467</v>
      </c>
      <c r="B58" s="3" t="s">
        <v>2799</v>
      </c>
      <c r="C58" t="s">
        <v>2466</v>
      </c>
      <c r="D58" s="9">
        <f>VLOOKUP(A58,[2]Sheet1!$A:$C,3,0)</f>
        <v>0</v>
      </c>
      <c r="J58" s="1"/>
      <c r="K58" s="2">
        <v>0</v>
      </c>
      <c r="L58" s="1">
        <v>34.5</v>
      </c>
      <c r="M58" s="1">
        <v>36</v>
      </c>
      <c r="N58" s="1">
        <v>37</v>
      </c>
      <c r="O58" s="1">
        <v>39.5</v>
      </c>
    </row>
    <row r="59" spans="1:16" x14ac:dyDescent="0.3">
      <c r="A59" t="s">
        <v>2465</v>
      </c>
      <c r="B59" s="3" t="s">
        <v>2799</v>
      </c>
      <c r="C59" t="s">
        <v>2464</v>
      </c>
      <c r="D59" s="9">
        <f>VLOOKUP(A59,[2]Sheet1!$A:$C,3,0)</f>
        <v>0</v>
      </c>
      <c r="J59" s="1"/>
      <c r="K59" s="2">
        <v>0</v>
      </c>
      <c r="L59" s="1">
        <v>61</v>
      </c>
      <c r="M59" s="1">
        <v>63</v>
      </c>
      <c r="N59" s="1">
        <v>65</v>
      </c>
      <c r="O59" s="1">
        <v>69</v>
      </c>
    </row>
    <row r="60" spans="1:16" x14ac:dyDescent="0.3">
      <c r="A60" t="s">
        <v>2463</v>
      </c>
      <c r="B60" s="3" t="s">
        <v>2799</v>
      </c>
      <c r="C60" t="s">
        <v>2462</v>
      </c>
      <c r="D60" s="9">
        <f>VLOOKUP(A60,[2]Sheet1!$A:$C,3,0)</f>
        <v>4691</v>
      </c>
      <c r="J60" s="1"/>
      <c r="K60" s="1">
        <v>3.15</v>
      </c>
      <c r="L60" s="1">
        <v>3.25</v>
      </c>
      <c r="M60" s="1">
        <v>3.5</v>
      </c>
      <c r="N60" s="1">
        <v>3.75</v>
      </c>
      <c r="O60" s="1">
        <v>4</v>
      </c>
    </row>
    <row r="61" spans="1:16" x14ac:dyDescent="0.3">
      <c r="A61" t="s">
        <v>2461</v>
      </c>
      <c r="B61" s="3" t="s">
        <v>2799</v>
      </c>
      <c r="C61" t="s">
        <v>2460</v>
      </c>
      <c r="D61" s="9">
        <f>VLOOKUP(A61,[2]Sheet1!$A:$C,3,0)</f>
        <v>537</v>
      </c>
      <c r="J61" s="1"/>
      <c r="K61" s="2">
        <v>0</v>
      </c>
      <c r="L61" s="1">
        <v>21</v>
      </c>
      <c r="M61" s="1">
        <v>21.5</v>
      </c>
      <c r="N61" s="1">
        <v>22</v>
      </c>
      <c r="O61" s="1">
        <v>23</v>
      </c>
      <c r="P61" t="s">
        <v>2779</v>
      </c>
    </row>
    <row r="62" spans="1:16" x14ac:dyDescent="0.3">
      <c r="A62" t="s">
        <v>2459</v>
      </c>
      <c r="B62" s="3" t="s">
        <v>2799</v>
      </c>
      <c r="C62" t="s">
        <v>2458</v>
      </c>
      <c r="D62" s="9">
        <f>VLOOKUP(A62,[2]Sheet1!$A:$C,3,0)</f>
        <v>2870</v>
      </c>
      <c r="J62" s="1"/>
      <c r="K62" s="2">
        <v>0</v>
      </c>
      <c r="L62" s="1">
        <v>23.5</v>
      </c>
      <c r="M62" s="1">
        <v>24</v>
      </c>
      <c r="N62" s="1">
        <v>25</v>
      </c>
      <c r="O62" s="1">
        <v>26</v>
      </c>
      <c r="P62" t="s">
        <v>2779</v>
      </c>
    </row>
    <row r="63" spans="1:16" x14ac:dyDescent="0.3">
      <c r="A63" t="s">
        <v>2457</v>
      </c>
      <c r="B63" s="3" t="s">
        <v>2799</v>
      </c>
      <c r="C63" t="s">
        <v>2456</v>
      </c>
      <c r="D63" s="9">
        <f>VLOOKUP(A63,[2]Sheet1!$A:$C,3,0)</f>
        <v>6266</v>
      </c>
      <c r="J63" s="1"/>
      <c r="K63" s="2">
        <v>0</v>
      </c>
      <c r="L63" s="1">
        <v>25</v>
      </c>
      <c r="M63" s="1">
        <v>26</v>
      </c>
      <c r="N63" s="1">
        <v>27</v>
      </c>
      <c r="O63" s="1">
        <v>28</v>
      </c>
      <c r="P63" t="s">
        <v>2779</v>
      </c>
    </row>
    <row r="64" spans="1:16" x14ac:dyDescent="0.3">
      <c r="A64" t="s">
        <v>2455</v>
      </c>
      <c r="B64" s="3" t="s">
        <v>2799</v>
      </c>
      <c r="C64" t="s">
        <v>2454</v>
      </c>
      <c r="D64" s="9">
        <f>VLOOKUP(A64,[2]Sheet1!$A:$C,3,0)</f>
        <v>567</v>
      </c>
      <c r="J64" s="1"/>
      <c r="K64" s="2">
        <v>0</v>
      </c>
      <c r="L64" s="1">
        <v>28</v>
      </c>
      <c r="M64" s="1">
        <v>29</v>
      </c>
      <c r="N64" s="1">
        <v>30</v>
      </c>
      <c r="O64" s="1">
        <v>31</v>
      </c>
      <c r="P64" t="s">
        <v>2779</v>
      </c>
    </row>
    <row r="65" spans="1:16" x14ac:dyDescent="0.3">
      <c r="A65" t="s">
        <v>2453</v>
      </c>
      <c r="B65" s="3" t="s">
        <v>2799</v>
      </c>
      <c r="C65" t="s">
        <v>2452</v>
      </c>
      <c r="D65" s="9">
        <f>VLOOKUP(A65,[2]Sheet1!$A:$C,3,0)</f>
        <v>2849</v>
      </c>
      <c r="J65" s="1"/>
      <c r="K65" s="2">
        <v>0</v>
      </c>
      <c r="L65" s="1">
        <v>29</v>
      </c>
      <c r="M65" s="1">
        <v>30</v>
      </c>
      <c r="N65" s="1">
        <v>31</v>
      </c>
      <c r="O65" s="1">
        <v>32</v>
      </c>
      <c r="P65" t="s">
        <v>2779</v>
      </c>
    </row>
    <row r="66" spans="1:16" x14ac:dyDescent="0.3">
      <c r="A66" t="s">
        <v>2451</v>
      </c>
      <c r="B66" s="3" t="s">
        <v>2799</v>
      </c>
      <c r="C66" t="s">
        <v>2450</v>
      </c>
      <c r="D66" s="9">
        <f>VLOOKUP(A66,[2]Sheet1!$A:$C,3,0)</f>
        <v>4117</v>
      </c>
      <c r="J66" s="1"/>
      <c r="K66" s="2">
        <v>0</v>
      </c>
      <c r="L66" s="1">
        <v>31.5</v>
      </c>
      <c r="M66" s="1">
        <v>32</v>
      </c>
      <c r="N66" s="1">
        <v>33</v>
      </c>
      <c r="O66" s="1">
        <v>35</v>
      </c>
      <c r="P66" t="s">
        <v>2779</v>
      </c>
    </row>
    <row r="67" spans="1:16" x14ac:dyDescent="0.3">
      <c r="A67" t="s">
        <v>2449</v>
      </c>
      <c r="B67" s="3" t="s">
        <v>2799</v>
      </c>
      <c r="C67" t="s">
        <v>2448</v>
      </c>
      <c r="D67" s="9">
        <f>VLOOKUP(A67,[2]Sheet1!$A:$C,3,0)</f>
        <v>0</v>
      </c>
      <c r="J67" s="1"/>
      <c r="K67" s="2">
        <v>0</v>
      </c>
      <c r="L67" s="2">
        <v>0</v>
      </c>
      <c r="M67" s="2">
        <v>0</v>
      </c>
      <c r="N67" s="2">
        <v>0</v>
      </c>
      <c r="O67" s="2">
        <v>0</v>
      </c>
      <c r="P67" t="s">
        <v>2779</v>
      </c>
    </row>
    <row r="68" spans="1:16" x14ac:dyDescent="0.3">
      <c r="A68" t="s">
        <v>2447</v>
      </c>
      <c r="B68" s="3" t="s">
        <v>2799</v>
      </c>
      <c r="C68" t="s">
        <v>2446</v>
      </c>
      <c r="D68" s="9">
        <f>VLOOKUP(A68,[2]Sheet1!$A:$C,3,0)</f>
        <v>1576</v>
      </c>
      <c r="J68" s="1"/>
      <c r="K68" s="2">
        <v>0</v>
      </c>
      <c r="L68" s="1">
        <v>38.5</v>
      </c>
      <c r="M68" s="1">
        <v>39</v>
      </c>
      <c r="N68" s="1">
        <v>41</v>
      </c>
      <c r="O68" s="1">
        <v>43</v>
      </c>
      <c r="P68" t="s">
        <v>2779</v>
      </c>
    </row>
    <row r="69" spans="1:16" x14ac:dyDescent="0.3">
      <c r="A69" t="s">
        <v>2445</v>
      </c>
      <c r="B69" s="3" t="s">
        <v>2799</v>
      </c>
      <c r="C69" t="s">
        <v>2444</v>
      </c>
      <c r="D69" s="9">
        <f>VLOOKUP(A69,[2]Sheet1!$A:$C,3,0)</f>
        <v>754</v>
      </c>
      <c r="J69" s="1"/>
      <c r="K69" s="2">
        <v>0</v>
      </c>
      <c r="L69" s="1">
        <v>65</v>
      </c>
      <c r="M69" s="1">
        <v>67</v>
      </c>
      <c r="N69" s="1">
        <v>69</v>
      </c>
      <c r="O69" s="1">
        <v>73</v>
      </c>
      <c r="P69" t="s">
        <v>2779</v>
      </c>
    </row>
    <row r="70" spans="1:16" x14ac:dyDescent="0.3">
      <c r="A70" s="9" t="s">
        <v>2443</v>
      </c>
      <c r="B70" s="10" t="s">
        <v>2799</v>
      </c>
      <c r="C70" s="9" t="s">
        <v>2442</v>
      </c>
      <c r="D70" s="9">
        <f>VLOOKUP(A70,[2]Sheet1!$A:$C,3,0)</f>
        <v>7</v>
      </c>
      <c r="E70" s="10">
        <v>0</v>
      </c>
      <c r="F70" s="10"/>
      <c r="G70" s="28">
        <v>0</v>
      </c>
      <c r="H70" s="10">
        <v>0</v>
      </c>
      <c r="I70" s="13">
        <v>0</v>
      </c>
      <c r="J70" s="10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9"/>
    </row>
    <row r="71" spans="1:16" x14ac:dyDescent="0.3">
      <c r="A71" s="9" t="s">
        <v>2441</v>
      </c>
      <c r="B71" s="10" t="s">
        <v>2799</v>
      </c>
      <c r="C71" s="9" t="s">
        <v>2440</v>
      </c>
      <c r="D71" s="9">
        <f>VLOOKUP(A71,[2]Sheet1!$A:$C,3,0)</f>
        <v>0</v>
      </c>
      <c r="E71" s="10">
        <v>0</v>
      </c>
      <c r="F71" s="10"/>
      <c r="G71" s="28">
        <v>0</v>
      </c>
      <c r="H71" s="10">
        <v>0</v>
      </c>
      <c r="I71" s="13">
        <v>0</v>
      </c>
      <c r="J71" s="10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9"/>
    </row>
    <row r="72" spans="1:16" x14ac:dyDescent="0.3">
      <c r="A72" t="s">
        <v>2439</v>
      </c>
      <c r="B72" s="3" t="s">
        <v>2799</v>
      </c>
      <c r="C72" t="s">
        <v>2438</v>
      </c>
      <c r="D72" s="9">
        <f>VLOOKUP(A72,[2]Sheet1!$A:$C,3,0)</f>
        <v>78</v>
      </c>
      <c r="J72" s="1"/>
      <c r="K72" s="2">
        <v>0</v>
      </c>
      <c r="L72" s="1">
        <v>67</v>
      </c>
      <c r="M72" s="1">
        <v>75</v>
      </c>
      <c r="N72" s="1">
        <v>85</v>
      </c>
      <c r="O72" s="1">
        <v>120</v>
      </c>
    </row>
    <row r="73" spans="1:16" x14ac:dyDescent="0.3">
      <c r="A73" t="s">
        <v>2437</v>
      </c>
      <c r="B73" s="3" t="s">
        <v>2799</v>
      </c>
      <c r="C73" t="s">
        <v>2436</v>
      </c>
      <c r="D73" s="9">
        <f>VLOOKUP(A73,[2]Sheet1!$A:$C,3,0)</f>
        <v>349</v>
      </c>
      <c r="J73" s="1"/>
      <c r="K73" s="2">
        <v>0</v>
      </c>
      <c r="L73" s="1">
        <v>20</v>
      </c>
      <c r="M73" s="1">
        <v>25</v>
      </c>
      <c r="N73" s="1">
        <v>35</v>
      </c>
      <c r="O73" s="1">
        <v>50</v>
      </c>
    </row>
    <row r="74" spans="1:16" x14ac:dyDescent="0.3">
      <c r="A74" t="s">
        <v>2435</v>
      </c>
      <c r="B74" s="3" t="s">
        <v>2799</v>
      </c>
      <c r="C74" t="s">
        <v>2434</v>
      </c>
      <c r="D74" s="9">
        <f>VLOOKUP(A74,[2]Sheet1!$A:$C,3,0)</f>
        <v>2</v>
      </c>
      <c r="J74" s="1"/>
      <c r="K74" s="2">
        <v>0</v>
      </c>
      <c r="L74" s="1">
        <v>1550</v>
      </c>
      <c r="M74" s="1">
        <v>1600</v>
      </c>
      <c r="N74" s="1">
        <v>1650</v>
      </c>
      <c r="O74" s="1">
        <v>1750</v>
      </c>
    </row>
    <row r="75" spans="1:16" x14ac:dyDescent="0.3">
      <c r="A75" t="s">
        <v>2433</v>
      </c>
      <c r="B75" s="3" t="s">
        <v>2799</v>
      </c>
      <c r="C75" t="s">
        <v>2432</v>
      </c>
      <c r="D75" s="9">
        <f>VLOOKUP(A75,[2]Sheet1!$A:$C,3,0)</f>
        <v>8</v>
      </c>
      <c r="J75" s="1"/>
      <c r="K75" s="1">
        <v>215</v>
      </c>
      <c r="L75" s="1">
        <v>235</v>
      </c>
      <c r="M75" s="1">
        <v>250</v>
      </c>
      <c r="N75" s="1">
        <v>285</v>
      </c>
      <c r="O75" s="1">
        <v>300</v>
      </c>
    </row>
    <row r="76" spans="1:16" x14ac:dyDescent="0.3">
      <c r="A76" t="s">
        <v>2431</v>
      </c>
      <c r="B76" s="3" t="s">
        <v>2799</v>
      </c>
      <c r="C76" t="s">
        <v>2430</v>
      </c>
      <c r="D76" s="9">
        <f>VLOOKUP(A76,[2]Sheet1!$A:$C,3,0)</f>
        <v>239</v>
      </c>
      <c r="J76" s="1"/>
      <c r="K76" s="2">
        <v>0</v>
      </c>
      <c r="L76" s="1">
        <v>475</v>
      </c>
      <c r="M76" s="1">
        <v>485</v>
      </c>
      <c r="N76" s="1">
        <v>500</v>
      </c>
      <c r="O76" s="1">
        <v>550</v>
      </c>
    </row>
    <row r="77" spans="1:16" x14ac:dyDescent="0.3">
      <c r="A77" t="s">
        <v>2429</v>
      </c>
      <c r="B77" s="3" t="s">
        <v>2799</v>
      </c>
      <c r="C77" t="s">
        <v>2428</v>
      </c>
      <c r="D77" s="9">
        <f>VLOOKUP(A77,[2]Sheet1!$A:$C,3,0)</f>
        <v>0</v>
      </c>
      <c r="J77" s="1"/>
      <c r="K77" s="2">
        <v>0</v>
      </c>
      <c r="L77" s="1">
        <v>990</v>
      </c>
      <c r="M77" s="1">
        <v>1100</v>
      </c>
      <c r="N77" s="1">
        <v>1200</v>
      </c>
      <c r="O77" s="1">
        <v>1300</v>
      </c>
    </row>
    <row r="78" spans="1:16" x14ac:dyDescent="0.3">
      <c r="A78" t="s">
        <v>2427</v>
      </c>
      <c r="B78" s="3" t="s">
        <v>2799</v>
      </c>
      <c r="C78" t="s">
        <v>2426</v>
      </c>
      <c r="D78" s="9">
        <f>VLOOKUP(A78,[2]Sheet1!$A:$C,3,0)</f>
        <v>0</v>
      </c>
      <c r="J78" s="1"/>
      <c r="K78" s="2">
        <v>0</v>
      </c>
      <c r="L78" s="1">
        <v>1900</v>
      </c>
      <c r="M78" s="1">
        <v>2100</v>
      </c>
      <c r="N78" s="1">
        <v>2200</v>
      </c>
      <c r="O78" s="1">
        <v>2400</v>
      </c>
    </row>
    <row r="79" spans="1:16" x14ac:dyDescent="0.3">
      <c r="A79" t="s">
        <v>2530</v>
      </c>
      <c r="B79" s="3" t="s">
        <v>2799</v>
      </c>
      <c r="C79" t="s">
        <v>2800</v>
      </c>
      <c r="D79" s="9">
        <f>VLOOKUP(A79,[2]Sheet1!$A:$C,3,0)</f>
        <v>12</v>
      </c>
      <c r="J79" s="1"/>
      <c r="K79" s="2">
        <v>0</v>
      </c>
      <c r="L79" s="1">
        <v>9500</v>
      </c>
      <c r="M79" s="1">
        <v>10000</v>
      </c>
      <c r="N79" s="1">
        <v>10500</v>
      </c>
      <c r="O79" s="1">
        <v>11000</v>
      </c>
    </row>
    <row r="80" spans="1:16" x14ac:dyDescent="0.3">
      <c r="A80" t="s">
        <v>2529</v>
      </c>
      <c r="B80" s="3" t="s">
        <v>2799</v>
      </c>
      <c r="C80" t="s">
        <v>2528</v>
      </c>
      <c r="D80" s="9">
        <f>VLOOKUP(A80,[2]Sheet1!$A:$C,3,0)</f>
        <v>104</v>
      </c>
      <c r="J80" s="1"/>
      <c r="K80" s="2">
        <v>0</v>
      </c>
      <c r="L80" s="1">
        <v>185</v>
      </c>
      <c r="M80" s="1">
        <v>195</v>
      </c>
      <c r="N80" s="1">
        <v>200</v>
      </c>
      <c r="O80" s="1">
        <v>220</v>
      </c>
    </row>
    <row r="81" spans="1:16" x14ac:dyDescent="0.3">
      <c r="A81" t="s">
        <v>2527</v>
      </c>
      <c r="B81" s="3" t="s">
        <v>2799</v>
      </c>
      <c r="C81" t="s">
        <v>2526</v>
      </c>
      <c r="D81" s="9">
        <f>VLOOKUP(A81,[2]Sheet1!$A:$C,3,0)</f>
        <v>117</v>
      </c>
      <c r="J81" s="1"/>
      <c r="K81" s="2">
        <v>0</v>
      </c>
      <c r="L81" s="1">
        <v>180</v>
      </c>
      <c r="M81" s="1">
        <v>190</v>
      </c>
      <c r="N81" s="1">
        <v>195</v>
      </c>
      <c r="O81" s="1">
        <v>210</v>
      </c>
    </row>
    <row r="82" spans="1:16" x14ac:dyDescent="0.3">
      <c r="A82" s="9" t="s">
        <v>2425</v>
      </c>
      <c r="B82" s="10" t="s">
        <v>2799</v>
      </c>
      <c r="C82" s="9" t="s">
        <v>2424</v>
      </c>
      <c r="D82" s="9">
        <f>VLOOKUP(A82,[2]Sheet1!$A:$C,3,0)</f>
        <v>0</v>
      </c>
      <c r="E82" s="10">
        <v>0</v>
      </c>
      <c r="F82" s="10"/>
      <c r="G82" s="28">
        <v>0</v>
      </c>
      <c r="H82" s="10">
        <v>0</v>
      </c>
      <c r="I82" s="13">
        <v>0</v>
      </c>
      <c r="J82" s="10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9"/>
    </row>
    <row r="83" spans="1:16" x14ac:dyDescent="0.3">
      <c r="A83" t="s">
        <v>2423</v>
      </c>
      <c r="B83" s="3" t="s">
        <v>2799</v>
      </c>
      <c r="C83" t="s">
        <v>2422</v>
      </c>
      <c r="D83" s="9">
        <f>VLOOKUP(A83,[2]Sheet1!$A:$C,3,0)</f>
        <v>63</v>
      </c>
      <c r="J83" s="1"/>
      <c r="K83" s="2">
        <v>0</v>
      </c>
      <c r="L83" s="1">
        <v>19</v>
      </c>
      <c r="M83" s="1">
        <v>20.5</v>
      </c>
      <c r="N83" s="1">
        <v>21</v>
      </c>
      <c r="O83" s="1">
        <v>22</v>
      </c>
    </row>
    <row r="84" spans="1:16" x14ac:dyDescent="0.3">
      <c r="A84" t="s">
        <v>1706</v>
      </c>
      <c r="B84" s="3" t="s">
        <v>2799</v>
      </c>
      <c r="C84" t="s">
        <v>1705</v>
      </c>
      <c r="D84" s="9">
        <f>VLOOKUP(A84,[2]Sheet1!$A:$C,3,0)</f>
        <v>17</v>
      </c>
      <c r="J84" s="1"/>
      <c r="K84" s="1">
        <v>80</v>
      </c>
      <c r="L84" s="1">
        <v>85</v>
      </c>
      <c r="M84" s="1">
        <v>90</v>
      </c>
      <c r="N84" s="1">
        <v>95</v>
      </c>
      <c r="O84" s="1">
        <v>105</v>
      </c>
    </row>
    <row r="85" spans="1:16" x14ac:dyDescent="0.3">
      <c r="A85" t="s">
        <v>1704</v>
      </c>
      <c r="B85" s="3" t="s">
        <v>2799</v>
      </c>
      <c r="C85" t="s">
        <v>1703</v>
      </c>
      <c r="D85" s="9">
        <f>VLOOKUP(A85,[2]Sheet1!$A:$C,3,0)</f>
        <v>29</v>
      </c>
      <c r="J85" s="1"/>
      <c r="K85" s="1">
        <v>120</v>
      </c>
      <c r="L85" s="1">
        <v>130</v>
      </c>
      <c r="M85" s="1">
        <v>135</v>
      </c>
      <c r="N85" s="1">
        <v>140</v>
      </c>
      <c r="O85" s="1">
        <v>150</v>
      </c>
    </row>
    <row r="86" spans="1:16" x14ac:dyDescent="0.3">
      <c r="A86" t="s">
        <v>1702</v>
      </c>
      <c r="B86" s="3" t="s">
        <v>2799</v>
      </c>
      <c r="C86" t="s">
        <v>1701</v>
      </c>
      <c r="D86" s="9">
        <f>VLOOKUP(A86,[2]Sheet1!$A:$C,3,0)</f>
        <v>44</v>
      </c>
      <c r="J86" s="1"/>
      <c r="K86" s="1">
        <v>190</v>
      </c>
      <c r="L86" s="1">
        <v>205</v>
      </c>
      <c r="M86" s="1">
        <v>215</v>
      </c>
      <c r="N86" s="1">
        <v>230</v>
      </c>
      <c r="O86" s="1">
        <v>245</v>
      </c>
    </row>
    <row r="87" spans="1:16" x14ac:dyDescent="0.3">
      <c r="A87" t="s">
        <v>1700</v>
      </c>
      <c r="B87" s="3" t="s">
        <v>2799</v>
      </c>
      <c r="C87" t="s">
        <v>1699</v>
      </c>
      <c r="D87" s="9">
        <f>VLOOKUP(A87,[2]Sheet1!$A:$C,3,0)</f>
        <v>64</v>
      </c>
      <c r="J87" s="1"/>
      <c r="K87" s="1">
        <v>285</v>
      </c>
      <c r="L87" s="1">
        <v>310</v>
      </c>
      <c r="M87" s="1">
        <v>325</v>
      </c>
      <c r="N87" s="1">
        <v>350</v>
      </c>
      <c r="O87" s="1">
        <v>360</v>
      </c>
    </row>
    <row r="88" spans="1:16" x14ac:dyDescent="0.3">
      <c r="A88" t="s">
        <v>1698</v>
      </c>
      <c r="B88" s="3" t="s">
        <v>2799</v>
      </c>
      <c r="C88" t="s">
        <v>1697</v>
      </c>
      <c r="D88" s="9">
        <f>VLOOKUP(A88,[2]Sheet1!$A:$C,3,0)</f>
        <v>20</v>
      </c>
      <c r="J88" s="1"/>
      <c r="K88" s="1">
        <v>435</v>
      </c>
      <c r="L88" s="1">
        <v>475</v>
      </c>
      <c r="M88" s="1">
        <v>500</v>
      </c>
      <c r="N88" s="1">
        <v>520</v>
      </c>
      <c r="O88" s="1">
        <v>540</v>
      </c>
    </row>
    <row r="89" spans="1:16" x14ac:dyDescent="0.3">
      <c r="A89" t="s">
        <v>2421</v>
      </c>
      <c r="B89" s="3" t="s">
        <v>2799</v>
      </c>
      <c r="C89" t="s">
        <v>2420</v>
      </c>
      <c r="D89" s="9">
        <f>VLOOKUP(A89,[2]Sheet1!$A:$C,3,0)</f>
        <v>38</v>
      </c>
      <c r="J89" s="1"/>
      <c r="K89" s="2">
        <v>0</v>
      </c>
      <c r="L89" s="1">
        <v>425</v>
      </c>
      <c r="M89" s="1">
        <v>500</v>
      </c>
      <c r="N89" s="1">
        <v>700</v>
      </c>
      <c r="O89" s="1">
        <v>800</v>
      </c>
    </row>
    <row r="90" spans="1:16" x14ac:dyDescent="0.3">
      <c r="A90" t="s">
        <v>2040</v>
      </c>
      <c r="B90" s="3" t="s">
        <v>2799</v>
      </c>
      <c r="C90" t="s">
        <v>2039</v>
      </c>
      <c r="D90" s="9">
        <f>VLOOKUP(A90,[2]Sheet1!$A:$C,3,0)</f>
        <v>3076</v>
      </c>
      <c r="J90" s="1"/>
      <c r="K90" s="2">
        <v>0</v>
      </c>
      <c r="L90" s="1">
        <v>10</v>
      </c>
      <c r="M90" s="1">
        <v>12</v>
      </c>
      <c r="N90" s="1">
        <v>13</v>
      </c>
      <c r="O90" s="1">
        <v>15</v>
      </c>
    </row>
    <row r="91" spans="1:16" x14ac:dyDescent="0.3">
      <c r="A91" t="s">
        <v>2038</v>
      </c>
      <c r="B91" s="3" t="s">
        <v>2799</v>
      </c>
      <c r="C91" t="s">
        <v>2037</v>
      </c>
      <c r="D91" s="9">
        <f>VLOOKUP(A91,[2]Sheet1!$A:$C,3,0)</f>
        <v>353</v>
      </c>
      <c r="J91" s="1"/>
      <c r="K91" s="2">
        <v>0</v>
      </c>
      <c r="L91" s="1">
        <v>95</v>
      </c>
      <c r="M91" s="1">
        <v>100</v>
      </c>
      <c r="N91" s="1">
        <v>105</v>
      </c>
      <c r="O91" s="1">
        <v>120</v>
      </c>
    </row>
    <row r="92" spans="1:16" x14ac:dyDescent="0.3">
      <c r="A92" t="s">
        <v>2036</v>
      </c>
      <c r="B92" s="3" t="s">
        <v>2799</v>
      </c>
      <c r="C92" t="s">
        <v>2035</v>
      </c>
      <c r="D92" s="9">
        <f>VLOOKUP(A92,[2]Sheet1!$A:$C,3,0)</f>
        <v>0</v>
      </c>
      <c r="J92" s="1"/>
      <c r="K92" s="2">
        <v>0</v>
      </c>
      <c r="L92" s="1">
        <v>100</v>
      </c>
      <c r="M92" s="1">
        <v>105</v>
      </c>
      <c r="N92" s="1">
        <v>110</v>
      </c>
      <c r="O92" s="1">
        <v>115</v>
      </c>
    </row>
    <row r="93" spans="1:16" x14ac:dyDescent="0.3">
      <c r="A93" t="s">
        <v>2034</v>
      </c>
      <c r="B93" s="3" t="s">
        <v>2799</v>
      </c>
      <c r="C93" t="s">
        <v>2033</v>
      </c>
      <c r="D93" s="9">
        <f>VLOOKUP(A93,[2]Sheet1!$A:$C,3,0)</f>
        <v>0</v>
      </c>
      <c r="J93" s="1"/>
      <c r="K93" s="1">
        <v>1900</v>
      </c>
      <c r="L93" s="1">
        <v>1950</v>
      </c>
      <c r="M93" s="1">
        <v>2000</v>
      </c>
      <c r="N93" s="1">
        <v>2100</v>
      </c>
      <c r="O93" s="1">
        <v>2249.9986750000003</v>
      </c>
    </row>
    <row r="94" spans="1:16" x14ac:dyDescent="0.3">
      <c r="A94" s="9" t="s">
        <v>2419</v>
      </c>
      <c r="B94" s="10" t="s">
        <v>2799</v>
      </c>
      <c r="C94" s="9" t="s">
        <v>2418</v>
      </c>
      <c r="D94" s="9">
        <f>VLOOKUP(A94,[2]Sheet1!$A:$C,3,0)</f>
        <v>0</v>
      </c>
      <c r="E94" s="10">
        <v>0</v>
      </c>
      <c r="F94" s="10"/>
      <c r="G94" s="28">
        <v>0</v>
      </c>
      <c r="H94" s="10">
        <v>0</v>
      </c>
      <c r="I94" s="13">
        <v>0</v>
      </c>
      <c r="J94" s="10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9"/>
    </row>
    <row r="95" spans="1:16" x14ac:dyDescent="0.3">
      <c r="A95" s="9" t="s">
        <v>2417</v>
      </c>
      <c r="B95" s="10" t="s">
        <v>2823</v>
      </c>
      <c r="C95" s="9" t="s">
        <v>2416</v>
      </c>
      <c r="D95" s="9">
        <f>VLOOKUP(A95,[2]Sheet1!$A:$C,3,0)</f>
        <v>0</v>
      </c>
      <c r="E95" s="10">
        <v>0</v>
      </c>
      <c r="F95" s="10"/>
      <c r="G95" s="28">
        <v>0</v>
      </c>
      <c r="H95" s="10">
        <v>0</v>
      </c>
      <c r="I95" s="13">
        <v>0</v>
      </c>
      <c r="J95" s="10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9"/>
    </row>
    <row r="96" spans="1:16" x14ac:dyDescent="0.3">
      <c r="A96" t="s">
        <v>2415</v>
      </c>
      <c r="B96" s="3" t="s">
        <v>2823</v>
      </c>
      <c r="C96" t="s">
        <v>2414</v>
      </c>
      <c r="D96" s="9">
        <f>VLOOKUP(A96,[2]Sheet1!$A:$C,3,0)</f>
        <v>3</v>
      </c>
      <c r="J96" s="1"/>
      <c r="K96" s="1">
        <v>1165</v>
      </c>
      <c r="L96" s="1">
        <v>1175</v>
      </c>
      <c r="M96" s="1">
        <v>1180</v>
      </c>
      <c r="N96" s="1">
        <v>1250</v>
      </c>
      <c r="O96" s="1">
        <v>1350</v>
      </c>
    </row>
    <row r="97" spans="1:16" x14ac:dyDescent="0.3">
      <c r="A97" t="s">
        <v>2801</v>
      </c>
      <c r="B97" s="3" t="s">
        <v>2823</v>
      </c>
      <c r="C97" t="s">
        <v>2802</v>
      </c>
      <c r="D97" s="9">
        <f>VLOOKUP(A97,[2]Sheet1!$A:$C,3,0)</f>
        <v>7</v>
      </c>
      <c r="J97" s="1"/>
      <c r="K97" s="1">
        <v>470</v>
      </c>
      <c r="L97" s="1">
        <v>480</v>
      </c>
      <c r="M97" s="1">
        <v>500</v>
      </c>
      <c r="N97" s="1">
        <v>525</v>
      </c>
      <c r="O97" s="1">
        <v>550</v>
      </c>
      <c r="P97" t="e">
        <v>#N/A</v>
      </c>
    </row>
    <row r="98" spans="1:16" x14ac:dyDescent="0.3">
      <c r="A98" t="s">
        <v>2803</v>
      </c>
      <c r="B98" s="3" t="s">
        <v>2823</v>
      </c>
      <c r="C98" t="s">
        <v>2804</v>
      </c>
      <c r="D98" s="9">
        <f>VLOOKUP(A98,[2]Sheet1!$A:$C,3,0)</f>
        <v>6</v>
      </c>
      <c r="J98" s="1"/>
      <c r="K98" s="1">
        <v>240</v>
      </c>
      <c r="L98" s="1">
        <v>250</v>
      </c>
      <c r="M98" s="1">
        <v>260</v>
      </c>
      <c r="N98" s="1">
        <v>270</v>
      </c>
      <c r="O98" s="1">
        <v>285</v>
      </c>
      <c r="P98" t="e">
        <v>#N/A</v>
      </c>
    </row>
    <row r="99" spans="1:16" x14ac:dyDescent="0.3">
      <c r="A99" t="s">
        <v>2805</v>
      </c>
      <c r="B99" s="3" t="s">
        <v>2823</v>
      </c>
      <c r="C99" t="s">
        <v>2806</v>
      </c>
      <c r="D99" s="9">
        <f>VLOOKUP(A99,[2]Sheet1!$A:$C,3,0)</f>
        <v>5</v>
      </c>
      <c r="J99" s="1"/>
      <c r="K99" s="1">
        <v>240</v>
      </c>
      <c r="L99" s="1">
        <v>250</v>
      </c>
      <c r="M99" s="1">
        <v>260</v>
      </c>
      <c r="N99" s="1">
        <v>270</v>
      </c>
      <c r="O99" s="1">
        <v>285</v>
      </c>
      <c r="P99" t="e">
        <v>#N/A</v>
      </c>
    </row>
    <row r="100" spans="1:16" x14ac:dyDescent="0.3">
      <c r="A100" t="s">
        <v>2807</v>
      </c>
      <c r="B100" s="3" t="s">
        <v>2823</v>
      </c>
      <c r="C100" t="s">
        <v>2808</v>
      </c>
      <c r="D100" s="9">
        <f>VLOOKUP(A100,[2]Sheet1!$A:$C,3,0)</f>
        <v>9</v>
      </c>
      <c r="J100" s="1"/>
      <c r="K100" s="1">
        <v>415</v>
      </c>
      <c r="L100" s="1">
        <v>425</v>
      </c>
      <c r="M100" s="1">
        <v>450</v>
      </c>
      <c r="N100" s="1">
        <v>485</v>
      </c>
      <c r="O100" s="1">
        <v>500</v>
      </c>
      <c r="P100" t="e">
        <v>#N/A</v>
      </c>
    </row>
    <row r="101" spans="1:16" x14ac:dyDescent="0.3">
      <c r="A101" t="s">
        <v>2809</v>
      </c>
      <c r="B101" s="3" t="s">
        <v>2823</v>
      </c>
      <c r="C101" t="s">
        <v>2810</v>
      </c>
      <c r="D101" s="9">
        <f>VLOOKUP(A101,[2]Sheet1!$A:$C,3,0)</f>
        <v>10</v>
      </c>
      <c r="J101" s="1"/>
      <c r="K101" s="1">
        <v>415</v>
      </c>
      <c r="L101" s="1">
        <v>425</v>
      </c>
      <c r="M101" s="1">
        <v>450</v>
      </c>
      <c r="N101" s="1">
        <v>485</v>
      </c>
      <c r="O101" s="1">
        <v>500</v>
      </c>
      <c r="P101" t="e">
        <v>#N/A</v>
      </c>
    </row>
    <row r="102" spans="1:16" x14ac:dyDescent="0.3">
      <c r="A102" t="s">
        <v>2413</v>
      </c>
      <c r="B102" s="3" t="s">
        <v>2823</v>
      </c>
      <c r="C102" t="s">
        <v>2412</v>
      </c>
      <c r="D102" s="9">
        <f>VLOOKUP(A102,[2]Sheet1!$A:$C,3,0)</f>
        <v>524</v>
      </c>
      <c r="J102" s="1"/>
      <c r="K102" s="1">
        <v>1165</v>
      </c>
      <c r="L102" s="1">
        <v>1175</v>
      </c>
      <c r="M102" s="1">
        <v>1180</v>
      </c>
      <c r="N102" s="1">
        <v>1250</v>
      </c>
      <c r="O102" s="1">
        <v>1350</v>
      </c>
    </row>
    <row r="103" spans="1:16" x14ac:dyDescent="0.3">
      <c r="A103" t="s">
        <v>2411</v>
      </c>
      <c r="B103" s="3" t="s">
        <v>2823</v>
      </c>
      <c r="C103" t="s">
        <v>2410</v>
      </c>
      <c r="D103" s="9">
        <f>VLOOKUP(A103,[2]Sheet1!$A:$C,3,0)</f>
        <v>1959</v>
      </c>
      <c r="J103" s="1"/>
      <c r="K103" s="1">
        <v>1165</v>
      </c>
      <c r="L103" s="1">
        <v>1175</v>
      </c>
      <c r="M103" s="1">
        <v>1180</v>
      </c>
      <c r="N103" s="1">
        <v>1250</v>
      </c>
      <c r="O103" s="1">
        <v>1350</v>
      </c>
    </row>
    <row r="104" spans="1:16" x14ac:dyDescent="0.3">
      <c r="A104" t="s">
        <v>2409</v>
      </c>
      <c r="B104" s="3" t="s">
        <v>2823</v>
      </c>
      <c r="C104" t="s">
        <v>2408</v>
      </c>
      <c r="D104" s="9">
        <f>VLOOKUP(A104,[2]Sheet1!$A:$C,3,0)</f>
        <v>445</v>
      </c>
      <c r="J104" s="1"/>
      <c r="K104" s="1">
        <v>1165</v>
      </c>
      <c r="L104" s="1">
        <v>1175</v>
      </c>
      <c r="M104" s="1">
        <v>1180</v>
      </c>
      <c r="N104" s="1">
        <v>1250</v>
      </c>
      <c r="O104" s="1">
        <v>1350</v>
      </c>
    </row>
    <row r="105" spans="1:16" x14ac:dyDescent="0.3">
      <c r="A105" t="s">
        <v>2407</v>
      </c>
      <c r="B105" s="3" t="s">
        <v>2823</v>
      </c>
      <c r="C105" t="s">
        <v>2406</v>
      </c>
      <c r="D105" s="9">
        <f>VLOOKUP(A105,[2]Sheet1!$A:$C,3,0)</f>
        <v>117</v>
      </c>
      <c r="J105" s="1"/>
      <c r="K105" s="1">
        <v>1165</v>
      </c>
      <c r="L105" s="1">
        <v>1175</v>
      </c>
      <c r="M105" s="1">
        <v>1180</v>
      </c>
      <c r="N105" s="1">
        <v>1250</v>
      </c>
      <c r="O105" s="1">
        <v>1350</v>
      </c>
    </row>
    <row r="106" spans="1:16" x14ac:dyDescent="0.3">
      <c r="A106" t="s">
        <v>2811</v>
      </c>
      <c r="B106" s="3" t="s">
        <v>2823</v>
      </c>
      <c r="C106" t="s">
        <v>2812</v>
      </c>
      <c r="D106" s="9">
        <f>VLOOKUP(A106,[2]Sheet1!$A:$C,3,0)</f>
        <v>12</v>
      </c>
      <c r="J106" s="1"/>
      <c r="K106" s="1">
        <v>2450</v>
      </c>
      <c r="L106" s="1">
        <v>2500</v>
      </c>
      <c r="M106" s="1">
        <v>2650</v>
      </c>
      <c r="N106" s="1">
        <v>2750</v>
      </c>
      <c r="O106" s="1">
        <v>2850</v>
      </c>
      <c r="P106" t="e">
        <v>#N/A</v>
      </c>
    </row>
    <row r="107" spans="1:16" x14ac:dyDescent="0.3">
      <c r="A107" s="9" t="s">
        <v>2405</v>
      </c>
      <c r="B107" s="10" t="s">
        <v>2823</v>
      </c>
      <c r="C107" s="9" t="s">
        <v>2404</v>
      </c>
      <c r="D107" s="9">
        <f>VLOOKUP(A107,[2]Sheet1!$A:$C,3,0)</f>
        <v>0</v>
      </c>
      <c r="E107" s="10">
        <v>0</v>
      </c>
      <c r="F107" s="10"/>
      <c r="G107" s="28">
        <v>0</v>
      </c>
      <c r="H107" s="10">
        <v>0</v>
      </c>
      <c r="I107" s="13">
        <v>0</v>
      </c>
      <c r="J107" s="10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9"/>
    </row>
    <row r="108" spans="1:16" x14ac:dyDescent="0.3">
      <c r="A108" t="s">
        <v>2123</v>
      </c>
      <c r="B108" s="3" t="s">
        <v>2824</v>
      </c>
      <c r="C108" t="s">
        <v>2122</v>
      </c>
      <c r="D108" s="9">
        <f>VLOOKUP(A108,[2]Sheet1!$A:$C,3,0)</f>
        <v>4</v>
      </c>
      <c r="J108" s="1"/>
      <c r="K108" s="2">
        <v>0</v>
      </c>
      <c r="L108" s="1">
        <v>102</v>
      </c>
      <c r="M108" s="1">
        <v>105</v>
      </c>
      <c r="N108" s="1">
        <v>107</v>
      </c>
      <c r="O108" s="1">
        <v>113</v>
      </c>
    </row>
    <row r="109" spans="1:16" x14ac:dyDescent="0.3">
      <c r="A109" t="s">
        <v>2121</v>
      </c>
      <c r="B109" s="3" t="s">
        <v>2824</v>
      </c>
      <c r="C109" t="s">
        <v>2773</v>
      </c>
      <c r="D109" s="9">
        <f>VLOOKUP(A109,[2]Sheet1!$A:$C,3,0)</f>
        <v>30</v>
      </c>
      <c r="J109" s="1"/>
      <c r="K109" s="2">
        <v>0</v>
      </c>
      <c r="L109" s="1">
        <v>94</v>
      </c>
      <c r="M109" s="1">
        <v>97</v>
      </c>
      <c r="N109" s="1">
        <v>100</v>
      </c>
      <c r="O109" s="1">
        <v>105</v>
      </c>
    </row>
    <row r="110" spans="1:16" x14ac:dyDescent="0.3">
      <c r="A110" t="s">
        <v>2120</v>
      </c>
      <c r="B110" s="3" t="s">
        <v>2824</v>
      </c>
      <c r="C110" t="s">
        <v>2119</v>
      </c>
      <c r="D110" s="9">
        <f>VLOOKUP(A110,[2]Sheet1!$A:$C,3,0)</f>
        <v>25</v>
      </c>
      <c r="J110" s="1"/>
      <c r="K110" s="2">
        <v>0</v>
      </c>
      <c r="L110" s="1">
        <v>74</v>
      </c>
      <c r="M110" s="1">
        <v>77</v>
      </c>
      <c r="N110" s="1">
        <v>78.5</v>
      </c>
      <c r="O110" s="1">
        <v>83</v>
      </c>
    </row>
    <row r="111" spans="1:16" x14ac:dyDescent="0.3">
      <c r="A111" t="s">
        <v>2032</v>
      </c>
      <c r="B111" s="3" t="s">
        <v>2824</v>
      </c>
      <c r="C111" t="s">
        <v>2031</v>
      </c>
      <c r="D111" s="9">
        <f>VLOOKUP(A111,[2]Sheet1!$A:$C,3,0)</f>
        <v>3279</v>
      </c>
      <c r="J111" s="1"/>
      <c r="K111" s="1">
        <v>94</v>
      </c>
      <c r="L111" s="1">
        <v>96</v>
      </c>
      <c r="M111" s="1">
        <v>98</v>
      </c>
      <c r="N111" s="1">
        <v>100</v>
      </c>
      <c r="O111" s="1">
        <v>105</v>
      </c>
    </row>
    <row r="112" spans="1:16" x14ac:dyDescent="0.3">
      <c r="A112" t="s">
        <v>2030</v>
      </c>
      <c r="B112" s="3" t="s">
        <v>2824</v>
      </c>
      <c r="C112" t="s">
        <v>2029</v>
      </c>
      <c r="D112" s="9">
        <f>VLOOKUP(A112,[2]Sheet1!$A:$C,3,0)</f>
        <v>2402</v>
      </c>
      <c r="J112" s="1"/>
      <c r="K112" s="1">
        <v>88</v>
      </c>
      <c r="L112" s="1">
        <v>90</v>
      </c>
      <c r="M112" s="1">
        <v>92</v>
      </c>
      <c r="N112" s="1">
        <v>94</v>
      </c>
      <c r="O112" s="1">
        <v>98</v>
      </c>
    </row>
    <row r="113" spans="1:15" x14ac:dyDescent="0.3">
      <c r="A113" t="s">
        <v>2028</v>
      </c>
      <c r="B113" s="3" t="s">
        <v>2824</v>
      </c>
      <c r="C113" t="s">
        <v>2027</v>
      </c>
      <c r="D113" s="9">
        <f>VLOOKUP(A113,[2]Sheet1!$A:$C,3,0)</f>
        <v>2405</v>
      </c>
      <c r="J113" s="1"/>
      <c r="K113" s="1">
        <v>69</v>
      </c>
      <c r="L113" s="1">
        <v>72</v>
      </c>
      <c r="M113" s="1">
        <v>74</v>
      </c>
      <c r="N113" s="1">
        <v>76</v>
      </c>
      <c r="O113" s="1">
        <v>78</v>
      </c>
    </row>
    <row r="114" spans="1:15" x14ac:dyDescent="0.3">
      <c r="A114" t="s">
        <v>2026</v>
      </c>
      <c r="B114" s="3" t="s">
        <v>2824</v>
      </c>
      <c r="C114" t="s">
        <v>2025</v>
      </c>
      <c r="D114" s="9">
        <f>VLOOKUP(A114,[2]Sheet1!$A:$C,3,0)</f>
        <v>550</v>
      </c>
      <c r="J114" s="1"/>
      <c r="K114" s="1">
        <v>62.5</v>
      </c>
      <c r="L114" s="1">
        <v>64</v>
      </c>
      <c r="M114" s="1">
        <v>66</v>
      </c>
      <c r="N114" s="1">
        <v>68</v>
      </c>
      <c r="O114" s="1">
        <v>70</v>
      </c>
    </row>
    <row r="115" spans="1:15" x14ac:dyDescent="0.3">
      <c r="A115" t="s">
        <v>2024</v>
      </c>
      <c r="B115" s="3" t="s">
        <v>2824</v>
      </c>
      <c r="C115" t="s">
        <v>2023</v>
      </c>
      <c r="D115" s="9">
        <f>VLOOKUP(A115,[2]Sheet1!$A:$C,3,0)</f>
        <v>585</v>
      </c>
      <c r="J115" s="1"/>
      <c r="K115" s="1">
        <v>125</v>
      </c>
      <c r="L115" s="1">
        <v>130</v>
      </c>
      <c r="M115" s="1">
        <v>133</v>
      </c>
      <c r="N115" s="1">
        <v>135</v>
      </c>
      <c r="O115" s="1">
        <v>140</v>
      </c>
    </row>
    <row r="116" spans="1:15" x14ac:dyDescent="0.3">
      <c r="A116" t="s">
        <v>2022</v>
      </c>
      <c r="B116" s="3" t="s">
        <v>2824</v>
      </c>
      <c r="C116" t="s">
        <v>2021</v>
      </c>
      <c r="D116" s="9">
        <f>VLOOKUP(A116,[2]Sheet1!$A:$C,3,0)</f>
        <v>0</v>
      </c>
      <c r="J116" s="1"/>
      <c r="K116" s="2">
        <v>0</v>
      </c>
      <c r="L116" s="1">
        <v>94</v>
      </c>
      <c r="M116" s="1">
        <v>97</v>
      </c>
      <c r="N116" s="1">
        <v>100</v>
      </c>
      <c r="O116" s="1">
        <v>105</v>
      </c>
    </row>
    <row r="117" spans="1:15" x14ac:dyDescent="0.3">
      <c r="A117" t="s">
        <v>2020</v>
      </c>
      <c r="B117" s="3" t="s">
        <v>2824</v>
      </c>
      <c r="C117" t="s">
        <v>2019</v>
      </c>
      <c r="D117" s="9">
        <f>VLOOKUP(A117,[2]Sheet1!$A:$C,3,0)</f>
        <v>0</v>
      </c>
      <c r="J117" s="1"/>
      <c r="K117" s="2">
        <v>0</v>
      </c>
      <c r="L117" s="1">
        <v>67</v>
      </c>
      <c r="M117" s="1">
        <v>69</v>
      </c>
      <c r="N117" s="1">
        <v>71.5</v>
      </c>
      <c r="O117" s="1">
        <v>75</v>
      </c>
    </row>
    <row r="118" spans="1:15" x14ac:dyDescent="0.3">
      <c r="A118" t="s">
        <v>2018</v>
      </c>
      <c r="B118" s="3" t="s">
        <v>2824</v>
      </c>
      <c r="C118" t="s">
        <v>2017</v>
      </c>
      <c r="D118" s="9">
        <f>VLOOKUP(A118,[2]Sheet1!$A:$C,3,0)</f>
        <v>0</v>
      </c>
      <c r="J118" s="1"/>
      <c r="K118" s="2">
        <v>0</v>
      </c>
      <c r="L118" s="1">
        <v>135</v>
      </c>
      <c r="M118" s="1">
        <v>138</v>
      </c>
      <c r="N118" s="1">
        <v>143</v>
      </c>
      <c r="O118" s="1">
        <v>150</v>
      </c>
    </row>
    <row r="119" spans="1:15" x14ac:dyDescent="0.3">
      <c r="A119" t="s">
        <v>1846</v>
      </c>
      <c r="B119" s="3" t="s">
        <v>2824</v>
      </c>
      <c r="C119" t="s">
        <v>1845</v>
      </c>
      <c r="D119" s="9">
        <f>VLOOKUP(A119,[2]Sheet1!$A:$C,3,0)</f>
        <v>4</v>
      </c>
      <c r="J119" s="1"/>
      <c r="K119" s="1">
        <v>94</v>
      </c>
      <c r="L119" s="1">
        <v>96</v>
      </c>
      <c r="M119" s="1">
        <v>98</v>
      </c>
      <c r="N119" s="1">
        <v>100</v>
      </c>
      <c r="O119" s="1">
        <v>105</v>
      </c>
    </row>
    <row r="120" spans="1:15" x14ac:dyDescent="0.3">
      <c r="A120" t="s">
        <v>1844</v>
      </c>
      <c r="B120" s="3" t="s">
        <v>2824</v>
      </c>
      <c r="C120" t="s">
        <v>1843</v>
      </c>
      <c r="D120" s="9">
        <f>VLOOKUP(A120,[2]Sheet1!$A:$C,3,0)</f>
        <v>12</v>
      </c>
      <c r="J120" s="1"/>
      <c r="K120" s="1">
        <v>88</v>
      </c>
      <c r="L120" s="1">
        <v>90</v>
      </c>
      <c r="M120" s="1">
        <v>92</v>
      </c>
      <c r="N120" s="1">
        <v>94</v>
      </c>
      <c r="O120" s="1">
        <v>98</v>
      </c>
    </row>
    <row r="121" spans="1:15" x14ac:dyDescent="0.3">
      <c r="A121" t="s">
        <v>1842</v>
      </c>
      <c r="B121" s="3" t="s">
        <v>2824</v>
      </c>
      <c r="C121" t="s">
        <v>1841</v>
      </c>
      <c r="D121" s="9">
        <f>VLOOKUP(A121,[2]Sheet1!$A:$C,3,0)</f>
        <v>3</v>
      </c>
      <c r="J121" s="1"/>
      <c r="K121" s="1">
        <v>69</v>
      </c>
      <c r="L121" s="1">
        <v>72</v>
      </c>
      <c r="M121" s="1">
        <v>74</v>
      </c>
      <c r="N121" s="1">
        <v>76</v>
      </c>
      <c r="O121" s="1">
        <v>78</v>
      </c>
    </row>
    <row r="122" spans="1:15" x14ac:dyDescent="0.3">
      <c r="A122" t="s">
        <v>1840</v>
      </c>
      <c r="B122" s="3" t="s">
        <v>2824</v>
      </c>
      <c r="C122" t="s">
        <v>1839</v>
      </c>
      <c r="D122" s="9">
        <f>VLOOKUP(A122,[2]Sheet1!$A:$C,3,0)</f>
        <v>1</v>
      </c>
      <c r="J122" s="1"/>
      <c r="K122" s="1">
        <v>62.5</v>
      </c>
      <c r="L122" s="1">
        <v>64</v>
      </c>
      <c r="M122" s="1">
        <v>66</v>
      </c>
      <c r="N122" s="1">
        <v>68</v>
      </c>
      <c r="O122" s="1">
        <v>70</v>
      </c>
    </row>
    <row r="123" spans="1:15" x14ac:dyDescent="0.3">
      <c r="A123" t="s">
        <v>1838</v>
      </c>
      <c r="B123" s="3" t="s">
        <v>2824</v>
      </c>
      <c r="C123" t="s">
        <v>1837</v>
      </c>
      <c r="D123" s="9">
        <f>VLOOKUP(A123,[2]Sheet1!$A:$C,3,0)</f>
        <v>0</v>
      </c>
      <c r="J123" s="1"/>
      <c r="K123" s="1">
        <v>125</v>
      </c>
      <c r="L123" s="1">
        <v>130</v>
      </c>
      <c r="M123" s="1">
        <v>133</v>
      </c>
      <c r="N123" s="1">
        <v>135</v>
      </c>
      <c r="O123" s="1">
        <v>140</v>
      </c>
    </row>
    <row r="124" spans="1:15" x14ac:dyDescent="0.3">
      <c r="A124" t="s">
        <v>1836</v>
      </c>
      <c r="B124" s="3" t="s">
        <v>2824</v>
      </c>
      <c r="C124" t="s">
        <v>1835</v>
      </c>
      <c r="D124" s="9">
        <f>VLOOKUP(A124,[2]Sheet1!$A:$C,3,0)</f>
        <v>0</v>
      </c>
      <c r="J124" s="1"/>
      <c r="K124" s="2">
        <v>0</v>
      </c>
      <c r="L124" s="1">
        <v>94</v>
      </c>
      <c r="M124" s="1">
        <v>97</v>
      </c>
      <c r="N124" s="1">
        <v>100</v>
      </c>
      <c r="O124" s="1">
        <v>105</v>
      </c>
    </row>
    <row r="125" spans="1:15" x14ac:dyDescent="0.3">
      <c r="A125" t="s">
        <v>1834</v>
      </c>
      <c r="B125" s="3" t="s">
        <v>2824</v>
      </c>
      <c r="C125" t="s">
        <v>1833</v>
      </c>
      <c r="D125" s="9">
        <f>VLOOKUP(A125,[2]Sheet1!$A:$C,3,0)</f>
        <v>96</v>
      </c>
      <c r="J125" s="1"/>
      <c r="K125" s="2">
        <v>0</v>
      </c>
      <c r="L125" s="1">
        <v>74</v>
      </c>
      <c r="M125" s="1">
        <v>77</v>
      </c>
      <c r="N125" s="1">
        <v>78.5</v>
      </c>
      <c r="O125" s="1">
        <v>83</v>
      </c>
    </row>
    <row r="126" spans="1:15" x14ac:dyDescent="0.3">
      <c r="A126" t="s">
        <v>1832</v>
      </c>
      <c r="B126" s="3" t="s">
        <v>2824</v>
      </c>
      <c r="C126" t="s">
        <v>1831</v>
      </c>
      <c r="D126" s="9">
        <f>VLOOKUP(A126,[2]Sheet1!$A:$C,3,0)</f>
        <v>13</v>
      </c>
      <c r="J126" s="1"/>
      <c r="K126" s="2">
        <v>0</v>
      </c>
      <c r="L126" s="1">
        <v>67</v>
      </c>
      <c r="M126" s="1">
        <v>69</v>
      </c>
      <c r="N126" s="1">
        <v>71.5</v>
      </c>
      <c r="O126" s="1">
        <v>75</v>
      </c>
    </row>
    <row r="127" spans="1:15" x14ac:dyDescent="0.3">
      <c r="A127" t="s">
        <v>1830</v>
      </c>
      <c r="B127" s="3" t="s">
        <v>2824</v>
      </c>
      <c r="C127" t="s">
        <v>1829</v>
      </c>
      <c r="D127" s="9">
        <f>VLOOKUP(A127,[2]Sheet1!$A:$C,3,0)</f>
        <v>10</v>
      </c>
      <c r="J127" s="1"/>
      <c r="K127" s="2">
        <v>0</v>
      </c>
      <c r="L127" s="1">
        <v>135</v>
      </c>
      <c r="M127" s="1">
        <v>138</v>
      </c>
      <c r="N127" s="1">
        <v>143</v>
      </c>
      <c r="O127" s="1">
        <v>150</v>
      </c>
    </row>
    <row r="128" spans="1:15" x14ac:dyDescent="0.3">
      <c r="A128" t="s">
        <v>1696</v>
      </c>
      <c r="B128" s="3" t="s">
        <v>2824</v>
      </c>
      <c r="C128" t="s">
        <v>1695</v>
      </c>
      <c r="D128" s="9">
        <f>VLOOKUP(A128,[2]Sheet1!$A:$C,3,0)</f>
        <v>0</v>
      </c>
      <c r="J128" s="1"/>
      <c r="K128" s="1">
        <v>94</v>
      </c>
      <c r="L128" s="1">
        <v>96</v>
      </c>
      <c r="M128" s="1">
        <v>98</v>
      </c>
      <c r="N128" s="1">
        <v>100</v>
      </c>
      <c r="O128" s="1">
        <v>105</v>
      </c>
    </row>
    <row r="129" spans="1:15" x14ac:dyDescent="0.3">
      <c r="A129" t="s">
        <v>1694</v>
      </c>
      <c r="B129" s="3" t="s">
        <v>2824</v>
      </c>
      <c r="C129" t="s">
        <v>1693</v>
      </c>
      <c r="D129" s="9">
        <f>VLOOKUP(A129,[2]Sheet1!$A:$C,3,0)</f>
        <v>31</v>
      </c>
      <c r="J129" s="1"/>
      <c r="K129" s="1">
        <v>88</v>
      </c>
      <c r="L129" s="1">
        <v>90</v>
      </c>
      <c r="M129" s="1">
        <v>92</v>
      </c>
      <c r="N129" s="1">
        <v>94</v>
      </c>
      <c r="O129" s="1">
        <v>98</v>
      </c>
    </row>
    <row r="130" spans="1:15" x14ac:dyDescent="0.3">
      <c r="A130" t="s">
        <v>1692</v>
      </c>
      <c r="B130" s="3" t="s">
        <v>2824</v>
      </c>
      <c r="C130" t="s">
        <v>1691</v>
      </c>
      <c r="D130" s="9">
        <f>VLOOKUP(A130,[2]Sheet1!$A:$C,3,0)</f>
        <v>156</v>
      </c>
      <c r="J130" s="1"/>
      <c r="K130" s="1">
        <v>69</v>
      </c>
      <c r="L130" s="1">
        <v>72</v>
      </c>
      <c r="M130" s="1">
        <v>74</v>
      </c>
      <c r="N130" s="1">
        <v>76</v>
      </c>
      <c r="O130" s="1">
        <v>78</v>
      </c>
    </row>
    <row r="131" spans="1:15" x14ac:dyDescent="0.3">
      <c r="A131" t="s">
        <v>1690</v>
      </c>
      <c r="B131" s="3" t="s">
        <v>2824</v>
      </c>
      <c r="C131" t="s">
        <v>1689</v>
      </c>
      <c r="D131" s="9">
        <f>VLOOKUP(A131,[2]Sheet1!$A:$C,3,0)</f>
        <v>30</v>
      </c>
      <c r="J131" s="1"/>
      <c r="K131" s="1">
        <v>62.5</v>
      </c>
      <c r="L131" s="1">
        <v>64</v>
      </c>
      <c r="M131" s="1">
        <v>66</v>
      </c>
      <c r="N131" s="1">
        <v>68</v>
      </c>
      <c r="O131" s="1">
        <v>70</v>
      </c>
    </row>
    <row r="132" spans="1:15" x14ac:dyDescent="0.3">
      <c r="A132" t="s">
        <v>1688</v>
      </c>
      <c r="B132" s="3" t="s">
        <v>2824</v>
      </c>
      <c r="C132" t="s">
        <v>1687</v>
      </c>
      <c r="D132" s="9">
        <f>VLOOKUP(A132,[2]Sheet1!$A:$C,3,0)</f>
        <v>2</v>
      </c>
      <c r="J132" s="1"/>
      <c r="K132" s="1">
        <v>125</v>
      </c>
      <c r="L132" s="1">
        <v>130</v>
      </c>
      <c r="M132" s="1">
        <v>133</v>
      </c>
      <c r="N132" s="1">
        <v>135</v>
      </c>
      <c r="O132" s="1">
        <v>140</v>
      </c>
    </row>
    <row r="133" spans="1:15" x14ac:dyDescent="0.3">
      <c r="A133" t="s">
        <v>1686</v>
      </c>
      <c r="B133" s="3" t="s">
        <v>2824</v>
      </c>
      <c r="C133" t="s">
        <v>1685</v>
      </c>
      <c r="D133" s="9">
        <f>VLOOKUP(A133,[2]Sheet1!$A:$C,3,0)</f>
        <v>45</v>
      </c>
      <c r="J133" s="1"/>
      <c r="K133" s="2">
        <v>0</v>
      </c>
      <c r="L133" s="1">
        <v>94</v>
      </c>
      <c r="M133" s="1">
        <v>97</v>
      </c>
      <c r="N133" s="1">
        <v>100</v>
      </c>
      <c r="O133" s="1">
        <v>105</v>
      </c>
    </row>
    <row r="134" spans="1:15" x14ac:dyDescent="0.3">
      <c r="A134" t="s">
        <v>1684</v>
      </c>
      <c r="B134" s="3" t="s">
        <v>2824</v>
      </c>
      <c r="C134" t="s">
        <v>1683</v>
      </c>
      <c r="D134" s="9">
        <f>VLOOKUP(A134,[2]Sheet1!$A:$C,3,0)</f>
        <v>36</v>
      </c>
      <c r="J134" s="1"/>
      <c r="K134" s="2">
        <v>0</v>
      </c>
      <c r="L134" s="1">
        <v>74</v>
      </c>
      <c r="M134" s="1">
        <v>77</v>
      </c>
      <c r="N134" s="1">
        <v>78.5</v>
      </c>
      <c r="O134" s="1">
        <v>83</v>
      </c>
    </row>
    <row r="135" spans="1:15" x14ac:dyDescent="0.3">
      <c r="A135" t="s">
        <v>1682</v>
      </c>
      <c r="B135" s="3" t="s">
        <v>2824</v>
      </c>
      <c r="C135" t="s">
        <v>1681</v>
      </c>
      <c r="D135" s="9">
        <f>VLOOKUP(A135,[2]Sheet1!$A:$C,3,0)</f>
        <v>81</v>
      </c>
      <c r="J135" s="1"/>
      <c r="K135" s="2">
        <v>0</v>
      </c>
      <c r="L135" s="1">
        <v>67</v>
      </c>
      <c r="M135" s="1">
        <v>69</v>
      </c>
      <c r="N135" s="1">
        <v>71.5</v>
      </c>
      <c r="O135" s="1">
        <v>75</v>
      </c>
    </row>
    <row r="136" spans="1:15" x14ac:dyDescent="0.3">
      <c r="A136" t="s">
        <v>1680</v>
      </c>
      <c r="B136" s="3" t="s">
        <v>2824</v>
      </c>
      <c r="C136" t="s">
        <v>1679</v>
      </c>
      <c r="D136" s="9">
        <f>VLOOKUP(A136,[2]Sheet1!$A:$C,3,0)</f>
        <v>0</v>
      </c>
      <c r="J136" s="1"/>
      <c r="K136" s="2">
        <v>0</v>
      </c>
      <c r="L136" s="1">
        <v>135</v>
      </c>
      <c r="M136" s="1">
        <v>138</v>
      </c>
      <c r="N136" s="1">
        <v>143</v>
      </c>
      <c r="O136" s="1">
        <v>150</v>
      </c>
    </row>
    <row r="137" spans="1:15" x14ac:dyDescent="0.3">
      <c r="A137" t="s">
        <v>2016</v>
      </c>
      <c r="B137" s="3" t="s">
        <v>2824</v>
      </c>
      <c r="C137" t="s">
        <v>2015</v>
      </c>
      <c r="D137" s="9">
        <f>VLOOKUP(A137,[2]Sheet1!$A:$C,3,0)</f>
        <v>3239</v>
      </c>
      <c r="J137" s="1"/>
      <c r="K137" s="1">
        <v>100</v>
      </c>
      <c r="L137" s="1">
        <v>103</v>
      </c>
      <c r="M137" s="1">
        <v>105</v>
      </c>
      <c r="N137" s="1">
        <v>110</v>
      </c>
      <c r="O137" s="1">
        <v>115</v>
      </c>
    </row>
    <row r="138" spans="1:15" x14ac:dyDescent="0.3">
      <c r="A138" t="s">
        <v>2014</v>
      </c>
      <c r="B138" s="3" t="s">
        <v>2824</v>
      </c>
      <c r="C138" t="s">
        <v>2013</v>
      </c>
      <c r="D138" s="9">
        <f>VLOOKUP(A138,[2]Sheet1!$A:$C,3,0)</f>
        <v>2981</v>
      </c>
      <c r="J138" s="1"/>
      <c r="K138" s="1">
        <v>100</v>
      </c>
      <c r="L138" s="1">
        <v>103</v>
      </c>
      <c r="M138" s="1">
        <v>105</v>
      </c>
      <c r="N138" s="1">
        <v>110</v>
      </c>
      <c r="O138" s="1">
        <v>115</v>
      </c>
    </row>
    <row r="139" spans="1:15" x14ac:dyDescent="0.3">
      <c r="A139" t="s">
        <v>1828</v>
      </c>
      <c r="B139" s="3" t="s">
        <v>2824</v>
      </c>
      <c r="C139" t="s">
        <v>1827</v>
      </c>
      <c r="D139" s="9">
        <f>VLOOKUP(A139,[2]Sheet1!$A:$C,3,0)</f>
        <v>7</v>
      </c>
      <c r="J139" s="1"/>
      <c r="K139" s="1">
        <v>100</v>
      </c>
      <c r="L139" s="1">
        <v>103</v>
      </c>
      <c r="M139" s="1">
        <v>105</v>
      </c>
      <c r="N139" s="1">
        <v>110</v>
      </c>
      <c r="O139" s="1">
        <v>115</v>
      </c>
    </row>
    <row r="140" spans="1:15" x14ac:dyDescent="0.3">
      <c r="A140" t="s">
        <v>1826</v>
      </c>
      <c r="B140" s="3" t="s">
        <v>2824</v>
      </c>
      <c r="C140" t="s">
        <v>1825</v>
      </c>
      <c r="D140" s="9">
        <f>VLOOKUP(A140,[2]Sheet1!$A:$C,3,0)</f>
        <v>22</v>
      </c>
      <c r="J140" s="1"/>
      <c r="K140" s="1">
        <v>100</v>
      </c>
      <c r="L140" s="1">
        <v>103</v>
      </c>
      <c r="M140" s="1">
        <v>105</v>
      </c>
      <c r="N140" s="1">
        <v>110</v>
      </c>
      <c r="O140" s="1">
        <v>115</v>
      </c>
    </row>
    <row r="141" spans="1:15" x14ac:dyDescent="0.3">
      <c r="A141" t="s">
        <v>1824</v>
      </c>
      <c r="B141" s="3" t="s">
        <v>2824</v>
      </c>
      <c r="C141" t="s">
        <v>1823</v>
      </c>
      <c r="D141" s="9">
        <f>VLOOKUP(A141,[2]Sheet1!$A:$C,3,0)</f>
        <v>5</v>
      </c>
      <c r="J141" s="1"/>
      <c r="K141" s="2">
        <v>0</v>
      </c>
      <c r="L141" s="1">
        <v>107</v>
      </c>
      <c r="M141" s="1">
        <v>112</v>
      </c>
      <c r="N141" s="1">
        <v>115</v>
      </c>
      <c r="O141" s="1">
        <v>120</v>
      </c>
    </row>
    <row r="142" spans="1:15" x14ac:dyDescent="0.3">
      <c r="A142" t="s">
        <v>1822</v>
      </c>
      <c r="B142" s="3" t="s">
        <v>2824</v>
      </c>
      <c r="C142" t="s">
        <v>1821</v>
      </c>
      <c r="D142" s="9">
        <f>VLOOKUP(A142,[2]Sheet1!$A:$C,3,0)</f>
        <v>22</v>
      </c>
      <c r="J142" s="1"/>
      <c r="K142" s="2">
        <v>0</v>
      </c>
      <c r="L142" s="1">
        <v>107</v>
      </c>
      <c r="M142" s="1">
        <v>112</v>
      </c>
      <c r="N142" s="1">
        <v>115</v>
      </c>
      <c r="O142" s="1">
        <v>120</v>
      </c>
    </row>
    <row r="143" spans="1:15" x14ac:dyDescent="0.3">
      <c r="A143" t="s">
        <v>1678</v>
      </c>
      <c r="B143" s="3" t="s">
        <v>2824</v>
      </c>
      <c r="C143" t="s">
        <v>1677</v>
      </c>
      <c r="D143" s="9">
        <f>VLOOKUP(A143,[2]Sheet1!$A:$C,3,0)</f>
        <v>2</v>
      </c>
      <c r="J143" s="1"/>
      <c r="K143" s="1">
        <v>100</v>
      </c>
      <c r="L143" s="1">
        <v>103</v>
      </c>
      <c r="M143" s="1">
        <v>105</v>
      </c>
      <c r="N143" s="1">
        <v>110</v>
      </c>
      <c r="O143" s="1">
        <v>115</v>
      </c>
    </row>
    <row r="144" spans="1:15" x14ac:dyDescent="0.3">
      <c r="A144" t="s">
        <v>1676</v>
      </c>
      <c r="B144" s="3" t="s">
        <v>2824</v>
      </c>
      <c r="C144" t="s">
        <v>1675</v>
      </c>
      <c r="D144" s="9">
        <f>VLOOKUP(A144,[2]Sheet1!$A:$C,3,0)</f>
        <v>13</v>
      </c>
      <c r="J144" s="1"/>
      <c r="K144" s="1">
        <v>100</v>
      </c>
      <c r="L144" s="1">
        <v>103</v>
      </c>
      <c r="M144" s="1">
        <v>105</v>
      </c>
      <c r="N144" s="1">
        <v>110</v>
      </c>
      <c r="O144" s="1">
        <v>115</v>
      </c>
    </row>
    <row r="145" spans="1:16" x14ac:dyDescent="0.3">
      <c r="A145" t="s">
        <v>1674</v>
      </c>
      <c r="B145" s="3" t="s">
        <v>2824</v>
      </c>
      <c r="C145" t="s">
        <v>1673</v>
      </c>
      <c r="D145" s="9">
        <f>VLOOKUP(A145,[2]Sheet1!$A:$C,3,0)</f>
        <v>0</v>
      </c>
      <c r="J145" s="1"/>
      <c r="K145" s="2">
        <v>0</v>
      </c>
      <c r="L145" s="1">
        <v>107</v>
      </c>
      <c r="M145" s="1">
        <v>112</v>
      </c>
      <c r="N145" s="1">
        <v>115</v>
      </c>
      <c r="O145" s="1">
        <v>120</v>
      </c>
    </row>
    <row r="146" spans="1:16" x14ac:dyDescent="0.3">
      <c r="A146" t="s">
        <v>2012</v>
      </c>
      <c r="B146" s="3" t="s">
        <v>2824</v>
      </c>
      <c r="C146" t="s">
        <v>2011</v>
      </c>
      <c r="D146" s="9">
        <f>VLOOKUP(A146,[2]Sheet1!$A:$C,3,0)</f>
        <v>356</v>
      </c>
      <c r="J146" s="1"/>
      <c r="K146" s="1">
        <v>118</v>
      </c>
      <c r="L146" s="1">
        <v>123</v>
      </c>
      <c r="M146" s="1">
        <v>125</v>
      </c>
      <c r="N146" s="1">
        <v>128</v>
      </c>
      <c r="O146" s="1">
        <v>130</v>
      </c>
      <c r="P146" t="s">
        <v>2780</v>
      </c>
    </row>
    <row r="147" spans="1:16" x14ac:dyDescent="0.3">
      <c r="A147" t="s">
        <v>2010</v>
      </c>
      <c r="B147" s="3" t="s">
        <v>2824</v>
      </c>
      <c r="C147" t="s">
        <v>2009</v>
      </c>
      <c r="D147" s="9">
        <f>VLOOKUP(A147,[2]Sheet1!$A:$C,3,0)</f>
        <v>808</v>
      </c>
      <c r="J147" s="1"/>
      <c r="K147" s="1">
        <v>106</v>
      </c>
      <c r="L147" s="1">
        <v>110</v>
      </c>
      <c r="M147" s="1">
        <v>112</v>
      </c>
      <c r="N147" s="1">
        <v>115</v>
      </c>
      <c r="O147" s="1">
        <v>120</v>
      </c>
      <c r="P147" t="s">
        <v>2780</v>
      </c>
    </row>
    <row r="148" spans="1:16" x14ac:dyDescent="0.3">
      <c r="A148" t="s">
        <v>2008</v>
      </c>
      <c r="B148" s="3" t="s">
        <v>2824</v>
      </c>
      <c r="C148" t="s">
        <v>2007</v>
      </c>
      <c r="D148" s="9">
        <f>VLOOKUP(A148,[2]Sheet1!$A:$C,3,0)</f>
        <v>0</v>
      </c>
      <c r="J148" s="1"/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6" x14ac:dyDescent="0.3">
      <c r="A149" t="s">
        <v>1820</v>
      </c>
      <c r="B149" s="3" t="s">
        <v>2824</v>
      </c>
      <c r="C149" t="s">
        <v>1819</v>
      </c>
      <c r="D149" s="9">
        <f>VLOOKUP(A149,[2]Sheet1!$A:$C,3,0)</f>
        <v>16</v>
      </c>
      <c r="J149" s="1"/>
      <c r="K149" s="2">
        <v>0</v>
      </c>
      <c r="L149" s="1">
        <v>200</v>
      </c>
      <c r="M149" s="1">
        <v>210</v>
      </c>
      <c r="N149" s="1">
        <v>215</v>
      </c>
      <c r="O149" s="1">
        <v>225</v>
      </c>
    </row>
    <row r="150" spans="1:16" x14ac:dyDescent="0.3">
      <c r="A150" t="s">
        <v>2118</v>
      </c>
      <c r="B150" s="3" t="s">
        <v>2824</v>
      </c>
      <c r="C150" t="s">
        <v>2117</v>
      </c>
      <c r="D150" s="9">
        <f>VLOOKUP(A150,[2]Sheet1!$A:$C,3,0)</f>
        <v>12</v>
      </c>
      <c r="J150" s="1"/>
      <c r="K150" s="2">
        <v>0</v>
      </c>
      <c r="L150" s="1">
        <v>84</v>
      </c>
      <c r="M150" s="1">
        <v>86.5</v>
      </c>
      <c r="N150" s="1">
        <v>90</v>
      </c>
      <c r="O150" s="1">
        <v>93</v>
      </c>
    </row>
    <row r="151" spans="1:16" x14ac:dyDescent="0.3">
      <c r="A151" t="s">
        <v>2006</v>
      </c>
      <c r="B151" s="3" t="s">
        <v>2824</v>
      </c>
      <c r="C151" t="s">
        <v>2005</v>
      </c>
      <c r="D151" s="9">
        <f>VLOOKUP(A151,[2]Sheet1!$A:$C,3,0)</f>
        <v>717</v>
      </c>
      <c r="J151" s="1"/>
      <c r="K151" s="1">
        <v>31.5</v>
      </c>
      <c r="L151" s="1">
        <v>32</v>
      </c>
      <c r="M151" s="1">
        <v>34</v>
      </c>
      <c r="N151" s="1">
        <v>36</v>
      </c>
      <c r="O151" s="1">
        <v>36.5</v>
      </c>
      <c r="P151" t="s">
        <v>2780</v>
      </c>
    </row>
    <row r="152" spans="1:16" x14ac:dyDescent="0.3">
      <c r="A152" t="s">
        <v>2004</v>
      </c>
      <c r="B152" s="3" t="s">
        <v>2824</v>
      </c>
      <c r="C152" t="s">
        <v>2003</v>
      </c>
      <c r="D152" s="9">
        <f>VLOOKUP(A152,[2]Sheet1!$A:$C,3,0)</f>
        <v>735</v>
      </c>
      <c r="J152" s="1"/>
      <c r="K152" s="1">
        <v>79</v>
      </c>
      <c r="L152" s="1">
        <v>81</v>
      </c>
      <c r="M152" s="1">
        <v>82</v>
      </c>
      <c r="N152" s="1">
        <v>85</v>
      </c>
      <c r="O152" s="1">
        <v>88</v>
      </c>
    </row>
    <row r="153" spans="1:16" x14ac:dyDescent="0.3">
      <c r="A153" t="s">
        <v>1818</v>
      </c>
      <c r="B153" s="3" t="s">
        <v>2824</v>
      </c>
      <c r="C153" t="s">
        <v>1817</v>
      </c>
      <c r="D153" s="9">
        <f>VLOOKUP(A153,[2]Sheet1!$A:$C,3,0)</f>
        <v>9</v>
      </c>
      <c r="J153" s="1"/>
      <c r="K153" s="1">
        <v>31.5</v>
      </c>
      <c r="L153" s="1">
        <v>32</v>
      </c>
      <c r="M153" s="1">
        <v>34</v>
      </c>
      <c r="N153" s="1">
        <v>36</v>
      </c>
      <c r="O153" s="1">
        <v>36.5</v>
      </c>
    </row>
    <row r="154" spans="1:16" x14ac:dyDescent="0.3">
      <c r="A154" t="s">
        <v>1816</v>
      </c>
      <c r="B154" s="3" t="s">
        <v>2824</v>
      </c>
      <c r="C154" t="s">
        <v>1815</v>
      </c>
      <c r="D154" s="9">
        <f>VLOOKUP(A154,[2]Sheet1!$A:$C,3,0)</f>
        <v>0</v>
      </c>
      <c r="J154" s="1"/>
      <c r="K154" s="1">
        <v>79</v>
      </c>
      <c r="L154" s="1">
        <v>81</v>
      </c>
      <c r="M154" s="1">
        <v>82</v>
      </c>
      <c r="N154" s="1">
        <v>85</v>
      </c>
      <c r="O154" s="1">
        <v>88</v>
      </c>
    </row>
    <row r="155" spans="1:16" x14ac:dyDescent="0.3">
      <c r="A155" t="s">
        <v>1814</v>
      </c>
      <c r="B155" s="3" t="s">
        <v>2824</v>
      </c>
      <c r="C155" t="s">
        <v>1813</v>
      </c>
      <c r="D155" s="9">
        <f>VLOOKUP(A155,[2]Sheet1!$A:$C,3,0)</f>
        <v>0</v>
      </c>
      <c r="J155" s="1"/>
      <c r="K155" s="2">
        <v>0</v>
      </c>
      <c r="L155" s="1">
        <v>33.5</v>
      </c>
      <c r="M155" s="1">
        <v>34.5</v>
      </c>
      <c r="N155" s="1">
        <v>36</v>
      </c>
      <c r="O155" s="1">
        <v>37</v>
      </c>
      <c r="P155" t="s">
        <v>2780</v>
      </c>
    </row>
    <row r="156" spans="1:16" x14ac:dyDescent="0.3">
      <c r="A156" t="s">
        <v>1672</v>
      </c>
      <c r="B156" s="3" t="s">
        <v>2824</v>
      </c>
      <c r="C156" t="s">
        <v>1671</v>
      </c>
      <c r="D156" s="9">
        <f>VLOOKUP(A156,[2]Sheet1!$A:$C,3,0)</f>
        <v>8</v>
      </c>
      <c r="J156" s="1"/>
      <c r="K156" s="1">
        <v>31.5</v>
      </c>
      <c r="L156" s="1">
        <v>32</v>
      </c>
      <c r="M156" s="1">
        <v>34</v>
      </c>
      <c r="N156" s="1">
        <v>36</v>
      </c>
      <c r="O156" s="1">
        <v>36.5</v>
      </c>
    </row>
    <row r="157" spans="1:16" x14ac:dyDescent="0.3">
      <c r="A157" t="s">
        <v>1670</v>
      </c>
      <c r="B157" s="3" t="s">
        <v>2824</v>
      </c>
      <c r="C157" t="s">
        <v>1669</v>
      </c>
      <c r="D157" s="9">
        <f>VLOOKUP(A157,[2]Sheet1!$A:$C,3,0)</f>
        <v>24</v>
      </c>
      <c r="J157" s="1"/>
      <c r="K157" s="1">
        <v>79</v>
      </c>
      <c r="L157" s="1">
        <v>81</v>
      </c>
      <c r="M157" s="1">
        <v>82</v>
      </c>
      <c r="N157" s="1">
        <v>85</v>
      </c>
      <c r="O157" s="1">
        <v>88</v>
      </c>
    </row>
    <row r="158" spans="1:16" x14ac:dyDescent="0.3">
      <c r="A158" t="s">
        <v>2403</v>
      </c>
      <c r="B158" s="3" t="s">
        <v>2824</v>
      </c>
      <c r="C158" t="s">
        <v>2402</v>
      </c>
      <c r="D158" s="9">
        <f>VLOOKUP(A158,[2]Sheet1!$A:$C,3,0)</f>
        <v>119</v>
      </c>
      <c r="J158" s="1"/>
      <c r="K158" s="1">
        <v>800</v>
      </c>
      <c r="L158" s="1">
        <v>815</v>
      </c>
      <c r="M158" s="1">
        <v>825</v>
      </c>
      <c r="N158" s="1">
        <v>835</v>
      </c>
      <c r="O158" s="1">
        <v>850</v>
      </c>
    </row>
    <row r="159" spans="1:16" x14ac:dyDescent="0.3">
      <c r="A159" t="s">
        <v>2401</v>
      </c>
      <c r="B159" s="3" t="s">
        <v>2824</v>
      </c>
      <c r="C159" t="s">
        <v>2400</v>
      </c>
      <c r="D159" s="9">
        <f>VLOOKUP(A159,[2]Sheet1!$A:$C,3,0)</f>
        <v>352</v>
      </c>
      <c r="J159" s="1"/>
      <c r="K159" s="1">
        <v>800</v>
      </c>
      <c r="L159" s="1">
        <v>815</v>
      </c>
      <c r="M159" s="1">
        <v>825</v>
      </c>
      <c r="N159" s="1">
        <v>835</v>
      </c>
      <c r="O159" s="1">
        <v>850</v>
      </c>
    </row>
    <row r="160" spans="1:16" x14ac:dyDescent="0.3">
      <c r="A160" t="s">
        <v>2399</v>
      </c>
      <c r="B160" s="3" t="s">
        <v>2824</v>
      </c>
      <c r="C160" t="s">
        <v>2398</v>
      </c>
      <c r="D160" s="9">
        <f>VLOOKUP(A160,[2]Sheet1!$A:$C,3,0)</f>
        <v>9</v>
      </c>
      <c r="J160" s="1"/>
      <c r="K160" s="1">
        <v>830</v>
      </c>
      <c r="L160" s="1">
        <v>845</v>
      </c>
      <c r="M160" s="1">
        <v>860</v>
      </c>
      <c r="N160" s="1">
        <v>875</v>
      </c>
      <c r="O160" s="1">
        <v>910</v>
      </c>
    </row>
    <row r="161" spans="1:16" x14ac:dyDescent="0.3">
      <c r="A161" t="s">
        <v>2397</v>
      </c>
      <c r="B161" s="3" t="s">
        <v>2824</v>
      </c>
      <c r="C161" t="s">
        <v>2396</v>
      </c>
      <c r="D161" s="9">
        <f>VLOOKUP(A161,[2]Sheet1!$A:$C,3,0)</f>
        <v>167</v>
      </c>
      <c r="J161" s="1"/>
      <c r="K161" s="1">
        <v>800</v>
      </c>
      <c r="L161" s="1">
        <v>815</v>
      </c>
      <c r="M161" s="1">
        <v>825</v>
      </c>
      <c r="N161" s="1">
        <v>835</v>
      </c>
      <c r="O161" s="1">
        <v>850</v>
      </c>
    </row>
    <row r="162" spans="1:16" x14ac:dyDescent="0.3">
      <c r="A162" t="s">
        <v>2395</v>
      </c>
      <c r="B162" s="3" t="s">
        <v>2824</v>
      </c>
      <c r="C162" t="s">
        <v>2394</v>
      </c>
      <c r="D162" s="9">
        <f>VLOOKUP(A162,[2]Sheet1!$A:$C,3,0)</f>
        <v>0</v>
      </c>
      <c r="J162" s="1"/>
      <c r="K162" s="2">
        <v>0</v>
      </c>
      <c r="L162" s="1">
        <v>785</v>
      </c>
      <c r="M162" s="1">
        <v>810</v>
      </c>
      <c r="N162" s="1">
        <v>840</v>
      </c>
      <c r="O162" s="1">
        <v>890</v>
      </c>
    </row>
    <row r="163" spans="1:16" x14ac:dyDescent="0.3">
      <c r="A163" t="s">
        <v>2393</v>
      </c>
      <c r="B163" s="3" t="s">
        <v>2824</v>
      </c>
      <c r="C163" t="s">
        <v>2392</v>
      </c>
      <c r="D163" s="9">
        <f>VLOOKUP(A163,[2]Sheet1!$A:$C,3,0)</f>
        <v>4</v>
      </c>
      <c r="J163" s="1"/>
      <c r="K163" s="2">
        <v>0</v>
      </c>
      <c r="L163" s="1">
        <v>785</v>
      </c>
      <c r="M163" s="1">
        <v>810</v>
      </c>
      <c r="N163" s="1">
        <v>840</v>
      </c>
      <c r="O163" s="1">
        <v>890</v>
      </c>
    </row>
    <row r="164" spans="1:16" x14ac:dyDescent="0.3">
      <c r="A164" t="s">
        <v>2391</v>
      </c>
      <c r="B164" s="3" t="s">
        <v>2824</v>
      </c>
      <c r="C164" t="s">
        <v>2390</v>
      </c>
      <c r="D164" s="9">
        <f>VLOOKUP(A164,[2]Sheet1!$A:$C,3,0)</f>
        <v>9</v>
      </c>
      <c r="J164" s="1"/>
      <c r="K164" s="2">
        <v>0</v>
      </c>
      <c r="L164" s="1">
        <v>785</v>
      </c>
      <c r="M164" s="1">
        <v>810</v>
      </c>
      <c r="N164" s="1">
        <v>840</v>
      </c>
      <c r="O164" s="1">
        <v>890</v>
      </c>
    </row>
    <row r="165" spans="1:16" x14ac:dyDescent="0.3">
      <c r="A165" t="s">
        <v>2389</v>
      </c>
      <c r="B165" s="3" t="s">
        <v>2824</v>
      </c>
      <c r="C165" t="s">
        <v>2388</v>
      </c>
      <c r="D165" s="9">
        <f>VLOOKUP(A165,[2]Sheet1!$A:$C,3,0)</f>
        <v>22</v>
      </c>
      <c r="J165" s="1"/>
      <c r="K165" s="1">
        <v>1100</v>
      </c>
      <c r="L165" s="1">
        <v>1150</v>
      </c>
      <c r="M165" s="1">
        <v>1200</v>
      </c>
      <c r="N165" s="1">
        <v>1250</v>
      </c>
      <c r="O165" s="1">
        <v>1300</v>
      </c>
    </row>
    <row r="166" spans="1:16" x14ac:dyDescent="0.3">
      <c r="A166" t="s">
        <v>2387</v>
      </c>
      <c r="B166" s="3" t="s">
        <v>2824</v>
      </c>
      <c r="C166" t="s">
        <v>2386</v>
      </c>
      <c r="D166" s="9">
        <f>VLOOKUP(A166,[2]Sheet1!$A:$C,3,0)</f>
        <v>5</v>
      </c>
      <c r="J166" s="1"/>
      <c r="K166" s="1">
        <v>1100</v>
      </c>
      <c r="L166" s="1">
        <v>1150</v>
      </c>
      <c r="M166" s="1">
        <v>1200</v>
      </c>
      <c r="N166" s="1">
        <v>1250</v>
      </c>
      <c r="O166" s="1">
        <v>1300</v>
      </c>
    </row>
    <row r="167" spans="1:16" x14ac:dyDescent="0.3">
      <c r="A167" t="s">
        <v>2633</v>
      </c>
      <c r="B167" s="3" t="s">
        <v>2824</v>
      </c>
      <c r="C167" t="s">
        <v>2632</v>
      </c>
      <c r="D167" s="9">
        <f>VLOOKUP(A167,[2]Sheet1!$A:$C,3,0)</f>
        <v>3374</v>
      </c>
      <c r="J167" s="1"/>
      <c r="K167" s="1">
        <v>15.25</v>
      </c>
      <c r="L167" s="1">
        <v>15.5</v>
      </c>
      <c r="M167" s="1">
        <v>16</v>
      </c>
      <c r="N167" s="1">
        <v>16.5</v>
      </c>
      <c r="O167" s="1">
        <v>17</v>
      </c>
    </row>
    <row r="168" spans="1:16" x14ac:dyDescent="0.3">
      <c r="A168" t="s">
        <v>2627</v>
      </c>
      <c r="B168" s="3" t="s">
        <v>2824</v>
      </c>
      <c r="C168" t="s">
        <v>2626</v>
      </c>
      <c r="D168" s="9">
        <f>VLOOKUP(A168,[2]Sheet1!$A:$C,3,0)</f>
        <v>1183</v>
      </c>
      <c r="J168" s="1"/>
      <c r="K168" s="2">
        <v>0</v>
      </c>
      <c r="L168" s="1">
        <v>21.25</v>
      </c>
      <c r="M168" s="1">
        <v>22</v>
      </c>
      <c r="N168" s="1">
        <v>22.75</v>
      </c>
      <c r="O168" s="1">
        <v>24</v>
      </c>
    </row>
    <row r="169" spans="1:16" x14ac:dyDescent="0.3">
      <c r="A169" t="s">
        <v>2625</v>
      </c>
      <c r="B169" s="3" t="s">
        <v>2824</v>
      </c>
      <c r="C169" t="s">
        <v>2624</v>
      </c>
      <c r="D169" s="9">
        <f>VLOOKUP(A169,[2]Sheet1!$A:$C,3,0)</f>
        <v>1366</v>
      </c>
      <c r="J169" s="1"/>
      <c r="K169" s="2">
        <v>0</v>
      </c>
      <c r="L169" s="1">
        <v>35</v>
      </c>
      <c r="M169" s="1">
        <v>36</v>
      </c>
      <c r="N169" s="1">
        <v>37</v>
      </c>
      <c r="O169" s="1">
        <v>39</v>
      </c>
    </row>
    <row r="170" spans="1:16" x14ac:dyDescent="0.3">
      <c r="A170" t="s">
        <v>2385</v>
      </c>
      <c r="B170" s="3" t="s">
        <v>2824</v>
      </c>
      <c r="C170" t="s">
        <v>2384</v>
      </c>
      <c r="D170" s="9">
        <f>VLOOKUP(A170,[2]Sheet1!$A:$C,3,0)</f>
        <v>863</v>
      </c>
      <c r="J170" s="1"/>
      <c r="K170" s="2">
        <v>0</v>
      </c>
      <c r="L170" s="1">
        <v>50</v>
      </c>
      <c r="M170" s="1">
        <v>52</v>
      </c>
      <c r="N170" s="1">
        <v>53</v>
      </c>
      <c r="O170" s="1">
        <v>55</v>
      </c>
      <c r="P170" t="s">
        <v>2781</v>
      </c>
    </row>
    <row r="171" spans="1:16" x14ac:dyDescent="0.3">
      <c r="A171" t="s">
        <v>2383</v>
      </c>
      <c r="B171" s="3" t="s">
        <v>2824</v>
      </c>
      <c r="C171" t="s">
        <v>2382</v>
      </c>
      <c r="D171" s="9">
        <f>VLOOKUP(A171,[2]Sheet1!$A:$C,3,0)</f>
        <v>12580</v>
      </c>
      <c r="J171" s="1"/>
      <c r="K171" s="2">
        <v>0</v>
      </c>
      <c r="L171" s="1">
        <v>8.25</v>
      </c>
      <c r="M171" s="1">
        <v>8.5</v>
      </c>
      <c r="N171" s="1">
        <v>8.75</v>
      </c>
      <c r="O171" s="1">
        <v>9.25</v>
      </c>
    </row>
    <row r="172" spans="1:16" x14ac:dyDescent="0.3">
      <c r="A172" t="s">
        <v>2187</v>
      </c>
      <c r="B172" s="3" t="s">
        <v>2824</v>
      </c>
      <c r="C172" t="s">
        <v>2186</v>
      </c>
      <c r="D172" s="9">
        <f>VLOOKUP(A172,[2]Sheet1!$A:$C,3,0)</f>
        <v>957</v>
      </c>
      <c r="J172" s="1"/>
      <c r="K172" s="2">
        <v>0</v>
      </c>
      <c r="L172" s="1">
        <v>50</v>
      </c>
      <c r="M172" s="1">
        <v>52</v>
      </c>
      <c r="N172" s="1">
        <v>54</v>
      </c>
      <c r="O172" s="1">
        <v>56</v>
      </c>
    </row>
    <row r="173" spans="1:16" x14ac:dyDescent="0.3">
      <c r="A173" t="s">
        <v>2185</v>
      </c>
      <c r="B173" s="3" t="s">
        <v>2824</v>
      </c>
      <c r="C173" t="s">
        <v>2184</v>
      </c>
      <c r="D173" s="9">
        <f>VLOOKUP(A173,[2]Sheet1!$A:$C,3,0)</f>
        <v>567</v>
      </c>
      <c r="J173" s="1"/>
      <c r="K173" s="2">
        <v>0</v>
      </c>
      <c r="L173" s="1">
        <v>50</v>
      </c>
      <c r="M173" s="1">
        <v>52</v>
      </c>
      <c r="N173" s="1">
        <v>54</v>
      </c>
      <c r="O173" s="1">
        <v>56</v>
      </c>
    </row>
    <row r="174" spans="1:16" x14ac:dyDescent="0.3">
      <c r="A174" t="s">
        <v>2116</v>
      </c>
      <c r="B174" s="3" t="s">
        <v>2824</v>
      </c>
      <c r="C174" t="s">
        <v>2115</v>
      </c>
      <c r="D174" s="9">
        <f>VLOOKUP(A174,[2]Sheet1!$A:$C,3,0)</f>
        <v>719</v>
      </c>
      <c r="J174" s="1"/>
      <c r="K174" s="2">
        <v>0</v>
      </c>
      <c r="L174" s="1">
        <v>50</v>
      </c>
      <c r="M174" s="1">
        <v>52</v>
      </c>
      <c r="N174" s="1">
        <v>54</v>
      </c>
      <c r="O174" s="1">
        <v>56</v>
      </c>
    </row>
    <row r="175" spans="1:16" x14ac:dyDescent="0.3">
      <c r="A175" t="s">
        <v>2114</v>
      </c>
      <c r="B175" s="3" t="s">
        <v>2824</v>
      </c>
      <c r="C175" t="s">
        <v>2113</v>
      </c>
      <c r="D175" s="9">
        <f>VLOOKUP(A175,[2]Sheet1!$A:$C,3,0)</f>
        <v>711</v>
      </c>
      <c r="J175" s="1"/>
      <c r="K175" s="2">
        <v>0</v>
      </c>
      <c r="L175" s="1">
        <v>50</v>
      </c>
      <c r="M175" s="1">
        <v>52</v>
      </c>
      <c r="N175" s="1">
        <v>54</v>
      </c>
      <c r="O175" s="1">
        <v>56</v>
      </c>
    </row>
    <row r="176" spans="1:16" x14ac:dyDescent="0.3">
      <c r="A176" t="s">
        <v>2002</v>
      </c>
      <c r="B176" s="3" t="s">
        <v>2824</v>
      </c>
      <c r="C176" t="s">
        <v>2001</v>
      </c>
      <c r="D176" s="9">
        <f>VLOOKUP(A176,[2]Sheet1!$A:$C,3,0)</f>
        <v>1588</v>
      </c>
      <c r="J176" s="1"/>
      <c r="K176" s="2">
        <v>0</v>
      </c>
      <c r="L176" s="1">
        <v>50</v>
      </c>
      <c r="M176" s="1">
        <v>52</v>
      </c>
      <c r="N176" s="1">
        <v>54</v>
      </c>
      <c r="O176" s="1">
        <v>56</v>
      </c>
    </row>
    <row r="177" spans="1:15" x14ac:dyDescent="0.3">
      <c r="A177" t="s">
        <v>2000</v>
      </c>
      <c r="B177" s="3" t="s">
        <v>2824</v>
      </c>
      <c r="C177" t="s">
        <v>1999</v>
      </c>
      <c r="D177" s="9">
        <f>VLOOKUP(A177,[2]Sheet1!$A:$C,3,0)</f>
        <v>1658</v>
      </c>
      <c r="J177" s="1"/>
      <c r="K177" s="2">
        <v>0</v>
      </c>
      <c r="L177" s="1">
        <v>50</v>
      </c>
      <c r="M177" s="1">
        <v>52</v>
      </c>
      <c r="N177" s="1">
        <v>54</v>
      </c>
      <c r="O177" s="1">
        <v>56</v>
      </c>
    </row>
    <row r="178" spans="1:15" x14ac:dyDescent="0.3">
      <c r="A178" t="s">
        <v>1812</v>
      </c>
      <c r="B178" s="3" t="s">
        <v>2824</v>
      </c>
      <c r="C178" t="s">
        <v>1811</v>
      </c>
      <c r="D178" s="9">
        <f>VLOOKUP(A178,[2]Sheet1!$A:$C,3,0)</f>
        <v>1120</v>
      </c>
      <c r="J178" s="1"/>
      <c r="K178" s="2">
        <v>0</v>
      </c>
      <c r="L178" s="1">
        <v>50</v>
      </c>
      <c r="M178" s="1">
        <v>52</v>
      </c>
      <c r="N178" s="1">
        <v>54</v>
      </c>
      <c r="O178" s="1">
        <v>56</v>
      </c>
    </row>
    <row r="179" spans="1:15" x14ac:dyDescent="0.3">
      <c r="A179" t="s">
        <v>1810</v>
      </c>
      <c r="B179" s="3" t="s">
        <v>2824</v>
      </c>
      <c r="C179" t="s">
        <v>1809</v>
      </c>
      <c r="D179" s="9">
        <f>VLOOKUP(A179,[2]Sheet1!$A:$C,3,0)</f>
        <v>1468</v>
      </c>
      <c r="J179" s="1"/>
      <c r="K179" s="2">
        <v>0</v>
      </c>
      <c r="L179" s="1">
        <v>50</v>
      </c>
      <c r="M179" s="1">
        <v>52</v>
      </c>
      <c r="N179" s="1">
        <v>54</v>
      </c>
      <c r="O179" s="1">
        <v>56</v>
      </c>
    </row>
    <row r="180" spans="1:15" x14ac:dyDescent="0.3">
      <c r="A180" t="s">
        <v>2183</v>
      </c>
      <c r="B180" s="3" t="s">
        <v>2824</v>
      </c>
      <c r="C180" t="s">
        <v>2182</v>
      </c>
      <c r="D180" s="9">
        <f>VLOOKUP(A180,[2]Sheet1!$A:$C,3,0)</f>
        <v>1391</v>
      </c>
      <c r="J180" s="1"/>
      <c r="K180" s="2">
        <v>0</v>
      </c>
      <c r="L180" s="1">
        <v>55</v>
      </c>
      <c r="M180" s="1">
        <v>58</v>
      </c>
      <c r="N180" s="1">
        <v>60</v>
      </c>
      <c r="O180" s="1">
        <v>62</v>
      </c>
    </row>
    <row r="181" spans="1:15" x14ac:dyDescent="0.3">
      <c r="A181" t="s">
        <v>2181</v>
      </c>
      <c r="B181" s="3" t="s">
        <v>2824</v>
      </c>
      <c r="C181" t="s">
        <v>2180</v>
      </c>
      <c r="D181" s="9">
        <f>VLOOKUP(A181,[2]Sheet1!$A:$C,3,0)</f>
        <v>1470</v>
      </c>
      <c r="J181" s="1"/>
      <c r="K181" s="2">
        <v>0</v>
      </c>
      <c r="L181" s="1">
        <v>55</v>
      </c>
      <c r="M181" s="1">
        <v>58</v>
      </c>
      <c r="N181" s="1">
        <v>60</v>
      </c>
      <c r="O181" s="1">
        <v>62</v>
      </c>
    </row>
    <row r="182" spans="1:15" x14ac:dyDescent="0.3">
      <c r="A182" t="s">
        <v>2179</v>
      </c>
      <c r="B182" s="3" t="s">
        <v>2824</v>
      </c>
      <c r="C182" t="s">
        <v>2178</v>
      </c>
      <c r="D182" s="9">
        <f>VLOOKUP(A182,[2]Sheet1!$A:$C,3,0)</f>
        <v>393</v>
      </c>
      <c r="J182" s="1"/>
      <c r="K182" s="2">
        <v>0</v>
      </c>
      <c r="L182" s="1">
        <v>24</v>
      </c>
      <c r="M182" s="1">
        <v>24.5</v>
      </c>
      <c r="N182" s="1">
        <v>26</v>
      </c>
      <c r="O182" s="1">
        <v>27</v>
      </c>
    </row>
    <row r="183" spans="1:15" x14ac:dyDescent="0.3">
      <c r="A183" t="s">
        <v>2177</v>
      </c>
      <c r="B183" s="3" t="s">
        <v>2824</v>
      </c>
      <c r="C183" t="s">
        <v>2176</v>
      </c>
      <c r="D183" s="9">
        <f>VLOOKUP(A183,[2]Sheet1!$A:$C,3,0)</f>
        <v>555</v>
      </c>
      <c r="J183" s="1"/>
      <c r="K183" s="2">
        <v>0</v>
      </c>
      <c r="L183" s="1">
        <v>52.5</v>
      </c>
      <c r="M183" s="1">
        <v>54.25</v>
      </c>
      <c r="N183" s="1">
        <v>56</v>
      </c>
      <c r="O183" s="1">
        <v>60</v>
      </c>
    </row>
    <row r="184" spans="1:15" x14ac:dyDescent="0.3">
      <c r="A184" t="s">
        <v>2175</v>
      </c>
      <c r="B184" s="3" t="s">
        <v>2824</v>
      </c>
      <c r="C184" t="s">
        <v>2174</v>
      </c>
      <c r="D184" s="9">
        <f>VLOOKUP(A184,[2]Sheet1!$A:$C,3,0)</f>
        <v>1440</v>
      </c>
      <c r="J184" s="1"/>
      <c r="K184" s="1">
        <v>38.75</v>
      </c>
      <c r="L184" s="1">
        <v>39</v>
      </c>
      <c r="M184" s="1">
        <v>40</v>
      </c>
      <c r="N184" s="1">
        <v>42</v>
      </c>
      <c r="O184" s="1">
        <v>44</v>
      </c>
    </row>
    <row r="185" spans="1:15" x14ac:dyDescent="0.3">
      <c r="A185" t="s">
        <v>2173</v>
      </c>
      <c r="B185" s="3" t="s">
        <v>2824</v>
      </c>
      <c r="C185" t="s">
        <v>2172</v>
      </c>
      <c r="D185" s="9">
        <f>VLOOKUP(A185,[2]Sheet1!$A:$C,3,0)</f>
        <v>1130</v>
      </c>
      <c r="J185" s="1"/>
      <c r="K185" s="2">
        <v>0</v>
      </c>
      <c r="L185" s="1">
        <v>140</v>
      </c>
      <c r="M185" s="1">
        <v>145</v>
      </c>
      <c r="N185" s="1">
        <v>150</v>
      </c>
      <c r="O185" s="1">
        <v>155</v>
      </c>
    </row>
    <row r="186" spans="1:15" x14ac:dyDescent="0.3">
      <c r="A186" t="s">
        <v>2171</v>
      </c>
      <c r="B186" s="3" t="s">
        <v>2824</v>
      </c>
      <c r="C186" t="s">
        <v>2170</v>
      </c>
      <c r="D186" s="9">
        <f>VLOOKUP(A186,[2]Sheet1!$A:$C,3,0)</f>
        <v>1055</v>
      </c>
      <c r="J186" s="1"/>
      <c r="K186" s="2">
        <v>0</v>
      </c>
      <c r="L186" s="1">
        <v>15.75</v>
      </c>
      <c r="M186" s="1">
        <v>16.5</v>
      </c>
      <c r="N186" s="1">
        <v>17</v>
      </c>
      <c r="O186" s="1">
        <v>18</v>
      </c>
    </row>
    <row r="187" spans="1:15" x14ac:dyDescent="0.3">
      <c r="A187" t="s">
        <v>2169</v>
      </c>
      <c r="B187" s="3" t="s">
        <v>2824</v>
      </c>
      <c r="C187" t="s">
        <v>2168</v>
      </c>
      <c r="D187" s="9">
        <f>VLOOKUP(A187,[2]Sheet1!$A:$C,3,0)</f>
        <v>1259</v>
      </c>
      <c r="J187" s="1"/>
      <c r="K187" s="2">
        <v>0</v>
      </c>
      <c r="L187" s="1">
        <v>28</v>
      </c>
      <c r="M187" s="1">
        <v>28.75</v>
      </c>
      <c r="N187" s="1">
        <v>29.75</v>
      </c>
      <c r="O187" s="1">
        <v>31.5</v>
      </c>
    </row>
    <row r="188" spans="1:15" x14ac:dyDescent="0.3">
      <c r="A188" t="s">
        <v>2167</v>
      </c>
      <c r="B188" s="3" t="s">
        <v>2824</v>
      </c>
      <c r="C188" t="s">
        <v>2166</v>
      </c>
      <c r="D188" s="9">
        <f>VLOOKUP(A188,[2]Sheet1!$A:$C,3,0)</f>
        <v>1080</v>
      </c>
      <c r="J188" s="1"/>
      <c r="K188" s="2">
        <v>0</v>
      </c>
      <c r="L188" s="1">
        <v>15.75</v>
      </c>
      <c r="M188" s="1">
        <v>16.5</v>
      </c>
      <c r="N188" s="1">
        <v>17</v>
      </c>
      <c r="O188" s="1">
        <v>18</v>
      </c>
    </row>
    <row r="189" spans="1:15" x14ac:dyDescent="0.3">
      <c r="A189" t="s">
        <v>2165</v>
      </c>
      <c r="B189" s="3" t="s">
        <v>2824</v>
      </c>
      <c r="C189" t="s">
        <v>2164</v>
      </c>
      <c r="D189" s="9">
        <f>VLOOKUP(A189,[2]Sheet1!$A:$C,3,0)</f>
        <v>1470</v>
      </c>
      <c r="J189" s="1"/>
      <c r="K189" s="2">
        <v>0</v>
      </c>
      <c r="L189" s="1">
        <v>27</v>
      </c>
      <c r="M189" s="1">
        <v>27.75</v>
      </c>
      <c r="N189" s="1">
        <v>28.5</v>
      </c>
      <c r="O189" s="1">
        <v>31</v>
      </c>
    </row>
    <row r="190" spans="1:15" x14ac:dyDescent="0.3">
      <c r="A190" t="s">
        <v>2163</v>
      </c>
      <c r="B190" s="3" t="s">
        <v>2824</v>
      </c>
      <c r="C190" t="s">
        <v>2162</v>
      </c>
      <c r="D190" s="9">
        <f>VLOOKUP(A190,[2]Sheet1!$A:$C,3,0)</f>
        <v>150</v>
      </c>
      <c r="J190" s="1"/>
      <c r="K190" s="2">
        <v>0</v>
      </c>
      <c r="L190" s="1">
        <v>135</v>
      </c>
      <c r="M190" s="1">
        <v>140</v>
      </c>
      <c r="N190" s="1">
        <v>145</v>
      </c>
      <c r="O190" s="1">
        <v>150</v>
      </c>
    </row>
    <row r="191" spans="1:15" x14ac:dyDescent="0.3">
      <c r="A191" t="s">
        <v>2161</v>
      </c>
      <c r="B191" s="3" t="s">
        <v>2824</v>
      </c>
      <c r="C191" t="s">
        <v>2160</v>
      </c>
      <c r="D191" s="9">
        <f>VLOOKUP(A191,[2]Sheet1!$A:$C,3,0)</f>
        <v>72</v>
      </c>
      <c r="J191" s="1"/>
      <c r="K191" s="2">
        <v>0</v>
      </c>
      <c r="L191" s="1">
        <v>47.25</v>
      </c>
      <c r="M191" s="1">
        <v>48.5</v>
      </c>
      <c r="N191" s="1">
        <v>50</v>
      </c>
      <c r="O191" s="1">
        <v>53</v>
      </c>
    </row>
    <row r="192" spans="1:15" x14ac:dyDescent="0.3">
      <c r="A192" t="s">
        <v>2112</v>
      </c>
      <c r="B192" s="3" t="s">
        <v>2824</v>
      </c>
      <c r="C192" t="s">
        <v>2111</v>
      </c>
      <c r="D192" s="9">
        <f>VLOOKUP(A192,[2]Sheet1!$A:$C,3,0)</f>
        <v>657</v>
      </c>
      <c r="J192" s="1"/>
      <c r="K192" s="2">
        <v>0</v>
      </c>
      <c r="L192" s="1">
        <v>24</v>
      </c>
      <c r="M192" s="1">
        <v>24.5</v>
      </c>
      <c r="N192" s="1">
        <v>26</v>
      </c>
      <c r="O192" s="1">
        <v>27</v>
      </c>
    </row>
    <row r="193" spans="1:15" x14ac:dyDescent="0.3">
      <c r="A193" t="s">
        <v>2110</v>
      </c>
      <c r="B193" s="3" t="s">
        <v>2824</v>
      </c>
      <c r="C193" t="s">
        <v>2109</v>
      </c>
      <c r="D193" s="9">
        <f>VLOOKUP(A193,[2]Sheet1!$A:$C,3,0)</f>
        <v>127</v>
      </c>
      <c r="J193" s="1"/>
      <c r="K193" s="2">
        <v>0</v>
      </c>
      <c r="L193" s="1">
        <v>55</v>
      </c>
      <c r="M193" s="1">
        <v>58</v>
      </c>
      <c r="N193" s="1">
        <v>60</v>
      </c>
      <c r="O193" s="1">
        <v>62</v>
      </c>
    </row>
    <row r="194" spans="1:15" x14ac:dyDescent="0.3">
      <c r="A194" t="s">
        <v>2108</v>
      </c>
      <c r="B194" s="3" t="s">
        <v>2824</v>
      </c>
      <c r="C194" t="s">
        <v>2107</v>
      </c>
      <c r="D194" s="9">
        <f>VLOOKUP(A194,[2]Sheet1!$A:$C,3,0)</f>
        <v>1415</v>
      </c>
      <c r="J194" s="1"/>
      <c r="K194" s="2">
        <v>0</v>
      </c>
      <c r="L194" s="1">
        <v>55</v>
      </c>
      <c r="M194" s="1">
        <v>58</v>
      </c>
      <c r="N194" s="1">
        <v>60</v>
      </c>
      <c r="O194" s="1">
        <v>62</v>
      </c>
    </row>
    <row r="195" spans="1:15" x14ac:dyDescent="0.3">
      <c r="A195" t="s">
        <v>2106</v>
      </c>
      <c r="B195" s="3" t="s">
        <v>2824</v>
      </c>
      <c r="C195" t="s">
        <v>2105</v>
      </c>
      <c r="D195" s="9">
        <f>VLOOKUP(A195,[2]Sheet1!$A:$C,3,0)</f>
        <v>210</v>
      </c>
      <c r="J195" s="1"/>
      <c r="K195" s="2">
        <v>0</v>
      </c>
      <c r="L195" s="1">
        <v>52.5</v>
      </c>
      <c r="M195" s="1">
        <v>54.25</v>
      </c>
      <c r="N195" s="1">
        <v>56</v>
      </c>
      <c r="O195" s="1">
        <v>60</v>
      </c>
    </row>
    <row r="196" spans="1:15" x14ac:dyDescent="0.3">
      <c r="A196" t="s">
        <v>2104</v>
      </c>
      <c r="B196" s="3" t="s">
        <v>2824</v>
      </c>
      <c r="C196" t="s">
        <v>2103</v>
      </c>
      <c r="D196" s="9">
        <f>VLOOKUP(A196,[2]Sheet1!$A:$C,3,0)</f>
        <v>708</v>
      </c>
      <c r="J196" s="1"/>
      <c r="K196" s="1">
        <v>38.75</v>
      </c>
      <c r="L196" s="1">
        <v>39</v>
      </c>
      <c r="M196" s="1">
        <v>40</v>
      </c>
      <c r="N196" s="1">
        <v>42</v>
      </c>
      <c r="O196" s="1">
        <v>44</v>
      </c>
    </row>
    <row r="197" spans="1:15" x14ac:dyDescent="0.3">
      <c r="A197" t="s">
        <v>2102</v>
      </c>
      <c r="B197" s="3" t="s">
        <v>2824</v>
      </c>
      <c r="C197" t="s">
        <v>2101</v>
      </c>
      <c r="D197" s="9">
        <f>VLOOKUP(A197,[2]Sheet1!$A:$C,3,0)</f>
        <v>716</v>
      </c>
      <c r="J197" s="1"/>
      <c r="K197" s="2">
        <v>0</v>
      </c>
      <c r="L197" s="1">
        <v>140</v>
      </c>
      <c r="M197" s="1">
        <v>145</v>
      </c>
      <c r="N197" s="1">
        <v>150</v>
      </c>
      <c r="O197" s="1">
        <v>155</v>
      </c>
    </row>
    <row r="198" spans="1:15" x14ac:dyDescent="0.3">
      <c r="A198" t="s">
        <v>2100</v>
      </c>
      <c r="B198" s="3" t="s">
        <v>2824</v>
      </c>
      <c r="C198" t="s">
        <v>2099</v>
      </c>
      <c r="D198" s="9">
        <f>VLOOKUP(A198,[2]Sheet1!$A:$C,3,0)</f>
        <v>477</v>
      </c>
      <c r="J198" s="1"/>
      <c r="K198" s="2">
        <v>0</v>
      </c>
      <c r="L198" s="1">
        <v>15.75</v>
      </c>
      <c r="M198" s="1">
        <v>16.5</v>
      </c>
      <c r="N198" s="1">
        <v>17</v>
      </c>
      <c r="O198" s="1">
        <v>18</v>
      </c>
    </row>
    <row r="199" spans="1:15" x14ac:dyDescent="0.3">
      <c r="A199" t="s">
        <v>2098</v>
      </c>
      <c r="B199" s="3" t="s">
        <v>2824</v>
      </c>
      <c r="C199" t="s">
        <v>2097</v>
      </c>
      <c r="D199" s="9">
        <f>VLOOKUP(A199,[2]Sheet1!$A:$C,3,0)</f>
        <v>935</v>
      </c>
      <c r="J199" s="1"/>
      <c r="K199" s="2">
        <v>0</v>
      </c>
      <c r="L199" s="1">
        <v>28</v>
      </c>
      <c r="M199" s="1">
        <v>28.75</v>
      </c>
      <c r="N199" s="1">
        <v>29.75</v>
      </c>
      <c r="O199" s="1">
        <v>31.5</v>
      </c>
    </row>
    <row r="200" spans="1:15" x14ac:dyDescent="0.3">
      <c r="A200" t="s">
        <v>2096</v>
      </c>
      <c r="B200" s="3" t="s">
        <v>2824</v>
      </c>
      <c r="C200" t="s">
        <v>2095</v>
      </c>
      <c r="D200" s="9">
        <f>VLOOKUP(A200,[2]Sheet1!$A:$C,3,0)</f>
        <v>1114</v>
      </c>
      <c r="J200" s="1"/>
      <c r="K200" s="2">
        <v>0</v>
      </c>
      <c r="L200" s="1">
        <v>15.75</v>
      </c>
      <c r="M200" s="1">
        <v>16.5</v>
      </c>
      <c r="N200" s="1">
        <v>17</v>
      </c>
      <c r="O200" s="1">
        <v>18</v>
      </c>
    </row>
    <row r="201" spans="1:15" x14ac:dyDescent="0.3">
      <c r="A201" t="s">
        <v>2094</v>
      </c>
      <c r="B201" s="3" t="s">
        <v>2824</v>
      </c>
      <c r="C201" t="s">
        <v>2093</v>
      </c>
      <c r="D201" s="9">
        <f>VLOOKUP(A201,[2]Sheet1!$A:$C,3,0)</f>
        <v>1494</v>
      </c>
      <c r="J201" s="1"/>
      <c r="K201" s="2">
        <v>0</v>
      </c>
      <c r="L201" s="1">
        <v>27</v>
      </c>
      <c r="M201" s="1">
        <v>27.75</v>
      </c>
      <c r="N201" s="1">
        <v>28.5</v>
      </c>
      <c r="O201" s="1">
        <v>31</v>
      </c>
    </row>
    <row r="202" spans="1:15" x14ac:dyDescent="0.3">
      <c r="A202" t="s">
        <v>2092</v>
      </c>
      <c r="B202" s="3" t="s">
        <v>2824</v>
      </c>
      <c r="C202" t="s">
        <v>2091</v>
      </c>
      <c r="D202" s="9">
        <f>VLOOKUP(A202,[2]Sheet1!$A:$C,3,0)</f>
        <v>102</v>
      </c>
      <c r="J202" s="1"/>
      <c r="K202" s="2">
        <v>0</v>
      </c>
      <c r="L202" s="1">
        <v>135</v>
      </c>
      <c r="M202" s="1">
        <v>140</v>
      </c>
      <c r="N202" s="1">
        <v>145</v>
      </c>
      <c r="O202" s="1">
        <v>150</v>
      </c>
    </row>
    <row r="203" spans="1:15" x14ac:dyDescent="0.3">
      <c r="A203" t="s">
        <v>2090</v>
      </c>
      <c r="B203" s="3" t="s">
        <v>2824</v>
      </c>
      <c r="C203" t="s">
        <v>2089</v>
      </c>
      <c r="D203" s="9">
        <f>VLOOKUP(A203,[2]Sheet1!$A:$C,3,0)</f>
        <v>0</v>
      </c>
      <c r="J203" s="1"/>
      <c r="K203" s="2">
        <v>0</v>
      </c>
      <c r="L203" s="1">
        <v>47.25</v>
      </c>
      <c r="M203" s="1">
        <v>48.5</v>
      </c>
      <c r="N203" s="1">
        <v>50</v>
      </c>
      <c r="O203" s="1">
        <v>53</v>
      </c>
    </row>
    <row r="204" spans="1:15" x14ac:dyDescent="0.3">
      <c r="A204" t="s">
        <v>2088</v>
      </c>
      <c r="B204" s="3" t="s">
        <v>2824</v>
      </c>
      <c r="C204" t="s">
        <v>2087</v>
      </c>
      <c r="D204" s="9">
        <f>VLOOKUP(A204,[2]Sheet1!$A:$C,3,0)</f>
        <v>87</v>
      </c>
      <c r="J204" s="1"/>
      <c r="K204" s="2">
        <v>0</v>
      </c>
      <c r="L204" s="1">
        <v>31.5</v>
      </c>
      <c r="M204" s="1">
        <v>32.25</v>
      </c>
      <c r="N204" s="1">
        <v>34</v>
      </c>
      <c r="O204" s="1">
        <v>35.5</v>
      </c>
    </row>
    <row r="205" spans="1:15" x14ac:dyDescent="0.3">
      <c r="A205" t="s">
        <v>2086</v>
      </c>
      <c r="B205" s="3" t="s">
        <v>2824</v>
      </c>
      <c r="C205" t="s">
        <v>2085</v>
      </c>
      <c r="D205" s="9">
        <f>VLOOKUP(A205,[2]Sheet1!$A:$C,3,0)</f>
        <v>136</v>
      </c>
      <c r="J205" s="1"/>
      <c r="K205" s="2">
        <v>0</v>
      </c>
      <c r="L205" s="1">
        <v>68</v>
      </c>
      <c r="M205" s="1">
        <v>70</v>
      </c>
      <c r="N205" s="1">
        <v>75</v>
      </c>
      <c r="O205" s="1">
        <v>80</v>
      </c>
    </row>
    <row r="206" spans="1:15" x14ac:dyDescent="0.3">
      <c r="A206" t="s">
        <v>1998</v>
      </c>
      <c r="B206" s="3" t="s">
        <v>2824</v>
      </c>
      <c r="C206" t="s">
        <v>1997</v>
      </c>
      <c r="D206" s="9">
        <f>VLOOKUP(A206,[2]Sheet1!$A:$C,3,0)</f>
        <v>412</v>
      </c>
      <c r="J206" s="1"/>
      <c r="K206" s="2">
        <v>0</v>
      </c>
      <c r="L206" s="1">
        <v>55</v>
      </c>
      <c r="M206" s="1">
        <v>58</v>
      </c>
      <c r="N206" s="1">
        <v>60</v>
      </c>
      <c r="O206" s="1">
        <v>62</v>
      </c>
    </row>
    <row r="207" spans="1:15" x14ac:dyDescent="0.3">
      <c r="A207" t="s">
        <v>1996</v>
      </c>
      <c r="B207" s="3" t="s">
        <v>2824</v>
      </c>
      <c r="C207" t="s">
        <v>1995</v>
      </c>
      <c r="D207" s="9">
        <f>VLOOKUP(A207,[2]Sheet1!$A:$C,3,0)</f>
        <v>406</v>
      </c>
      <c r="J207" s="1"/>
      <c r="K207" s="2">
        <v>0</v>
      </c>
      <c r="L207" s="1">
        <v>55</v>
      </c>
      <c r="M207" s="1">
        <v>58</v>
      </c>
      <c r="N207" s="1">
        <v>60</v>
      </c>
      <c r="O207" s="1">
        <v>62</v>
      </c>
    </row>
    <row r="208" spans="1:15" x14ac:dyDescent="0.3">
      <c r="A208" t="s">
        <v>1994</v>
      </c>
      <c r="B208" s="3" t="s">
        <v>2824</v>
      </c>
      <c r="C208" t="s">
        <v>1993</v>
      </c>
      <c r="D208" s="9">
        <f>VLOOKUP(A208,[2]Sheet1!$A:$C,3,0)</f>
        <v>819</v>
      </c>
      <c r="J208" s="1"/>
      <c r="K208" s="2">
        <v>0</v>
      </c>
      <c r="L208" s="1">
        <v>24</v>
      </c>
      <c r="M208" s="1">
        <v>24.5</v>
      </c>
      <c r="N208" s="1">
        <v>26</v>
      </c>
      <c r="O208" s="1">
        <v>27</v>
      </c>
    </row>
    <row r="209" spans="1:15" x14ac:dyDescent="0.3">
      <c r="A209" t="s">
        <v>1992</v>
      </c>
      <c r="B209" s="3" t="s">
        <v>2824</v>
      </c>
      <c r="C209" t="s">
        <v>1991</v>
      </c>
      <c r="D209" s="9">
        <f>VLOOKUP(A209,[2]Sheet1!$A:$C,3,0)</f>
        <v>1148</v>
      </c>
      <c r="J209" s="1"/>
      <c r="K209" s="2">
        <v>0</v>
      </c>
      <c r="L209" s="1">
        <v>52.5</v>
      </c>
      <c r="M209" s="1">
        <v>54.25</v>
      </c>
      <c r="N209" s="1">
        <v>56</v>
      </c>
      <c r="O209" s="1">
        <v>60</v>
      </c>
    </row>
    <row r="210" spans="1:15" x14ac:dyDescent="0.3">
      <c r="A210" t="s">
        <v>1990</v>
      </c>
      <c r="B210" s="3" t="s">
        <v>2824</v>
      </c>
      <c r="C210" t="s">
        <v>1989</v>
      </c>
      <c r="D210" s="9">
        <f>VLOOKUP(A210,[2]Sheet1!$A:$C,3,0)</f>
        <v>1216</v>
      </c>
      <c r="J210" s="1"/>
      <c r="K210" s="1">
        <v>38.75</v>
      </c>
      <c r="L210" s="1">
        <v>39</v>
      </c>
      <c r="M210" s="1">
        <v>40</v>
      </c>
      <c r="N210" s="1">
        <v>42</v>
      </c>
      <c r="O210" s="1">
        <v>44</v>
      </c>
    </row>
    <row r="211" spans="1:15" x14ac:dyDescent="0.3">
      <c r="A211" t="s">
        <v>1988</v>
      </c>
      <c r="B211" s="3" t="s">
        <v>2824</v>
      </c>
      <c r="C211" t="s">
        <v>1987</v>
      </c>
      <c r="D211" s="9">
        <f>VLOOKUP(A211,[2]Sheet1!$A:$C,3,0)</f>
        <v>1084</v>
      </c>
      <c r="J211" s="1"/>
      <c r="K211" s="2">
        <v>0</v>
      </c>
      <c r="L211" s="1">
        <v>140</v>
      </c>
      <c r="M211" s="1">
        <v>145</v>
      </c>
      <c r="N211" s="1">
        <v>150</v>
      </c>
      <c r="O211" s="1">
        <v>155</v>
      </c>
    </row>
    <row r="212" spans="1:15" x14ac:dyDescent="0.3">
      <c r="A212" t="s">
        <v>1986</v>
      </c>
      <c r="B212" s="3" t="s">
        <v>2824</v>
      </c>
      <c r="C212" t="s">
        <v>1985</v>
      </c>
      <c r="D212" s="9">
        <f>VLOOKUP(A212,[2]Sheet1!$A:$C,3,0)</f>
        <v>452</v>
      </c>
      <c r="J212" s="1"/>
      <c r="K212" s="2">
        <v>0</v>
      </c>
      <c r="L212" s="1">
        <v>15.75</v>
      </c>
      <c r="M212" s="1">
        <v>16.5</v>
      </c>
      <c r="N212" s="1">
        <v>17</v>
      </c>
      <c r="O212" s="1">
        <v>18</v>
      </c>
    </row>
    <row r="213" spans="1:15" x14ac:dyDescent="0.3">
      <c r="A213" t="s">
        <v>1984</v>
      </c>
      <c r="B213" s="3" t="s">
        <v>2824</v>
      </c>
      <c r="C213" t="s">
        <v>1983</v>
      </c>
      <c r="D213" s="9">
        <f>VLOOKUP(A213,[2]Sheet1!$A:$C,3,0)</f>
        <v>673</v>
      </c>
      <c r="J213" s="1"/>
      <c r="K213" s="2">
        <v>0</v>
      </c>
      <c r="L213" s="1">
        <v>28</v>
      </c>
      <c r="M213" s="1">
        <v>28.75</v>
      </c>
      <c r="N213" s="1">
        <v>29.75</v>
      </c>
      <c r="O213" s="1">
        <v>31.5</v>
      </c>
    </row>
    <row r="214" spans="1:15" x14ac:dyDescent="0.3">
      <c r="A214" t="s">
        <v>1982</v>
      </c>
      <c r="B214" s="3" t="s">
        <v>2824</v>
      </c>
      <c r="C214" t="s">
        <v>1981</v>
      </c>
      <c r="D214" s="9">
        <f>VLOOKUP(A214,[2]Sheet1!$A:$C,3,0)</f>
        <v>1066</v>
      </c>
      <c r="J214" s="1"/>
      <c r="K214" s="2">
        <v>0</v>
      </c>
      <c r="L214" s="1">
        <v>15.75</v>
      </c>
      <c r="M214" s="1">
        <v>16.5</v>
      </c>
      <c r="N214" s="1">
        <v>17</v>
      </c>
      <c r="O214" s="1">
        <v>18</v>
      </c>
    </row>
    <row r="215" spans="1:15" x14ac:dyDescent="0.3">
      <c r="A215" t="s">
        <v>1980</v>
      </c>
      <c r="B215" s="3" t="s">
        <v>2824</v>
      </c>
      <c r="C215" t="s">
        <v>1979</v>
      </c>
      <c r="D215" s="9">
        <f>VLOOKUP(A215,[2]Sheet1!$A:$C,3,0)</f>
        <v>585</v>
      </c>
      <c r="J215" s="1"/>
      <c r="K215" s="2">
        <v>0</v>
      </c>
      <c r="L215" s="1">
        <v>27</v>
      </c>
      <c r="M215" s="1">
        <v>27.75</v>
      </c>
      <c r="N215" s="1">
        <v>28.5</v>
      </c>
      <c r="O215" s="1">
        <v>31</v>
      </c>
    </row>
    <row r="216" spans="1:15" x14ac:dyDescent="0.3">
      <c r="A216" t="s">
        <v>1978</v>
      </c>
      <c r="B216" s="3" t="s">
        <v>2824</v>
      </c>
      <c r="C216" t="s">
        <v>1977</v>
      </c>
      <c r="D216" s="9">
        <f>VLOOKUP(A216,[2]Sheet1!$A:$C,3,0)</f>
        <v>47</v>
      </c>
      <c r="J216" s="1"/>
      <c r="K216" s="2">
        <v>0</v>
      </c>
      <c r="L216" s="1">
        <v>135</v>
      </c>
      <c r="M216" s="1">
        <v>140</v>
      </c>
      <c r="N216" s="1">
        <v>145</v>
      </c>
      <c r="O216" s="1">
        <v>150</v>
      </c>
    </row>
    <row r="217" spans="1:15" x14ac:dyDescent="0.3">
      <c r="A217" t="s">
        <v>1976</v>
      </c>
      <c r="B217" s="3" t="s">
        <v>2824</v>
      </c>
      <c r="C217" t="s">
        <v>1975</v>
      </c>
      <c r="D217" s="9">
        <f>VLOOKUP(A217,[2]Sheet1!$A:$C,3,0)</f>
        <v>66</v>
      </c>
      <c r="J217" s="1"/>
      <c r="K217" s="2">
        <v>0</v>
      </c>
      <c r="L217" s="1">
        <v>163</v>
      </c>
      <c r="M217" s="1">
        <v>167</v>
      </c>
      <c r="N217" s="1">
        <v>173</v>
      </c>
      <c r="O217" s="1">
        <v>183</v>
      </c>
    </row>
    <row r="218" spans="1:15" x14ac:dyDescent="0.3">
      <c r="A218" t="s">
        <v>1974</v>
      </c>
      <c r="B218" s="3" t="s">
        <v>2824</v>
      </c>
      <c r="C218" t="s">
        <v>1973</v>
      </c>
      <c r="D218" s="9">
        <f>VLOOKUP(A218,[2]Sheet1!$A:$C,3,0)</f>
        <v>0</v>
      </c>
      <c r="J218" s="1"/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 x14ac:dyDescent="0.3">
      <c r="A219" t="s">
        <v>1972</v>
      </c>
      <c r="B219" s="3" t="s">
        <v>2824</v>
      </c>
      <c r="C219" t="s">
        <v>1971</v>
      </c>
      <c r="D219" s="9">
        <f>VLOOKUP(A219,[2]Sheet1!$A:$C,3,0)</f>
        <v>207</v>
      </c>
      <c r="J219" s="1"/>
      <c r="K219" s="2">
        <v>0</v>
      </c>
      <c r="L219" s="1">
        <v>31.5</v>
      </c>
      <c r="M219" s="1">
        <v>32.25</v>
      </c>
      <c r="N219" s="1">
        <v>34</v>
      </c>
      <c r="O219" s="1">
        <v>35.5</v>
      </c>
    </row>
    <row r="220" spans="1:15" x14ac:dyDescent="0.3">
      <c r="A220" t="s">
        <v>1970</v>
      </c>
      <c r="B220" s="3" t="s">
        <v>2824</v>
      </c>
      <c r="C220" t="s">
        <v>1969</v>
      </c>
      <c r="D220" s="9">
        <f>VLOOKUP(A220,[2]Sheet1!$A:$C,3,0)</f>
        <v>8</v>
      </c>
      <c r="J220" s="1"/>
      <c r="K220" s="2">
        <v>0</v>
      </c>
      <c r="L220" s="1">
        <v>31.5</v>
      </c>
      <c r="M220" s="1">
        <v>32.25</v>
      </c>
      <c r="N220" s="1">
        <v>34</v>
      </c>
      <c r="O220" s="1">
        <v>35.5</v>
      </c>
    </row>
    <row r="221" spans="1:15" x14ac:dyDescent="0.3">
      <c r="A221" t="s">
        <v>1968</v>
      </c>
      <c r="B221" s="3" t="s">
        <v>2824</v>
      </c>
      <c r="C221" t="s">
        <v>1967</v>
      </c>
      <c r="D221" s="9">
        <f>VLOOKUP(A221,[2]Sheet1!$A:$C,3,0)</f>
        <v>46</v>
      </c>
      <c r="J221" s="1"/>
      <c r="K221" s="2">
        <v>0</v>
      </c>
      <c r="L221" s="1">
        <v>68</v>
      </c>
      <c r="M221" s="1">
        <v>70</v>
      </c>
      <c r="N221" s="1">
        <v>75</v>
      </c>
      <c r="O221" s="1">
        <v>80</v>
      </c>
    </row>
    <row r="222" spans="1:15" x14ac:dyDescent="0.3">
      <c r="A222" t="s">
        <v>1808</v>
      </c>
      <c r="B222" s="3" t="s">
        <v>2824</v>
      </c>
      <c r="C222" t="s">
        <v>1807</v>
      </c>
      <c r="D222" s="9">
        <f>VLOOKUP(A222,[2]Sheet1!$A:$C,3,0)</f>
        <v>622</v>
      </c>
      <c r="J222" s="1"/>
      <c r="K222" s="2">
        <v>0</v>
      </c>
      <c r="L222" s="1">
        <v>55</v>
      </c>
      <c r="M222" s="1">
        <v>58</v>
      </c>
      <c r="N222" s="1">
        <v>60</v>
      </c>
      <c r="O222" s="1">
        <v>62</v>
      </c>
    </row>
    <row r="223" spans="1:15" x14ac:dyDescent="0.3">
      <c r="A223" t="s">
        <v>1806</v>
      </c>
      <c r="B223" s="3" t="s">
        <v>2824</v>
      </c>
      <c r="C223" t="s">
        <v>1805</v>
      </c>
      <c r="D223" s="9">
        <f>VLOOKUP(A223,[2]Sheet1!$A:$C,3,0)</f>
        <v>355</v>
      </c>
      <c r="J223" s="1"/>
      <c r="K223" s="2">
        <v>0</v>
      </c>
      <c r="L223" s="1">
        <v>55</v>
      </c>
      <c r="M223" s="1">
        <v>58</v>
      </c>
      <c r="N223" s="1">
        <v>60</v>
      </c>
      <c r="O223" s="1">
        <v>62</v>
      </c>
    </row>
    <row r="224" spans="1:15" x14ac:dyDescent="0.3">
      <c r="A224" t="s">
        <v>1804</v>
      </c>
      <c r="B224" s="3" t="s">
        <v>2824</v>
      </c>
      <c r="C224" t="s">
        <v>1803</v>
      </c>
      <c r="D224" s="9">
        <f>VLOOKUP(A224,[2]Sheet1!$A:$C,3,0)</f>
        <v>1721</v>
      </c>
      <c r="J224" s="1"/>
      <c r="K224" s="2">
        <v>0</v>
      </c>
      <c r="L224" s="1">
        <v>24</v>
      </c>
      <c r="M224" s="1">
        <v>24.5</v>
      </c>
      <c r="N224" s="1">
        <v>26</v>
      </c>
      <c r="O224" s="1">
        <v>27</v>
      </c>
    </row>
    <row r="225" spans="1:15" x14ac:dyDescent="0.3">
      <c r="A225" t="s">
        <v>1802</v>
      </c>
      <c r="B225" s="3" t="s">
        <v>2824</v>
      </c>
      <c r="C225" t="s">
        <v>1801</v>
      </c>
      <c r="D225" s="9">
        <f>VLOOKUP(A225,[2]Sheet1!$A:$C,3,0)</f>
        <v>1134</v>
      </c>
      <c r="J225" s="1"/>
      <c r="K225" s="2">
        <v>0</v>
      </c>
      <c r="L225" s="1">
        <v>52.5</v>
      </c>
      <c r="M225" s="1">
        <v>54.25</v>
      </c>
      <c r="N225" s="1">
        <v>56</v>
      </c>
      <c r="O225" s="1">
        <v>60</v>
      </c>
    </row>
    <row r="226" spans="1:15" x14ac:dyDescent="0.3">
      <c r="A226" t="s">
        <v>1800</v>
      </c>
      <c r="B226" s="3" t="s">
        <v>2824</v>
      </c>
      <c r="C226" t="s">
        <v>1799</v>
      </c>
      <c r="D226" s="9">
        <f>VLOOKUP(A226,[2]Sheet1!$A:$C,3,0)</f>
        <v>876</v>
      </c>
      <c r="J226" s="1"/>
      <c r="K226" s="1">
        <v>38.75</v>
      </c>
      <c r="L226" s="1">
        <v>39</v>
      </c>
      <c r="M226" s="1">
        <v>40</v>
      </c>
      <c r="N226" s="1">
        <v>42</v>
      </c>
      <c r="O226" s="1">
        <v>44</v>
      </c>
    </row>
    <row r="227" spans="1:15" x14ac:dyDescent="0.3">
      <c r="A227" t="s">
        <v>1798</v>
      </c>
      <c r="B227" s="3" t="s">
        <v>2824</v>
      </c>
      <c r="C227" t="s">
        <v>1797</v>
      </c>
      <c r="D227" s="9">
        <f>VLOOKUP(A227,[2]Sheet1!$A:$C,3,0)</f>
        <v>491</v>
      </c>
      <c r="J227" s="1"/>
      <c r="K227" s="2">
        <v>0</v>
      </c>
      <c r="L227" s="1">
        <v>140</v>
      </c>
      <c r="M227" s="1">
        <v>145</v>
      </c>
      <c r="N227" s="1">
        <v>150</v>
      </c>
      <c r="O227" s="1">
        <v>155</v>
      </c>
    </row>
    <row r="228" spans="1:15" x14ac:dyDescent="0.3">
      <c r="A228" t="s">
        <v>1796</v>
      </c>
      <c r="B228" s="3" t="s">
        <v>2824</v>
      </c>
      <c r="C228" t="s">
        <v>1795</v>
      </c>
      <c r="D228" s="9">
        <f>VLOOKUP(A228,[2]Sheet1!$A:$C,3,0)</f>
        <v>429</v>
      </c>
      <c r="J228" s="1"/>
      <c r="K228" s="2">
        <v>0</v>
      </c>
      <c r="L228" s="1">
        <v>15.75</v>
      </c>
      <c r="M228" s="1">
        <v>16.5</v>
      </c>
      <c r="N228" s="1">
        <v>17</v>
      </c>
      <c r="O228" s="1">
        <v>18</v>
      </c>
    </row>
    <row r="229" spans="1:15" x14ac:dyDescent="0.3">
      <c r="A229" t="s">
        <v>1794</v>
      </c>
      <c r="B229" s="3" t="s">
        <v>2824</v>
      </c>
      <c r="C229" t="s">
        <v>1793</v>
      </c>
      <c r="D229" s="9">
        <f>VLOOKUP(A229,[2]Sheet1!$A:$C,3,0)</f>
        <v>766</v>
      </c>
      <c r="J229" s="1"/>
      <c r="K229" s="2">
        <v>0</v>
      </c>
      <c r="L229" s="1">
        <v>28</v>
      </c>
      <c r="M229" s="1">
        <v>28.75</v>
      </c>
      <c r="N229" s="1">
        <v>29.75</v>
      </c>
      <c r="O229" s="1">
        <v>31.5</v>
      </c>
    </row>
    <row r="230" spans="1:15" x14ac:dyDescent="0.3">
      <c r="A230" t="s">
        <v>1792</v>
      </c>
      <c r="B230" s="3" t="s">
        <v>2824</v>
      </c>
      <c r="C230" t="s">
        <v>1791</v>
      </c>
      <c r="D230" s="9">
        <f>VLOOKUP(A230,[2]Sheet1!$A:$C,3,0)</f>
        <v>1084</v>
      </c>
      <c r="J230" s="1"/>
      <c r="K230" s="2">
        <v>0</v>
      </c>
      <c r="L230" s="1">
        <v>15.75</v>
      </c>
      <c r="M230" s="1">
        <v>16.5</v>
      </c>
      <c r="N230" s="1">
        <v>17</v>
      </c>
      <c r="O230" s="1">
        <v>18</v>
      </c>
    </row>
    <row r="231" spans="1:15" x14ac:dyDescent="0.3">
      <c r="A231" t="s">
        <v>1790</v>
      </c>
      <c r="B231" s="3" t="s">
        <v>2824</v>
      </c>
      <c r="C231" t="s">
        <v>1789</v>
      </c>
      <c r="D231" s="9">
        <f>VLOOKUP(A231,[2]Sheet1!$A:$C,3,0)</f>
        <v>622</v>
      </c>
      <c r="J231" s="1"/>
      <c r="K231" s="2">
        <v>0</v>
      </c>
      <c r="L231" s="1">
        <v>27</v>
      </c>
      <c r="M231" s="1">
        <v>27.75</v>
      </c>
      <c r="N231" s="1">
        <v>28.5</v>
      </c>
      <c r="O231" s="1">
        <v>31</v>
      </c>
    </row>
    <row r="232" spans="1:15" x14ac:dyDescent="0.3">
      <c r="A232" t="s">
        <v>1788</v>
      </c>
      <c r="B232" s="3" t="s">
        <v>2824</v>
      </c>
      <c r="C232" t="s">
        <v>1787</v>
      </c>
      <c r="D232" s="9">
        <f>VLOOKUP(A232,[2]Sheet1!$A:$C,3,0)</f>
        <v>360</v>
      </c>
      <c r="J232" s="1"/>
      <c r="K232" s="2">
        <v>0</v>
      </c>
      <c r="L232" s="1">
        <v>135</v>
      </c>
      <c r="M232" s="1">
        <v>140</v>
      </c>
      <c r="N232" s="1">
        <v>145</v>
      </c>
      <c r="O232" s="1">
        <v>150</v>
      </c>
    </row>
    <row r="233" spans="1:15" x14ac:dyDescent="0.3">
      <c r="A233" t="s">
        <v>1786</v>
      </c>
      <c r="B233" s="3" t="s">
        <v>2824</v>
      </c>
      <c r="C233" t="s">
        <v>1785</v>
      </c>
      <c r="D233" s="9">
        <f>VLOOKUP(A233,[2]Sheet1!$A:$C,3,0)</f>
        <v>0</v>
      </c>
      <c r="J233" s="1"/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 x14ac:dyDescent="0.3">
      <c r="A234" t="s">
        <v>1784</v>
      </c>
      <c r="B234" s="3" t="s">
        <v>2824</v>
      </c>
      <c r="C234" t="s">
        <v>1783</v>
      </c>
      <c r="D234" s="9">
        <f>VLOOKUP(A234,[2]Sheet1!$A:$C,3,0)</f>
        <v>39</v>
      </c>
      <c r="J234" s="1"/>
      <c r="K234" s="2">
        <v>0</v>
      </c>
      <c r="L234" s="1">
        <v>15</v>
      </c>
      <c r="M234" s="1">
        <v>15.25</v>
      </c>
      <c r="N234" s="1">
        <v>15.75</v>
      </c>
      <c r="O234" s="1">
        <v>16.5</v>
      </c>
    </row>
    <row r="235" spans="1:15" x14ac:dyDescent="0.3">
      <c r="A235" t="s">
        <v>1782</v>
      </c>
      <c r="B235" s="3" t="s">
        <v>2824</v>
      </c>
      <c r="C235" t="s">
        <v>1781</v>
      </c>
      <c r="D235" s="9">
        <f>VLOOKUP(A235,[2]Sheet1!$A:$C,3,0)</f>
        <v>201</v>
      </c>
      <c r="J235" s="1"/>
      <c r="K235" s="2">
        <v>0</v>
      </c>
      <c r="L235" s="1">
        <v>31.5</v>
      </c>
      <c r="M235" s="1">
        <v>32.25</v>
      </c>
      <c r="N235" s="1">
        <v>34</v>
      </c>
      <c r="O235" s="1">
        <v>35.5</v>
      </c>
    </row>
    <row r="236" spans="1:15" x14ac:dyDescent="0.3">
      <c r="A236" t="s">
        <v>1780</v>
      </c>
      <c r="B236" s="3" t="s">
        <v>2824</v>
      </c>
      <c r="C236" t="s">
        <v>1779</v>
      </c>
      <c r="D236" s="9">
        <f>VLOOKUP(A236,[2]Sheet1!$A:$C,3,0)</f>
        <v>113</v>
      </c>
      <c r="J236" s="1"/>
      <c r="K236" s="2">
        <v>0</v>
      </c>
      <c r="L236" s="1">
        <v>31.5</v>
      </c>
      <c r="M236" s="1">
        <v>32.25</v>
      </c>
      <c r="N236" s="1">
        <v>34</v>
      </c>
      <c r="O236" s="1">
        <v>35.5</v>
      </c>
    </row>
    <row r="237" spans="1:15" x14ac:dyDescent="0.3">
      <c r="A237" t="s">
        <v>1778</v>
      </c>
      <c r="B237" s="3" t="s">
        <v>2824</v>
      </c>
      <c r="C237" t="s">
        <v>1777</v>
      </c>
      <c r="D237" s="9">
        <f>VLOOKUP(A237,[2]Sheet1!$A:$C,3,0)</f>
        <v>0</v>
      </c>
      <c r="J237" s="1"/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 x14ac:dyDescent="0.3">
      <c r="A238" t="s">
        <v>2619</v>
      </c>
      <c r="B238" s="3" t="s">
        <v>2824</v>
      </c>
      <c r="C238" t="s">
        <v>2618</v>
      </c>
      <c r="D238" s="9">
        <f>VLOOKUP(A238,[2]Sheet1!$A:$C,3,0)</f>
        <v>0</v>
      </c>
      <c r="J238" s="1"/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 x14ac:dyDescent="0.3">
      <c r="A239" t="s">
        <v>2617</v>
      </c>
      <c r="B239" s="3" t="s">
        <v>2824</v>
      </c>
      <c r="C239" t="s">
        <v>2616</v>
      </c>
      <c r="D239" s="9">
        <f>VLOOKUP(A239,[2]Sheet1!$A:$C,3,0)</f>
        <v>5185</v>
      </c>
      <c r="J239" s="1"/>
      <c r="K239" s="1">
        <v>120</v>
      </c>
      <c r="L239" s="1">
        <v>125</v>
      </c>
      <c r="M239" s="1">
        <v>130</v>
      </c>
      <c r="N239" s="1">
        <v>135</v>
      </c>
      <c r="O239" s="1">
        <v>140</v>
      </c>
    </row>
    <row r="240" spans="1:15" x14ac:dyDescent="0.3">
      <c r="A240" t="s">
        <v>2641</v>
      </c>
      <c r="B240" s="3" t="s">
        <v>2824</v>
      </c>
      <c r="C240" t="s">
        <v>2642</v>
      </c>
      <c r="D240" s="9">
        <f>VLOOKUP(A240,[2]Sheet1!$A:$C,3,0)</f>
        <v>12</v>
      </c>
      <c r="J240" s="1"/>
      <c r="K240" s="2">
        <v>0</v>
      </c>
      <c r="L240" s="1">
        <v>1080</v>
      </c>
      <c r="M240" s="1">
        <v>1110</v>
      </c>
      <c r="N240" s="1">
        <v>1150</v>
      </c>
      <c r="O240" s="1">
        <v>1210</v>
      </c>
    </row>
    <row r="241" spans="1:16" x14ac:dyDescent="0.3">
      <c r="A241" t="s">
        <v>2159</v>
      </c>
      <c r="B241" s="3" t="s">
        <v>2824</v>
      </c>
      <c r="C241" t="s">
        <v>2158</v>
      </c>
      <c r="D241" s="9">
        <f>VLOOKUP(A241,[2]Sheet1!$A:$C,3,0)</f>
        <v>25</v>
      </c>
      <c r="J241" s="1"/>
      <c r="K241" s="2">
        <v>0</v>
      </c>
      <c r="L241" s="1">
        <v>262</v>
      </c>
      <c r="M241" s="1">
        <v>270</v>
      </c>
      <c r="N241" s="1">
        <v>276</v>
      </c>
      <c r="O241" s="1">
        <v>295</v>
      </c>
      <c r="P241" t="s">
        <v>2782</v>
      </c>
    </row>
    <row r="242" spans="1:16" x14ac:dyDescent="0.3">
      <c r="A242" t="s">
        <v>2084</v>
      </c>
      <c r="B242" s="3" t="s">
        <v>2824</v>
      </c>
      <c r="C242" t="s">
        <v>2083</v>
      </c>
      <c r="D242" s="9">
        <f>VLOOKUP(A242,[2]Sheet1!$A:$C,3,0)</f>
        <v>15</v>
      </c>
      <c r="J242" s="1"/>
      <c r="K242" s="2">
        <v>0</v>
      </c>
      <c r="L242" s="1">
        <v>262</v>
      </c>
      <c r="M242" s="1">
        <v>270</v>
      </c>
      <c r="N242" s="1">
        <v>276</v>
      </c>
      <c r="O242" s="1">
        <v>295</v>
      </c>
      <c r="P242" t="s">
        <v>2782</v>
      </c>
    </row>
    <row r="243" spans="1:16" x14ac:dyDescent="0.3">
      <c r="A243" t="s">
        <v>2082</v>
      </c>
      <c r="B243" s="3" t="s">
        <v>2824</v>
      </c>
      <c r="C243" t="s">
        <v>2081</v>
      </c>
      <c r="D243" s="9">
        <f>VLOOKUP(A243,[2]Sheet1!$A:$C,3,0)</f>
        <v>3</v>
      </c>
      <c r="J243" s="1"/>
      <c r="K243" s="2">
        <v>0</v>
      </c>
      <c r="L243" s="1">
        <v>262</v>
      </c>
      <c r="M243" s="1">
        <v>270</v>
      </c>
      <c r="N243" s="1">
        <v>276</v>
      </c>
      <c r="O243" s="1">
        <v>295</v>
      </c>
    </row>
    <row r="244" spans="1:16" x14ac:dyDescent="0.3">
      <c r="A244" t="s">
        <v>1966</v>
      </c>
      <c r="B244" s="3" t="s">
        <v>2824</v>
      </c>
      <c r="C244" t="s">
        <v>1965</v>
      </c>
      <c r="D244" s="9">
        <f>VLOOKUP(A244,[2]Sheet1!$A:$C,3,0)</f>
        <v>28</v>
      </c>
      <c r="J244" s="1"/>
      <c r="K244" s="2">
        <v>0</v>
      </c>
      <c r="L244" s="1">
        <v>262</v>
      </c>
      <c r="M244" s="1">
        <v>270</v>
      </c>
      <c r="N244" s="1">
        <v>276</v>
      </c>
      <c r="O244" s="1">
        <v>295</v>
      </c>
      <c r="P244" t="s">
        <v>2782</v>
      </c>
    </row>
    <row r="245" spans="1:16" x14ac:dyDescent="0.3">
      <c r="A245" t="s">
        <v>1776</v>
      </c>
      <c r="B245" s="3" t="s">
        <v>2824</v>
      </c>
      <c r="C245" t="s">
        <v>1775</v>
      </c>
      <c r="D245" s="9">
        <f>VLOOKUP(A245,[2]Sheet1!$A:$C,3,0)</f>
        <v>29</v>
      </c>
      <c r="J245" s="1"/>
      <c r="K245" s="2">
        <v>0</v>
      </c>
      <c r="L245" s="1">
        <v>262</v>
      </c>
      <c r="M245" s="1">
        <v>270</v>
      </c>
      <c r="N245" s="1">
        <v>276</v>
      </c>
      <c r="O245" s="1">
        <v>295</v>
      </c>
      <c r="P245" t="s">
        <v>2782</v>
      </c>
    </row>
    <row r="246" spans="1:16" x14ac:dyDescent="0.3">
      <c r="A246" t="s">
        <v>1650</v>
      </c>
      <c r="B246" s="3" t="s">
        <v>2824</v>
      </c>
      <c r="C246" t="s">
        <v>1649</v>
      </c>
      <c r="D246" s="9">
        <f>VLOOKUP(A246,[2]Sheet1!$A:$C,3,0)</f>
        <v>2</v>
      </c>
      <c r="J246" s="1"/>
      <c r="K246" s="2">
        <v>0</v>
      </c>
      <c r="L246" s="1">
        <v>280</v>
      </c>
      <c r="M246" s="1">
        <v>290</v>
      </c>
      <c r="N246" s="1">
        <v>300</v>
      </c>
      <c r="O246" s="1">
        <v>315</v>
      </c>
      <c r="P246" t="s">
        <v>2782</v>
      </c>
    </row>
    <row r="247" spans="1:16" x14ac:dyDescent="0.3">
      <c r="A247" t="s">
        <v>2157</v>
      </c>
      <c r="B247" s="3" t="s">
        <v>2824</v>
      </c>
      <c r="C247" t="s">
        <v>2156</v>
      </c>
      <c r="D247" s="9">
        <f>VLOOKUP(A247,[2]Sheet1!$A:$C,3,0)</f>
        <v>243</v>
      </c>
      <c r="J247" s="1"/>
      <c r="K247" s="2">
        <v>0</v>
      </c>
      <c r="L247" s="1">
        <v>62</v>
      </c>
      <c r="M247" s="1">
        <v>64</v>
      </c>
      <c r="N247" s="1">
        <v>68</v>
      </c>
      <c r="O247" s="1">
        <v>70</v>
      </c>
    </row>
    <row r="248" spans="1:16" x14ac:dyDescent="0.3">
      <c r="A248" t="s">
        <v>2155</v>
      </c>
      <c r="B248" s="3" t="s">
        <v>2824</v>
      </c>
      <c r="C248" t="s">
        <v>2154</v>
      </c>
      <c r="D248" s="9">
        <f>VLOOKUP(A248,[2]Sheet1!$A:$C,3,0)</f>
        <v>28</v>
      </c>
      <c r="J248" s="1"/>
      <c r="K248" s="2">
        <v>0</v>
      </c>
      <c r="L248" s="1">
        <v>262</v>
      </c>
      <c r="M248" s="1">
        <v>270</v>
      </c>
      <c r="N248" s="1">
        <v>276</v>
      </c>
      <c r="O248" s="1">
        <v>295</v>
      </c>
      <c r="P248" t="s">
        <v>2783</v>
      </c>
    </row>
    <row r="249" spans="1:16" x14ac:dyDescent="0.3">
      <c r="A249" t="s">
        <v>2080</v>
      </c>
      <c r="B249" s="3" t="s">
        <v>2824</v>
      </c>
      <c r="C249" t="s">
        <v>2079</v>
      </c>
      <c r="D249" s="9">
        <f>VLOOKUP(A249,[2]Sheet1!$A:$C,3,0)</f>
        <v>478</v>
      </c>
      <c r="J249" s="1"/>
      <c r="K249" s="2">
        <v>0</v>
      </c>
      <c r="L249" s="1">
        <v>62</v>
      </c>
      <c r="M249" s="1">
        <v>64</v>
      </c>
      <c r="N249" s="1">
        <v>68</v>
      </c>
      <c r="O249" s="1">
        <v>70</v>
      </c>
    </row>
    <row r="250" spans="1:16" x14ac:dyDescent="0.3">
      <c r="A250" t="s">
        <v>2078</v>
      </c>
      <c r="B250" s="3" t="s">
        <v>2824</v>
      </c>
      <c r="C250" t="s">
        <v>2077</v>
      </c>
      <c r="D250" s="9">
        <f>VLOOKUP(A250,[2]Sheet1!$A:$C,3,0)</f>
        <v>56</v>
      </c>
      <c r="J250" s="1"/>
      <c r="K250" s="2">
        <v>0</v>
      </c>
      <c r="L250" s="1">
        <v>262</v>
      </c>
      <c r="M250" s="1">
        <v>270</v>
      </c>
      <c r="N250" s="1">
        <v>276</v>
      </c>
      <c r="O250" s="1">
        <v>295</v>
      </c>
      <c r="P250" t="s">
        <v>2783</v>
      </c>
    </row>
    <row r="251" spans="1:16" x14ac:dyDescent="0.3">
      <c r="A251" t="s">
        <v>1964</v>
      </c>
      <c r="B251" s="3" t="s">
        <v>2824</v>
      </c>
      <c r="C251" t="s">
        <v>1963</v>
      </c>
      <c r="D251" s="9">
        <f>VLOOKUP(A251,[2]Sheet1!$A:$C,3,0)</f>
        <v>685</v>
      </c>
      <c r="J251" s="1"/>
      <c r="K251" s="2">
        <v>0</v>
      </c>
      <c r="L251" s="1">
        <v>62</v>
      </c>
      <c r="M251" s="1">
        <v>64</v>
      </c>
      <c r="N251" s="1">
        <v>68</v>
      </c>
      <c r="O251" s="1">
        <v>70</v>
      </c>
    </row>
    <row r="252" spans="1:16" x14ac:dyDescent="0.3">
      <c r="A252" t="s">
        <v>1962</v>
      </c>
      <c r="B252" s="3" t="s">
        <v>2824</v>
      </c>
      <c r="C252" t="s">
        <v>1961</v>
      </c>
      <c r="D252" s="9">
        <f>VLOOKUP(A252,[2]Sheet1!$A:$C,3,0)</f>
        <v>26</v>
      </c>
      <c r="J252" s="1"/>
      <c r="K252" s="2">
        <v>0</v>
      </c>
      <c r="L252" s="1">
        <v>262</v>
      </c>
      <c r="M252" s="1">
        <v>270</v>
      </c>
      <c r="N252" s="1">
        <v>276</v>
      </c>
      <c r="O252" s="1">
        <v>295</v>
      </c>
      <c r="P252" t="s">
        <v>2783</v>
      </c>
    </row>
    <row r="253" spans="1:16" x14ac:dyDescent="0.3">
      <c r="A253" t="s">
        <v>1774</v>
      </c>
      <c r="B253" s="3" t="s">
        <v>2824</v>
      </c>
      <c r="C253" t="s">
        <v>1773</v>
      </c>
      <c r="D253" s="9">
        <f>VLOOKUP(A253,[2]Sheet1!$A:$C,3,0)</f>
        <v>528</v>
      </c>
      <c r="J253" s="1"/>
      <c r="K253" s="2">
        <v>0</v>
      </c>
      <c r="L253" s="1">
        <v>62</v>
      </c>
      <c r="M253" s="1">
        <v>64</v>
      </c>
      <c r="N253" s="1">
        <v>68</v>
      </c>
      <c r="O253" s="1">
        <v>70</v>
      </c>
    </row>
    <row r="254" spans="1:16" x14ac:dyDescent="0.3">
      <c r="A254" t="s">
        <v>1772</v>
      </c>
      <c r="B254" s="3" t="s">
        <v>2824</v>
      </c>
      <c r="C254" t="s">
        <v>1771</v>
      </c>
      <c r="D254" s="9">
        <f>VLOOKUP(A254,[2]Sheet1!$A:$C,3,0)</f>
        <v>12</v>
      </c>
      <c r="J254" s="1"/>
      <c r="K254" s="2">
        <v>0</v>
      </c>
      <c r="L254" s="1">
        <v>262</v>
      </c>
      <c r="M254" s="1">
        <v>270</v>
      </c>
      <c r="N254" s="1">
        <v>276</v>
      </c>
      <c r="O254" s="1">
        <v>295</v>
      </c>
      <c r="P254" t="s">
        <v>2783</v>
      </c>
    </row>
    <row r="255" spans="1:16" x14ac:dyDescent="0.3">
      <c r="A255" t="s">
        <v>1648</v>
      </c>
      <c r="B255" s="3" t="s">
        <v>2824</v>
      </c>
      <c r="C255" t="s">
        <v>1647</v>
      </c>
      <c r="D255" s="9">
        <f>VLOOKUP(A255,[2]Sheet1!$A:$C,3,0)</f>
        <v>4</v>
      </c>
      <c r="J255" s="1"/>
      <c r="K255" s="2">
        <v>0</v>
      </c>
      <c r="L255" s="1">
        <v>280</v>
      </c>
      <c r="M255" s="1">
        <v>290</v>
      </c>
      <c r="N255" s="1">
        <v>300</v>
      </c>
      <c r="O255" s="1">
        <v>315</v>
      </c>
      <c r="P255" t="s">
        <v>2783</v>
      </c>
    </row>
    <row r="256" spans="1:16" x14ac:dyDescent="0.3">
      <c r="A256" t="s">
        <v>2381</v>
      </c>
      <c r="B256" s="3" t="s">
        <v>2824</v>
      </c>
      <c r="C256" t="s">
        <v>2380</v>
      </c>
      <c r="D256" s="9">
        <f>VLOOKUP(A256,[2]Sheet1!$A:$C,3,0)</f>
        <v>21046</v>
      </c>
      <c r="J256" s="1"/>
      <c r="K256" s="2">
        <v>0</v>
      </c>
      <c r="L256" s="1">
        <v>6.75</v>
      </c>
      <c r="M256" s="1">
        <v>7</v>
      </c>
      <c r="N256" s="1">
        <v>7.5</v>
      </c>
      <c r="O256" s="1">
        <v>8</v>
      </c>
      <c r="P256" t="s">
        <v>2784</v>
      </c>
    </row>
    <row r="257" spans="1:16" x14ac:dyDescent="0.3">
      <c r="A257" s="9" t="s">
        <v>2379</v>
      </c>
      <c r="B257" s="10" t="s">
        <v>2824</v>
      </c>
      <c r="C257" s="9" t="s">
        <v>2378</v>
      </c>
      <c r="D257" s="9">
        <f>VLOOKUP(A257,[2]Sheet1!$A:$C,3,0)</f>
        <v>0</v>
      </c>
      <c r="E257" s="10">
        <v>0</v>
      </c>
      <c r="F257" s="10"/>
      <c r="G257" s="28">
        <v>0</v>
      </c>
      <c r="H257" s="10">
        <v>0</v>
      </c>
      <c r="I257" s="13">
        <v>0</v>
      </c>
      <c r="J257" s="10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9"/>
    </row>
    <row r="258" spans="1:16" x14ac:dyDescent="0.3">
      <c r="A258" t="s">
        <v>2377</v>
      </c>
      <c r="B258" s="3" t="s">
        <v>2824</v>
      </c>
      <c r="C258" t="s">
        <v>2376</v>
      </c>
      <c r="D258" s="9">
        <f>VLOOKUP(A258,[2]Sheet1!$A:$C,3,0)</f>
        <v>11</v>
      </c>
      <c r="J258" s="1"/>
      <c r="K258" s="2">
        <v>0</v>
      </c>
      <c r="L258" s="1">
        <v>1050</v>
      </c>
      <c r="M258" s="1">
        <v>1259</v>
      </c>
      <c r="N258" s="1">
        <v>1350</v>
      </c>
      <c r="O258" s="1">
        <v>1500</v>
      </c>
    </row>
    <row r="259" spans="1:16" x14ac:dyDescent="0.3">
      <c r="A259" t="s">
        <v>2375</v>
      </c>
      <c r="B259" s="3" t="s">
        <v>2824</v>
      </c>
      <c r="C259" t="s">
        <v>2374</v>
      </c>
      <c r="D259" s="9">
        <f>VLOOKUP(A259,[2]Sheet1!$A:$C,3,0)</f>
        <v>0</v>
      </c>
      <c r="J259" s="1"/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6" x14ac:dyDescent="0.3">
      <c r="A260" t="s">
        <v>2373</v>
      </c>
      <c r="B260" s="3" t="s">
        <v>2824</v>
      </c>
      <c r="C260" t="s">
        <v>2372</v>
      </c>
      <c r="D260" s="9">
        <f>VLOOKUP(A260,[2]Sheet1!$A:$C,3,0)</f>
        <v>18</v>
      </c>
      <c r="J260" s="1"/>
      <c r="K260" s="2">
        <v>0</v>
      </c>
      <c r="L260" s="1">
        <v>1100</v>
      </c>
      <c r="M260" s="1">
        <v>1329</v>
      </c>
      <c r="N260" s="1">
        <v>1450</v>
      </c>
      <c r="O260" s="1">
        <v>1600</v>
      </c>
    </row>
    <row r="261" spans="1:16" x14ac:dyDescent="0.3">
      <c r="A261" t="s">
        <v>2371</v>
      </c>
      <c r="B261" s="3" t="s">
        <v>2824</v>
      </c>
      <c r="C261" t="s">
        <v>2370</v>
      </c>
      <c r="D261" s="9">
        <f>VLOOKUP(A261,[2]Sheet1!$A:$C,3,0)</f>
        <v>1</v>
      </c>
      <c r="J261" s="1"/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6" x14ac:dyDescent="0.3">
      <c r="A262" t="s">
        <v>2615</v>
      </c>
      <c r="B262" s="3" t="s">
        <v>2824</v>
      </c>
      <c r="C262" t="s">
        <v>2614</v>
      </c>
      <c r="D262" s="9">
        <f>VLOOKUP(A262,[2]Sheet1!$A:$C,3,0)</f>
        <v>46</v>
      </c>
      <c r="J262" s="1"/>
      <c r="K262" s="2">
        <v>0</v>
      </c>
      <c r="L262" s="1">
        <v>80</v>
      </c>
      <c r="M262" s="1">
        <v>90</v>
      </c>
      <c r="N262" s="1">
        <v>100</v>
      </c>
      <c r="O262" s="1">
        <v>120</v>
      </c>
    </row>
    <row r="263" spans="1:16" x14ac:dyDescent="0.3">
      <c r="A263" t="s">
        <v>2643</v>
      </c>
      <c r="B263" s="3" t="s">
        <v>2824</v>
      </c>
      <c r="C263" t="s">
        <v>2644</v>
      </c>
      <c r="D263" s="9">
        <f>VLOOKUP(A263,[2]Sheet1!$A:$C,3,0)</f>
        <v>59</v>
      </c>
      <c r="J263" s="1"/>
      <c r="K263" s="2">
        <v>0</v>
      </c>
      <c r="L263" s="1">
        <v>80</v>
      </c>
      <c r="M263" s="1">
        <v>90</v>
      </c>
      <c r="N263" s="1">
        <v>100</v>
      </c>
      <c r="O263" s="1">
        <v>120</v>
      </c>
    </row>
    <row r="264" spans="1:16" x14ac:dyDescent="0.3">
      <c r="A264" t="s">
        <v>2153</v>
      </c>
      <c r="B264" s="3" t="s">
        <v>2825</v>
      </c>
      <c r="C264" t="s">
        <v>2152</v>
      </c>
      <c r="D264" s="9">
        <f>VLOOKUP(A264,[2]Sheet1!$A:$C,3,0)</f>
        <v>72</v>
      </c>
      <c r="J264" s="1"/>
      <c r="K264" s="2">
        <v>0</v>
      </c>
      <c r="L264" s="1">
        <v>57.5</v>
      </c>
      <c r="M264" s="1">
        <v>59.5</v>
      </c>
      <c r="N264" s="1">
        <v>61.5</v>
      </c>
      <c r="O264" s="1">
        <v>65</v>
      </c>
    </row>
    <row r="265" spans="1:16" x14ac:dyDescent="0.3">
      <c r="A265" t="s">
        <v>2151</v>
      </c>
      <c r="B265" s="3" t="s">
        <v>2825</v>
      </c>
      <c r="C265" t="s">
        <v>2150</v>
      </c>
      <c r="D265" s="9">
        <f>VLOOKUP(A265,[2]Sheet1!$A:$C,3,0)</f>
        <v>485</v>
      </c>
      <c r="J265" s="1"/>
      <c r="K265" s="2">
        <v>0</v>
      </c>
      <c r="L265" s="1">
        <v>172</v>
      </c>
      <c r="M265" s="1">
        <v>178</v>
      </c>
      <c r="N265" s="1">
        <v>185</v>
      </c>
      <c r="O265" s="1">
        <v>195</v>
      </c>
    </row>
    <row r="266" spans="1:16" x14ac:dyDescent="0.3">
      <c r="A266" t="s">
        <v>2149</v>
      </c>
      <c r="B266" s="3" t="s">
        <v>2825</v>
      </c>
      <c r="C266" t="s">
        <v>2148</v>
      </c>
      <c r="D266" s="9">
        <f>VLOOKUP(A266,[2]Sheet1!$A:$C,3,0)</f>
        <v>96</v>
      </c>
      <c r="J266" s="1"/>
      <c r="K266" s="2">
        <v>0</v>
      </c>
      <c r="L266" s="1">
        <v>32.5</v>
      </c>
      <c r="M266" s="1">
        <v>33.5</v>
      </c>
      <c r="N266" s="1">
        <v>34.5</v>
      </c>
      <c r="O266" s="1">
        <v>36.5</v>
      </c>
    </row>
    <row r="267" spans="1:16" x14ac:dyDescent="0.3">
      <c r="A267" t="s">
        <v>2147</v>
      </c>
      <c r="B267" s="3" t="s">
        <v>2825</v>
      </c>
      <c r="C267" t="s">
        <v>2146</v>
      </c>
      <c r="D267" s="9">
        <f>VLOOKUP(A267,[2]Sheet1!$A:$C,3,0)</f>
        <v>777</v>
      </c>
      <c r="J267" s="1"/>
      <c r="K267" s="2">
        <v>0</v>
      </c>
      <c r="L267" s="1">
        <v>32.5</v>
      </c>
      <c r="M267" s="1">
        <v>33.5</v>
      </c>
      <c r="N267" s="1">
        <v>34.5</v>
      </c>
      <c r="O267" s="1">
        <v>36.5</v>
      </c>
    </row>
    <row r="268" spans="1:16" x14ac:dyDescent="0.3">
      <c r="A268" t="s">
        <v>2076</v>
      </c>
      <c r="B268" s="3" t="s">
        <v>2825</v>
      </c>
      <c r="C268" t="s">
        <v>2075</v>
      </c>
      <c r="D268" s="9">
        <f>VLOOKUP(A268,[2]Sheet1!$A:$C,3,0)</f>
        <v>255</v>
      </c>
      <c r="J268" s="1"/>
      <c r="K268" s="2">
        <v>0</v>
      </c>
      <c r="L268" s="1">
        <v>57.5</v>
      </c>
      <c r="M268" s="1">
        <v>59.5</v>
      </c>
      <c r="N268" s="1">
        <v>61.5</v>
      </c>
      <c r="O268" s="1">
        <v>65</v>
      </c>
    </row>
    <row r="269" spans="1:16" x14ac:dyDescent="0.3">
      <c r="A269" t="s">
        <v>2074</v>
      </c>
      <c r="B269" s="3" t="s">
        <v>2825</v>
      </c>
      <c r="C269" t="s">
        <v>2073</v>
      </c>
      <c r="D269" s="9">
        <f>VLOOKUP(A269,[2]Sheet1!$A:$C,3,0)</f>
        <v>137</v>
      </c>
      <c r="J269" s="1"/>
      <c r="K269" s="2">
        <v>0</v>
      </c>
      <c r="L269" s="1">
        <v>172</v>
      </c>
      <c r="M269" s="1">
        <v>178</v>
      </c>
      <c r="N269" s="1">
        <v>185</v>
      </c>
      <c r="O269" s="1">
        <v>195</v>
      </c>
    </row>
    <row r="270" spans="1:16" x14ac:dyDescent="0.3">
      <c r="A270" t="s">
        <v>2072</v>
      </c>
      <c r="B270" s="3" t="s">
        <v>2825</v>
      </c>
      <c r="C270" t="s">
        <v>2071</v>
      </c>
      <c r="D270" s="9">
        <f>VLOOKUP(A270,[2]Sheet1!$A:$C,3,0)</f>
        <v>276</v>
      </c>
      <c r="J270" s="1"/>
      <c r="K270" s="2">
        <v>0</v>
      </c>
      <c r="L270" s="1">
        <v>32.5</v>
      </c>
      <c r="M270" s="1">
        <v>33.5</v>
      </c>
      <c r="N270" s="1">
        <v>34.5</v>
      </c>
      <c r="O270" s="1">
        <v>36.5</v>
      </c>
    </row>
    <row r="271" spans="1:16" x14ac:dyDescent="0.3">
      <c r="A271" t="s">
        <v>2070</v>
      </c>
      <c r="B271" s="3" t="s">
        <v>2825</v>
      </c>
      <c r="C271" t="s">
        <v>2069</v>
      </c>
      <c r="D271" s="9">
        <f>VLOOKUP(A271,[2]Sheet1!$A:$C,3,0)</f>
        <v>465</v>
      </c>
      <c r="J271" s="1"/>
      <c r="K271" s="2">
        <v>0</v>
      </c>
      <c r="L271" s="1">
        <v>32.5</v>
      </c>
      <c r="M271" s="1">
        <v>33.5</v>
      </c>
      <c r="N271" s="1">
        <v>34.5</v>
      </c>
      <c r="O271" s="1">
        <v>36.5</v>
      </c>
    </row>
    <row r="272" spans="1:16" x14ac:dyDescent="0.3">
      <c r="A272" t="s">
        <v>2068</v>
      </c>
      <c r="B272" s="3" t="s">
        <v>2825</v>
      </c>
      <c r="C272" t="s">
        <v>2067</v>
      </c>
      <c r="D272" s="9">
        <f>VLOOKUP(A272,[2]Sheet1!$A:$C,3,0)</f>
        <v>0</v>
      </c>
      <c r="J272" s="1"/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6" x14ac:dyDescent="0.3">
      <c r="A273" t="s">
        <v>1960</v>
      </c>
      <c r="B273" s="3" t="s">
        <v>2825</v>
      </c>
      <c r="C273" t="s">
        <v>1959</v>
      </c>
      <c r="D273" s="9">
        <f>VLOOKUP(A273,[2]Sheet1!$A:$C,3,0)</f>
        <v>610</v>
      </c>
      <c r="J273" s="1"/>
      <c r="K273" s="2">
        <v>0</v>
      </c>
      <c r="L273" s="1">
        <v>57.5</v>
      </c>
      <c r="M273" s="1">
        <v>59.5</v>
      </c>
      <c r="N273" s="1">
        <v>61.5</v>
      </c>
      <c r="O273" s="1">
        <v>65</v>
      </c>
    </row>
    <row r="274" spans="1:16" x14ac:dyDescent="0.3">
      <c r="A274" t="s">
        <v>1958</v>
      </c>
      <c r="B274" s="3" t="s">
        <v>2825</v>
      </c>
      <c r="C274" t="s">
        <v>1957</v>
      </c>
      <c r="D274" s="9">
        <f>VLOOKUP(A274,[2]Sheet1!$A:$C,3,0)</f>
        <v>228</v>
      </c>
      <c r="J274" s="1"/>
      <c r="K274" s="2">
        <v>0</v>
      </c>
      <c r="L274" s="1">
        <v>172</v>
      </c>
      <c r="M274" s="1">
        <v>178</v>
      </c>
      <c r="N274" s="1">
        <v>185</v>
      </c>
      <c r="O274" s="1">
        <v>195</v>
      </c>
    </row>
    <row r="275" spans="1:16" x14ac:dyDescent="0.3">
      <c r="A275" t="s">
        <v>1956</v>
      </c>
      <c r="B275" s="3" t="s">
        <v>2825</v>
      </c>
      <c r="C275" t="s">
        <v>1955</v>
      </c>
      <c r="D275" s="9">
        <f>VLOOKUP(A275,[2]Sheet1!$A:$C,3,0)</f>
        <v>348</v>
      </c>
      <c r="J275" s="1"/>
      <c r="K275" s="2">
        <v>0</v>
      </c>
      <c r="L275" s="1">
        <v>32.5</v>
      </c>
      <c r="M275" s="1">
        <v>33.5</v>
      </c>
      <c r="N275" s="1">
        <v>34.5</v>
      </c>
      <c r="O275" s="1">
        <v>36.5</v>
      </c>
    </row>
    <row r="276" spans="1:16" x14ac:dyDescent="0.3">
      <c r="A276" t="s">
        <v>1954</v>
      </c>
      <c r="B276" s="3" t="s">
        <v>2825</v>
      </c>
      <c r="C276" t="s">
        <v>1953</v>
      </c>
      <c r="D276" s="9">
        <f>VLOOKUP(A276,[2]Sheet1!$A:$C,3,0)</f>
        <v>155</v>
      </c>
      <c r="J276" s="1"/>
      <c r="K276" s="2">
        <v>0</v>
      </c>
      <c r="L276" s="1">
        <v>32.5</v>
      </c>
      <c r="M276" s="1">
        <v>33.5</v>
      </c>
      <c r="N276" s="1">
        <v>34.5</v>
      </c>
      <c r="O276" s="1">
        <v>36.5</v>
      </c>
    </row>
    <row r="277" spans="1:16" x14ac:dyDescent="0.3">
      <c r="A277" t="s">
        <v>1770</v>
      </c>
      <c r="B277" s="3" t="s">
        <v>2825</v>
      </c>
      <c r="C277" t="s">
        <v>1769</v>
      </c>
      <c r="D277" s="9">
        <f>VLOOKUP(A277,[2]Sheet1!$A:$C,3,0)</f>
        <v>146</v>
      </c>
      <c r="J277" s="1"/>
      <c r="K277" s="2">
        <v>0</v>
      </c>
      <c r="L277" s="1">
        <v>57.5</v>
      </c>
      <c r="M277" s="1">
        <v>59.5</v>
      </c>
      <c r="N277" s="1">
        <v>61.5</v>
      </c>
      <c r="O277" s="1">
        <v>65</v>
      </c>
    </row>
    <row r="278" spans="1:16" x14ac:dyDescent="0.3">
      <c r="A278" t="s">
        <v>1768</v>
      </c>
      <c r="B278" s="3" t="s">
        <v>2825</v>
      </c>
      <c r="C278" t="s">
        <v>1767</v>
      </c>
      <c r="D278" s="9">
        <f>VLOOKUP(A278,[2]Sheet1!$A:$C,3,0)</f>
        <v>137</v>
      </c>
      <c r="J278" s="1"/>
      <c r="K278" s="2">
        <v>0</v>
      </c>
      <c r="L278" s="1">
        <v>172</v>
      </c>
      <c r="M278" s="1">
        <v>178</v>
      </c>
      <c r="N278" s="1">
        <v>185</v>
      </c>
      <c r="O278" s="1">
        <v>195</v>
      </c>
    </row>
    <row r="279" spans="1:16" x14ac:dyDescent="0.3">
      <c r="A279" t="s">
        <v>1766</v>
      </c>
      <c r="B279" s="3" t="s">
        <v>2825</v>
      </c>
      <c r="C279" t="s">
        <v>1765</v>
      </c>
      <c r="D279" s="9">
        <f>VLOOKUP(A279,[2]Sheet1!$A:$C,3,0)</f>
        <v>211</v>
      </c>
      <c r="J279" s="1"/>
      <c r="K279" s="2">
        <v>0</v>
      </c>
      <c r="L279" s="1">
        <v>32.5</v>
      </c>
      <c r="M279" s="1">
        <v>33.5</v>
      </c>
      <c r="N279" s="1">
        <v>34.5</v>
      </c>
      <c r="O279" s="1">
        <v>36.5</v>
      </c>
    </row>
    <row r="280" spans="1:16" x14ac:dyDescent="0.3">
      <c r="A280" t="s">
        <v>1764</v>
      </c>
      <c r="B280" s="3" t="s">
        <v>2825</v>
      </c>
      <c r="C280" t="s">
        <v>1763</v>
      </c>
      <c r="D280" s="9">
        <f>VLOOKUP(A280,[2]Sheet1!$A:$C,3,0)</f>
        <v>331</v>
      </c>
      <c r="J280" s="1"/>
      <c r="K280" s="2">
        <v>0</v>
      </c>
      <c r="L280" s="1">
        <v>32.5</v>
      </c>
      <c r="M280" s="1">
        <v>33.5</v>
      </c>
      <c r="N280" s="1">
        <v>34.5</v>
      </c>
      <c r="O280" s="1">
        <v>36.5</v>
      </c>
    </row>
    <row r="281" spans="1:16" x14ac:dyDescent="0.3">
      <c r="A281" t="s">
        <v>2369</v>
      </c>
      <c r="B281" s="3" t="s">
        <v>2826</v>
      </c>
      <c r="C281" t="s">
        <v>2368</v>
      </c>
      <c r="D281" s="9">
        <f>VLOOKUP(A281,[2]Sheet1!$A:$C,3,0)</f>
        <v>0</v>
      </c>
      <c r="J281" s="1"/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6" x14ac:dyDescent="0.3">
      <c r="A282" t="s">
        <v>2367</v>
      </c>
      <c r="B282" s="3" t="s">
        <v>2826</v>
      </c>
      <c r="C282" t="s">
        <v>2366</v>
      </c>
      <c r="D282" s="9">
        <f>VLOOKUP(A282,[2]Sheet1!$A:$C,3,0)</f>
        <v>0</v>
      </c>
      <c r="J282" s="1"/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6" x14ac:dyDescent="0.3">
      <c r="A283" t="s">
        <v>2365</v>
      </c>
      <c r="B283" s="3" t="s">
        <v>2826</v>
      </c>
      <c r="C283" t="s">
        <v>2364</v>
      </c>
      <c r="D283" s="9">
        <f>VLOOKUP(A283,[2]Sheet1!$A:$C,3,0)</f>
        <v>73</v>
      </c>
      <c r="J283" s="1"/>
      <c r="K283" s="2">
        <v>0</v>
      </c>
      <c r="L283" s="1">
        <v>835</v>
      </c>
      <c r="M283" s="1">
        <v>860</v>
      </c>
      <c r="N283" s="1">
        <v>875</v>
      </c>
      <c r="O283" s="1">
        <v>950</v>
      </c>
    </row>
    <row r="284" spans="1:16" x14ac:dyDescent="0.3">
      <c r="A284" s="9" t="s">
        <v>2363</v>
      </c>
      <c r="B284" s="10" t="s">
        <v>2826</v>
      </c>
      <c r="C284" s="9" t="s">
        <v>2362</v>
      </c>
      <c r="D284" s="9">
        <f>VLOOKUP(A284,[2]Sheet1!$A:$C,3,0)</f>
        <v>0</v>
      </c>
      <c r="E284" s="10">
        <v>0</v>
      </c>
      <c r="F284" s="10"/>
      <c r="G284" s="28">
        <v>0</v>
      </c>
      <c r="H284" s="10">
        <v>0</v>
      </c>
      <c r="I284" s="13">
        <v>0</v>
      </c>
      <c r="J284" s="10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9"/>
    </row>
    <row r="285" spans="1:16" x14ac:dyDescent="0.3">
      <c r="A285" t="s">
        <v>2361</v>
      </c>
      <c r="B285" s="3" t="s">
        <v>2826</v>
      </c>
      <c r="C285" t="s">
        <v>2360</v>
      </c>
      <c r="D285" s="9">
        <f>VLOOKUP(A285,[2]Sheet1!$A:$C,3,0)</f>
        <v>0</v>
      </c>
      <c r="J285" s="1"/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6" x14ac:dyDescent="0.3">
      <c r="A286" t="s">
        <v>2359</v>
      </c>
      <c r="B286" s="3" t="s">
        <v>2826</v>
      </c>
      <c r="C286" t="s">
        <v>2358</v>
      </c>
      <c r="D286" s="9">
        <f>VLOOKUP(A286,[2]Sheet1!$A:$C,3,0)</f>
        <v>0</v>
      </c>
      <c r="J286" s="1"/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6" x14ac:dyDescent="0.3">
      <c r="A287" t="s">
        <v>2357</v>
      </c>
      <c r="B287" s="3" t="s">
        <v>2826</v>
      </c>
      <c r="C287" t="s">
        <v>2356</v>
      </c>
      <c r="D287" s="9">
        <f>VLOOKUP(A287,[2]Sheet1!$A:$C,3,0)</f>
        <v>0</v>
      </c>
      <c r="J287" s="1"/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6" x14ac:dyDescent="0.3">
      <c r="A288" t="s">
        <v>2355</v>
      </c>
      <c r="B288" s="3" t="s">
        <v>2826</v>
      </c>
      <c r="C288" t="s">
        <v>2354</v>
      </c>
      <c r="D288" s="9">
        <f>VLOOKUP(A288,[2]Sheet1!$A:$C,3,0)</f>
        <v>427</v>
      </c>
      <c r="J288" s="1"/>
      <c r="K288" s="2">
        <v>0</v>
      </c>
      <c r="L288" s="1">
        <v>32</v>
      </c>
      <c r="M288" s="1">
        <v>34</v>
      </c>
      <c r="N288" s="1">
        <v>36</v>
      </c>
      <c r="O288" s="1">
        <v>38</v>
      </c>
    </row>
    <row r="289" spans="1:16" x14ac:dyDescent="0.3">
      <c r="A289" t="s">
        <v>2353</v>
      </c>
      <c r="B289" s="3" t="s">
        <v>2826</v>
      </c>
      <c r="C289" t="s">
        <v>2352</v>
      </c>
      <c r="D289" s="9">
        <f>VLOOKUP(A289,[2]Sheet1!$A:$C,3,0)</f>
        <v>318</v>
      </c>
      <c r="J289" s="1"/>
      <c r="K289" s="2">
        <v>0</v>
      </c>
      <c r="L289" s="1">
        <v>59</v>
      </c>
      <c r="M289" s="1">
        <v>63</v>
      </c>
      <c r="N289" s="1">
        <v>65</v>
      </c>
      <c r="O289" s="1">
        <v>70</v>
      </c>
    </row>
    <row r="290" spans="1:16" x14ac:dyDescent="0.3">
      <c r="A290" t="s">
        <v>2351</v>
      </c>
      <c r="B290" s="3" t="s">
        <v>2826</v>
      </c>
      <c r="C290" t="s">
        <v>2350</v>
      </c>
      <c r="D290" s="9">
        <f>VLOOKUP(A290,[2]Sheet1!$A:$C,3,0)</f>
        <v>0</v>
      </c>
      <c r="J290" s="1"/>
      <c r="K290" s="2">
        <v>0</v>
      </c>
      <c r="L290" s="1">
        <v>130</v>
      </c>
      <c r="M290" s="1">
        <v>135</v>
      </c>
      <c r="N290" s="1">
        <v>140</v>
      </c>
      <c r="O290" s="1">
        <v>145</v>
      </c>
    </row>
    <row r="291" spans="1:16" x14ac:dyDescent="0.3">
      <c r="A291" t="s">
        <v>2631</v>
      </c>
      <c r="B291" s="3" t="s">
        <v>2826</v>
      </c>
      <c r="C291" t="s">
        <v>2630</v>
      </c>
      <c r="D291" s="9">
        <f>VLOOKUP(A291,[2]Sheet1!$A:$C,3,0)</f>
        <v>0</v>
      </c>
      <c r="J291" s="1"/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6" x14ac:dyDescent="0.3">
      <c r="A292" t="s">
        <v>2349</v>
      </c>
      <c r="B292" s="3" t="s">
        <v>2826</v>
      </c>
      <c r="C292" t="s">
        <v>2348</v>
      </c>
      <c r="D292" s="9">
        <f>VLOOKUP(A292,[2]Sheet1!$A:$C,3,0)</f>
        <v>180</v>
      </c>
      <c r="J292" s="1"/>
      <c r="K292" s="2">
        <v>0</v>
      </c>
      <c r="L292" s="1">
        <v>53</v>
      </c>
      <c r="M292" s="1">
        <v>55</v>
      </c>
      <c r="N292" s="1">
        <v>60</v>
      </c>
      <c r="O292" s="1">
        <v>65</v>
      </c>
      <c r="P292" t="s">
        <v>2785</v>
      </c>
    </row>
    <row r="293" spans="1:16" x14ac:dyDescent="0.3">
      <c r="A293" s="9" t="s">
        <v>2347</v>
      </c>
      <c r="B293" s="10" t="s">
        <v>2826</v>
      </c>
      <c r="C293" s="9" t="s">
        <v>2346</v>
      </c>
      <c r="D293" s="9">
        <f>VLOOKUP(A293,[2]Sheet1!$A:$C,3,0)</f>
        <v>0</v>
      </c>
      <c r="E293" s="10">
        <v>0</v>
      </c>
      <c r="F293" s="10"/>
      <c r="G293" s="28">
        <v>0</v>
      </c>
      <c r="H293" s="10">
        <v>0</v>
      </c>
      <c r="I293" s="13">
        <v>0</v>
      </c>
      <c r="J293" s="10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9"/>
    </row>
    <row r="294" spans="1:16" x14ac:dyDescent="0.3">
      <c r="A294" t="s">
        <v>2145</v>
      </c>
      <c r="B294" s="3" t="s">
        <v>2826</v>
      </c>
      <c r="C294" t="s">
        <v>2144</v>
      </c>
      <c r="D294" s="9">
        <f>VLOOKUP(A294,[2]Sheet1!$A:$C,3,0)</f>
        <v>0</v>
      </c>
      <c r="J294" s="1"/>
      <c r="K294" s="2">
        <v>0</v>
      </c>
      <c r="L294" s="1">
        <v>70</v>
      </c>
      <c r="M294" s="1">
        <v>75</v>
      </c>
      <c r="N294" s="1">
        <v>80</v>
      </c>
      <c r="O294" s="1">
        <v>85</v>
      </c>
    </row>
    <row r="295" spans="1:16" x14ac:dyDescent="0.3">
      <c r="A295" t="s">
        <v>2645</v>
      </c>
      <c r="B295" s="3" t="s">
        <v>2826</v>
      </c>
      <c r="C295" t="s">
        <v>2646</v>
      </c>
      <c r="D295" s="9">
        <f>VLOOKUP(A295,[2]Sheet1!$A:$C,3,0)</f>
        <v>7</v>
      </c>
      <c r="J295" s="1"/>
      <c r="K295" s="2">
        <v>0</v>
      </c>
      <c r="L295" s="1">
        <v>110</v>
      </c>
      <c r="M295" s="1">
        <v>115</v>
      </c>
      <c r="N295" s="1">
        <v>120</v>
      </c>
      <c r="O295" s="1">
        <v>125</v>
      </c>
    </row>
    <row r="296" spans="1:16" x14ac:dyDescent="0.3">
      <c r="A296" t="s">
        <v>1952</v>
      </c>
      <c r="B296" s="3" t="s">
        <v>2826</v>
      </c>
      <c r="C296" t="s">
        <v>1951</v>
      </c>
      <c r="D296" s="9">
        <f>VLOOKUP(A296,[2]Sheet1!$A:$C,3,0)</f>
        <v>1</v>
      </c>
      <c r="J296" s="1"/>
      <c r="K296" s="2">
        <v>0</v>
      </c>
      <c r="L296" s="1">
        <v>180</v>
      </c>
      <c r="M296" s="1">
        <v>185</v>
      </c>
      <c r="N296" s="1">
        <v>200</v>
      </c>
      <c r="O296" s="1">
        <v>215</v>
      </c>
    </row>
    <row r="297" spans="1:16" x14ac:dyDescent="0.3">
      <c r="A297" t="s">
        <v>1950</v>
      </c>
      <c r="B297" s="3" t="s">
        <v>2826</v>
      </c>
      <c r="C297" t="s">
        <v>1949</v>
      </c>
      <c r="D297" s="9">
        <f>VLOOKUP(A297,[2]Sheet1!$A:$C,3,0)</f>
        <v>0</v>
      </c>
      <c r="J297" s="1"/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6" x14ac:dyDescent="0.3">
      <c r="A298" t="s">
        <v>2647</v>
      </c>
      <c r="B298" s="3" t="s">
        <v>2826</v>
      </c>
      <c r="C298" t="s">
        <v>2648</v>
      </c>
      <c r="D298" s="9">
        <f>VLOOKUP(A298,[2]Sheet1!$A:$C,3,0)</f>
        <v>0</v>
      </c>
      <c r="J298" s="1"/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6" x14ac:dyDescent="0.3">
      <c r="A299" t="s">
        <v>1762</v>
      </c>
      <c r="B299" s="3" t="s">
        <v>2826</v>
      </c>
      <c r="C299" t="s">
        <v>1761</v>
      </c>
      <c r="D299" s="9">
        <f>VLOOKUP(A299,[2]Sheet1!$A:$C,3,0)</f>
        <v>0</v>
      </c>
      <c r="J299" s="1"/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6" x14ac:dyDescent="0.3">
      <c r="A300" t="s">
        <v>1760</v>
      </c>
      <c r="B300" s="3" t="s">
        <v>2826</v>
      </c>
      <c r="C300" t="s">
        <v>1759</v>
      </c>
      <c r="D300" s="9">
        <f>VLOOKUP(A300,[2]Sheet1!$A:$C,3,0)</f>
        <v>0</v>
      </c>
      <c r="J300" s="1"/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6" x14ac:dyDescent="0.3">
      <c r="A301" t="s">
        <v>1948</v>
      </c>
      <c r="B301" s="3" t="s">
        <v>2826</v>
      </c>
      <c r="C301" t="s">
        <v>1947</v>
      </c>
      <c r="D301" s="9">
        <f>VLOOKUP(A301,[2]Sheet1!$A:$C,3,0)</f>
        <v>0</v>
      </c>
      <c r="J301" s="1"/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6" x14ac:dyDescent="0.3">
      <c r="A302" t="s">
        <v>1946</v>
      </c>
      <c r="B302" s="3" t="s">
        <v>2826</v>
      </c>
      <c r="C302" t="s">
        <v>1945</v>
      </c>
      <c r="D302" s="9">
        <f>VLOOKUP(A302,[2]Sheet1!$A:$C,3,0)</f>
        <v>0</v>
      </c>
      <c r="J302" s="1"/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6" x14ac:dyDescent="0.3">
      <c r="A303" t="s">
        <v>1944</v>
      </c>
      <c r="B303" s="3" t="s">
        <v>2826</v>
      </c>
      <c r="C303" t="s">
        <v>1943</v>
      </c>
      <c r="D303" s="9">
        <f>VLOOKUP(A303,[2]Sheet1!$A:$C,3,0)</f>
        <v>0</v>
      </c>
      <c r="J303" s="1"/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6" x14ac:dyDescent="0.3">
      <c r="A304" t="s">
        <v>1758</v>
      </c>
      <c r="B304" s="3" t="s">
        <v>2826</v>
      </c>
      <c r="C304" t="s">
        <v>1757</v>
      </c>
      <c r="D304" s="9">
        <f>VLOOKUP(A304,[2]Sheet1!$A:$C,3,0)</f>
        <v>0</v>
      </c>
      <c r="J304" s="1"/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6" x14ac:dyDescent="0.3">
      <c r="A305" t="s">
        <v>1756</v>
      </c>
      <c r="B305" s="3" t="s">
        <v>2826</v>
      </c>
      <c r="C305" t="s">
        <v>1755</v>
      </c>
      <c r="D305" s="9">
        <f>VLOOKUP(A305,[2]Sheet1!$A:$C,3,0)</f>
        <v>0</v>
      </c>
      <c r="J305" s="1"/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6" x14ac:dyDescent="0.3">
      <c r="A306" t="s">
        <v>1754</v>
      </c>
      <c r="B306" s="3" t="s">
        <v>2826</v>
      </c>
      <c r="C306" t="s">
        <v>1753</v>
      </c>
      <c r="D306" s="9">
        <f>VLOOKUP(A306,[2]Sheet1!$A:$C,3,0)</f>
        <v>0</v>
      </c>
      <c r="J306" s="1"/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6" x14ac:dyDescent="0.3">
      <c r="A307" t="s">
        <v>1752</v>
      </c>
      <c r="B307" s="3" t="s">
        <v>2826</v>
      </c>
      <c r="C307" t="s">
        <v>1751</v>
      </c>
      <c r="D307" s="9">
        <f>VLOOKUP(A307,[2]Sheet1!$A:$C,3,0)</f>
        <v>9</v>
      </c>
      <c r="J307" s="1"/>
      <c r="K307" s="2">
        <v>0</v>
      </c>
      <c r="L307" s="1">
        <v>85</v>
      </c>
      <c r="M307" s="1">
        <v>90</v>
      </c>
      <c r="N307" s="1">
        <v>95</v>
      </c>
      <c r="O307" s="1">
        <v>100</v>
      </c>
    </row>
    <row r="308" spans="1:16" x14ac:dyDescent="0.3">
      <c r="A308" t="s">
        <v>1942</v>
      </c>
      <c r="B308" s="3" t="s">
        <v>2826</v>
      </c>
      <c r="C308" t="s">
        <v>1941</v>
      </c>
      <c r="D308" s="9">
        <f>VLOOKUP(A308,[2]Sheet1!$A:$C,3,0)</f>
        <v>0</v>
      </c>
      <c r="J308" s="1"/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6" x14ac:dyDescent="0.3">
      <c r="A309" t="s">
        <v>1940</v>
      </c>
      <c r="B309" s="3" t="s">
        <v>2826</v>
      </c>
      <c r="C309" t="s">
        <v>1939</v>
      </c>
      <c r="D309" s="9">
        <f>VLOOKUP(A309,[2]Sheet1!$A:$C,3,0)</f>
        <v>190</v>
      </c>
      <c r="J309" s="1"/>
      <c r="K309" s="1">
        <v>95</v>
      </c>
      <c r="L309" s="1">
        <v>100</v>
      </c>
      <c r="M309" s="1">
        <v>110</v>
      </c>
      <c r="N309" s="1">
        <v>115</v>
      </c>
      <c r="O309" s="1">
        <v>120</v>
      </c>
      <c r="P309" t="s">
        <v>2786</v>
      </c>
    </row>
    <row r="310" spans="1:16" x14ac:dyDescent="0.3">
      <c r="A310" t="s">
        <v>1750</v>
      </c>
      <c r="B310" s="3" t="s">
        <v>2826</v>
      </c>
      <c r="C310" t="s">
        <v>1749</v>
      </c>
      <c r="D310" s="9">
        <f>VLOOKUP(A310,[2]Sheet1!$A:$C,3,0)</f>
        <v>179</v>
      </c>
      <c r="J310" s="1"/>
      <c r="K310" s="1">
        <v>95</v>
      </c>
      <c r="L310" s="1">
        <v>100</v>
      </c>
      <c r="M310" s="1">
        <v>110</v>
      </c>
      <c r="N310" s="1">
        <v>115</v>
      </c>
      <c r="O310" s="1">
        <v>120</v>
      </c>
      <c r="P310" t="s">
        <v>2786</v>
      </c>
    </row>
    <row r="311" spans="1:16" x14ac:dyDescent="0.3">
      <c r="A311" s="9" t="s">
        <v>2345</v>
      </c>
      <c r="B311" s="10" t="s">
        <v>2826</v>
      </c>
      <c r="C311" s="9" t="s">
        <v>2344</v>
      </c>
      <c r="D311" s="9">
        <f>VLOOKUP(A311,[2]Sheet1!$A:$C,3,0)</f>
        <v>2</v>
      </c>
      <c r="E311" s="10">
        <v>0</v>
      </c>
      <c r="F311" s="10"/>
      <c r="G311" s="28">
        <v>0</v>
      </c>
      <c r="H311" s="10">
        <v>0</v>
      </c>
      <c r="I311" s="13">
        <v>0</v>
      </c>
      <c r="J311" s="10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9"/>
    </row>
    <row r="312" spans="1:16" x14ac:dyDescent="0.3">
      <c r="A312" t="s">
        <v>2343</v>
      </c>
      <c r="B312" s="3" t="s">
        <v>2826</v>
      </c>
      <c r="C312" t="s">
        <v>2342</v>
      </c>
      <c r="D312" s="9">
        <f>VLOOKUP(A312,[2]Sheet1!$A:$C,3,0)</f>
        <v>0</v>
      </c>
      <c r="J312" s="1"/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6" x14ac:dyDescent="0.3">
      <c r="A313" t="s">
        <v>2341</v>
      </c>
      <c r="B313" s="3" t="s">
        <v>2826</v>
      </c>
      <c r="C313" t="s">
        <v>2340</v>
      </c>
      <c r="D313" s="9">
        <f>VLOOKUP(A313,[2]Sheet1!$A:$C,3,0)</f>
        <v>0</v>
      </c>
      <c r="J313" s="1"/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6" x14ac:dyDescent="0.3">
      <c r="A314" t="s">
        <v>2339</v>
      </c>
      <c r="B314" s="3" t="s">
        <v>2826</v>
      </c>
      <c r="C314" t="s">
        <v>2338</v>
      </c>
      <c r="D314" s="9">
        <f>VLOOKUP(A314,[2]Sheet1!$A:$C,3,0)</f>
        <v>9</v>
      </c>
      <c r="J314" s="1"/>
      <c r="K314" s="2">
        <v>0</v>
      </c>
      <c r="L314" s="1">
        <v>60</v>
      </c>
      <c r="M314" s="1">
        <v>75</v>
      </c>
      <c r="N314" s="1">
        <v>85</v>
      </c>
      <c r="O314" s="1">
        <v>90</v>
      </c>
    </row>
    <row r="315" spans="1:16" x14ac:dyDescent="0.3">
      <c r="A315" t="s">
        <v>2337</v>
      </c>
      <c r="B315" s="3" t="s">
        <v>2826</v>
      </c>
      <c r="C315" t="s">
        <v>2336</v>
      </c>
      <c r="D315" s="9">
        <f>VLOOKUP(A315,[2]Sheet1!$A:$C,3,0)</f>
        <v>0</v>
      </c>
      <c r="J315" s="1"/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6" x14ac:dyDescent="0.3">
      <c r="A316" t="s">
        <v>1938</v>
      </c>
      <c r="B316" s="3" t="s">
        <v>2826</v>
      </c>
      <c r="C316" t="s">
        <v>1937</v>
      </c>
      <c r="D316" s="9">
        <f>VLOOKUP(A316,[2]Sheet1!$A:$C,3,0)</f>
        <v>45</v>
      </c>
      <c r="J316" s="1"/>
      <c r="K316" s="2">
        <v>0</v>
      </c>
      <c r="L316" s="1">
        <v>450</v>
      </c>
      <c r="M316" s="1">
        <v>465</v>
      </c>
      <c r="N316" s="1">
        <v>480</v>
      </c>
      <c r="O316" s="1">
        <v>515</v>
      </c>
    </row>
    <row r="317" spans="1:16" x14ac:dyDescent="0.3">
      <c r="A317" t="s">
        <v>1936</v>
      </c>
      <c r="B317" s="3" t="s">
        <v>2826</v>
      </c>
      <c r="C317" t="s">
        <v>1935</v>
      </c>
      <c r="D317" s="9">
        <f>VLOOKUP(A317,[2]Sheet1!$A:$C,3,0)</f>
        <v>44</v>
      </c>
      <c r="J317" s="1"/>
      <c r="K317" s="2">
        <v>0</v>
      </c>
      <c r="L317" s="1">
        <v>450</v>
      </c>
      <c r="M317" s="1">
        <v>465</v>
      </c>
      <c r="N317" s="1">
        <v>480</v>
      </c>
      <c r="O317" s="1">
        <v>515</v>
      </c>
    </row>
    <row r="318" spans="1:16" x14ac:dyDescent="0.3">
      <c r="A318" t="s">
        <v>1748</v>
      </c>
      <c r="B318" s="3" t="s">
        <v>2826</v>
      </c>
      <c r="C318" t="s">
        <v>1747</v>
      </c>
      <c r="D318" s="9">
        <f>VLOOKUP(A318,[2]Sheet1!$A:$C,3,0)</f>
        <v>30</v>
      </c>
      <c r="J318" s="1"/>
      <c r="K318" s="2">
        <v>0</v>
      </c>
      <c r="L318" s="1">
        <v>450</v>
      </c>
      <c r="M318" s="1">
        <v>465</v>
      </c>
      <c r="N318" s="1">
        <v>480</v>
      </c>
      <c r="O318" s="1">
        <v>515</v>
      </c>
    </row>
    <row r="319" spans="1:16" x14ac:dyDescent="0.3">
      <c r="A319" t="s">
        <v>1746</v>
      </c>
      <c r="B319" s="3" t="s">
        <v>2826</v>
      </c>
      <c r="C319" t="s">
        <v>1745</v>
      </c>
      <c r="D319" s="9">
        <f>VLOOKUP(A319,[2]Sheet1!$A:$C,3,0)</f>
        <v>28</v>
      </c>
      <c r="J319" s="1"/>
      <c r="K319" s="2">
        <v>0</v>
      </c>
      <c r="L319" s="1">
        <v>450</v>
      </c>
      <c r="M319" s="1">
        <v>465</v>
      </c>
      <c r="N319" s="1">
        <v>480</v>
      </c>
      <c r="O319" s="1">
        <v>515</v>
      </c>
    </row>
    <row r="320" spans="1:16" x14ac:dyDescent="0.3">
      <c r="A320" t="s">
        <v>2335</v>
      </c>
      <c r="B320" s="3" t="s">
        <v>2826</v>
      </c>
      <c r="C320" t="s">
        <v>2649</v>
      </c>
      <c r="D320" s="9">
        <f>VLOOKUP(A320,[2]Sheet1!$A:$C,3,0)</f>
        <v>2</v>
      </c>
      <c r="J320" s="1"/>
      <c r="K320" s="2">
        <v>0</v>
      </c>
      <c r="L320" s="1">
        <v>80</v>
      </c>
      <c r="M320" s="1">
        <v>85</v>
      </c>
      <c r="N320" s="1">
        <v>90</v>
      </c>
      <c r="O320" s="1">
        <v>100</v>
      </c>
    </row>
    <row r="321" spans="1:16" x14ac:dyDescent="0.3">
      <c r="A321" t="s">
        <v>2334</v>
      </c>
      <c r="B321" s="3" t="s">
        <v>2826</v>
      </c>
      <c r="C321" t="s">
        <v>2333</v>
      </c>
      <c r="D321" s="9">
        <f>VLOOKUP(A321,[2]Sheet1!$A:$C,3,0)</f>
        <v>7</v>
      </c>
      <c r="J321" s="1"/>
      <c r="K321" s="2">
        <v>0</v>
      </c>
      <c r="L321" s="1">
        <v>80</v>
      </c>
      <c r="M321" s="1">
        <v>85</v>
      </c>
      <c r="N321" s="1">
        <v>90</v>
      </c>
      <c r="O321" s="1">
        <v>100</v>
      </c>
    </row>
    <row r="322" spans="1:16" x14ac:dyDescent="0.3">
      <c r="A322" t="s">
        <v>2650</v>
      </c>
      <c r="B322" s="3" t="s">
        <v>2826</v>
      </c>
      <c r="C322" t="s">
        <v>2651</v>
      </c>
      <c r="D322" s="9">
        <f>VLOOKUP(A322,[2]Sheet1!$A:$C,3,0)</f>
        <v>3</v>
      </c>
      <c r="J322" s="1"/>
      <c r="K322" s="2">
        <v>0</v>
      </c>
      <c r="L322" s="1">
        <v>63</v>
      </c>
      <c r="M322" s="1">
        <v>65</v>
      </c>
      <c r="N322" s="1">
        <v>68</v>
      </c>
      <c r="O322" s="1">
        <v>70</v>
      </c>
    </row>
    <row r="323" spans="1:16" x14ac:dyDescent="0.3">
      <c r="A323" t="s">
        <v>2332</v>
      </c>
      <c r="B323" s="3" t="s">
        <v>2826</v>
      </c>
      <c r="C323" t="s">
        <v>2331</v>
      </c>
      <c r="D323" s="9">
        <f>VLOOKUP(A323,[2]Sheet1!$A:$C,3,0)</f>
        <v>0</v>
      </c>
      <c r="J323" s="1"/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6" x14ac:dyDescent="0.3">
      <c r="A324" t="s">
        <v>2330</v>
      </c>
      <c r="B324" s="3" t="s">
        <v>2826</v>
      </c>
      <c r="C324" t="s">
        <v>2329</v>
      </c>
      <c r="D324" s="9">
        <f>VLOOKUP(A324,[2]Sheet1!$A:$C,3,0)</f>
        <v>0</v>
      </c>
      <c r="J324" s="1"/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6" x14ac:dyDescent="0.3">
      <c r="A325" t="s">
        <v>2328</v>
      </c>
      <c r="B325" s="3" t="s">
        <v>2826</v>
      </c>
      <c r="C325" t="s">
        <v>2327</v>
      </c>
      <c r="D325" s="9">
        <f>VLOOKUP(A325,[2]Sheet1!$A:$C,3,0)</f>
        <v>1</v>
      </c>
      <c r="J325" s="1"/>
      <c r="K325" s="2">
        <v>0</v>
      </c>
      <c r="L325" s="1">
        <v>325</v>
      </c>
      <c r="M325" s="1">
        <v>330</v>
      </c>
      <c r="N325" s="1">
        <v>340</v>
      </c>
      <c r="O325" s="1">
        <v>350</v>
      </c>
    </row>
    <row r="326" spans="1:16" x14ac:dyDescent="0.3">
      <c r="A326" t="s">
        <v>2326</v>
      </c>
      <c r="B326" s="3" t="s">
        <v>2826</v>
      </c>
      <c r="C326" t="s">
        <v>2325</v>
      </c>
      <c r="D326" s="9">
        <f>VLOOKUP(A326,[2]Sheet1!$A:$C,3,0)</f>
        <v>0</v>
      </c>
      <c r="J326" s="1"/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6" x14ac:dyDescent="0.3">
      <c r="A327" t="s">
        <v>2652</v>
      </c>
      <c r="B327" s="3" t="s">
        <v>2826</v>
      </c>
      <c r="C327" t="s">
        <v>2653</v>
      </c>
      <c r="D327" s="9">
        <f>VLOOKUP(A327,[2]Sheet1!$A:$C,3,0)</f>
        <v>0</v>
      </c>
      <c r="J327" s="1"/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6" x14ac:dyDescent="0.3">
      <c r="A328" t="s">
        <v>2654</v>
      </c>
      <c r="B328" s="3" t="s">
        <v>2826</v>
      </c>
      <c r="C328" t="s">
        <v>2655</v>
      </c>
      <c r="D328" s="9">
        <f>VLOOKUP(A328,[2]Sheet1!$A:$C,3,0)</f>
        <v>0</v>
      </c>
      <c r="J328" s="1"/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6" x14ac:dyDescent="0.3">
      <c r="A329" t="s">
        <v>2656</v>
      </c>
      <c r="B329" s="3" t="s">
        <v>2826</v>
      </c>
      <c r="C329" t="s">
        <v>2657</v>
      </c>
      <c r="D329" s="9">
        <f>VLOOKUP(A329,[2]Sheet1!$A:$C,3,0)</f>
        <v>0</v>
      </c>
      <c r="J329" s="1"/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6" x14ac:dyDescent="0.3">
      <c r="A330" t="s">
        <v>2658</v>
      </c>
      <c r="B330" s="3" t="s">
        <v>2826</v>
      </c>
      <c r="C330" t="s">
        <v>2659</v>
      </c>
      <c r="D330" s="9">
        <f>VLOOKUP(A330,[2]Sheet1!$A:$C,3,0)</f>
        <v>0</v>
      </c>
      <c r="J330" s="1"/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6" x14ac:dyDescent="0.3">
      <c r="A331" t="s">
        <v>2324</v>
      </c>
      <c r="B331" s="3" t="s">
        <v>2826</v>
      </c>
      <c r="C331" t="s">
        <v>2323</v>
      </c>
      <c r="D331" s="9">
        <f>VLOOKUP(A331,[2]Sheet1!$A:$C,3,0)</f>
        <v>0</v>
      </c>
      <c r="J331" s="1"/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6" x14ac:dyDescent="0.3">
      <c r="A332" s="9" t="s">
        <v>2322</v>
      </c>
      <c r="B332" s="10" t="s">
        <v>2826</v>
      </c>
      <c r="C332" s="9" t="s">
        <v>2321</v>
      </c>
      <c r="D332" s="9">
        <f>VLOOKUP(A332,[2]Sheet1!$A:$C,3,0)</f>
        <v>0</v>
      </c>
      <c r="E332" s="10">
        <v>0</v>
      </c>
      <c r="F332" s="10"/>
      <c r="G332" s="28">
        <v>0</v>
      </c>
      <c r="H332" s="10">
        <v>0</v>
      </c>
      <c r="I332" s="13">
        <v>0</v>
      </c>
      <c r="J332" s="10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9"/>
    </row>
    <row r="333" spans="1:16" x14ac:dyDescent="0.3">
      <c r="A333" t="s">
        <v>2320</v>
      </c>
      <c r="B333" s="3" t="s">
        <v>2826</v>
      </c>
      <c r="C333" t="s">
        <v>2660</v>
      </c>
      <c r="D333" s="9">
        <f>VLOOKUP(A333,[2]Sheet1!$A:$C,3,0)</f>
        <v>0</v>
      </c>
      <c r="J333" s="1"/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6" x14ac:dyDescent="0.3">
      <c r="A334" t="s">
        <v>2319</v>
      </c>
      <c r="B334" s="3" t="s">
        <v>2826</v>
      </c>
      <c r="C334" t="s">
        <v>2318</v>
      </c>
      <c r="D334" s="9">
        <f>VLOOKUP(A334,[2]Sheet1!$A:$C,3,0)</f>
        <v>0</v>
      </c>
      <c r="J334" s="1"/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6" x14ac:dyDescent="0.3">
      <c r="A335" t="s">
        <v>2661</v>
      </c>
      <c r="B335" s="3" t="s">
        <v>2826</v>
      </c>
      <c r="C335" t="s">
        <v>2662</v>
      </c>
      <c r="D335" s="9">
        <f>VLOOKUP(A335,[2]Sheet1!$A:$C,3,0)</f>
        <v>0</v>
      </c>
      <c r="J335" s="1"/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6" x14ac:dyDescent="0.3">
      <c r="A336" t="s">
        <v>2663</v>
      </c>
      <c r="B336" s="3" t="s">
        <v>2826</v>
      </c>
      <c r="C336" t="s">
        <v>2664</v>
      </c>
      <c r="D336" s="9">
        <f>VLOOKUP(A336,[2]Sheet1!$A:$C,3,0)</f>
        <v>23</v>
      </c>
      <c r="J336" s="1"/>
      <c r="K336" s="2">
        <v>0</v>
      </c>
      <c r="L336" s="1">
        <v>55</v>
      </c>
      <c r="M336" s="1">
        <v>60</v>
      </c>
      <c r="N336" s="1">
        <v>65</v>
      </c>
      <c r="O336" s="1">
        <v>70</v>
      </c>
    </row>
    <row r="337" spans="1:16" x14ac:dyDescent="0.3">
      <c r="A337" t="s">
        <v>2317</v>
      </c>
      <c r="B337" s="3" t="s">
        <v>2826</v>
      </c>
      <c r="C337" t="s">
        <v>2316</v>
      </c>
      <c r="D337" s="9">
        <f>VLOOKUP(A337,[2]Sheet1!$A:$C,3,0)</f>
        <v>0</v>
      </c>
      <c r="J337" s="1"/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6" x14ac:dyDescent="0.3">
      <c r="A338" t="s">
        <v>2315</v>
      </c>
      <c r="B338" s="3" t="s">
        <v>2826</v>
      </c>
      <c r="C338" t="s">
        <v>2314</v>
      </c>
      <c r="D338" s="9">
        <f>VLOOKUP(A338,[2]Sheet1!$A:$C,3,0)</f>
        <v>12</v>
      </c>
      <c r="J338" s="1"/>
      <c r="K338" s="2">
        <v>0</v>
      </c>
      <c r="L338" s="1">
        <v>90</v>
      </c>
      <c r="M338" s="1">
        <v>95</v>
      </c>
      <c r="N338" s="1">
        <v>100</v>
      </c>
      <c r="O338" s="1">
        <v>105</v>
      </c>
    </row>
    <row r="339" spans="1:16" x14ac:dyDescent="0.3">
      <c r="A339" t="s">
        <v>2313</v>
      </c>
      <c r="B339" s="3" t="s">
        <v>2826</v>
      </c>
      <c r="C339" t="s">
        <v>2665</v>
      </c>
      <c r="D339" s="11">
        <f>VLOOKUP(A339,[2]Sheet1!$A:$C,3,0)</f>
        <v>563</v>
      </c>
      <c r="E339" s="3" t="s">
        <v>2915</v>
      </c>
      <c r="H339" s="1">
        <v>81</v>
      </c>
      <c r="I339" s="4">
        <v>0.38</v>
      </c>
      <c r="J339" s="1">
        <f>H339-(H339*38/100)</f>
        <v>50.22</v>
      </c>
      <c r="K339" s="5">
        <v>57</v>
      </c>
      <c r="L339" s="5">
        <v>58</v>
      </c>
      <c r="M339" s="5">
        <v>60</v>
      </c>
      <c r="N339" s="5">
        <v>63</v>
      </c>
      <c r="O339" s="5">
        <v>65</v>
      </c>
      <c r="P339" t="s">
        <v>2917</v>
      </c>
    </row>
    <row r="340" spans="1:16" x14ac:dyDescent="0.3">
      <c r="A340" s="7" t="s">
        <v>2313</v>
      </c>
      <c r="B340" s="8" t="s">
        <v>2826</v>
      </c>
      <c r="C340" s="7" t="s">
        <v>2665</v>
      </c>
      <c r="D340" s="11">
        <f>VLOOKUP(A340,[2]Sheet1!$A:$C,3,0)</f>
        <v>563</v>
      </c>
      <c r="E340" s="8" t="s">
        <v>2916</v>
      </c>
      <c r="F340" s="8"/>
      <c r="G340" s="32"/>
      <c r="H340" s="6">
        <v>81</v>
      </c>
      <c r="I340" s="14">
        <v>0.36</v>
      </c>
      <c r="J340" s="6">
        <f>H340-(H340*36/100)</f>
        <v>51.84</v>
      </c>
      <c r="K340" s="6">
        <v>58</v>
      </c>
      <c r="L340" s="6">
        <v>60</v>
      </c>
      <c r="M340" s="6">
        <v>63</v>
      </c>
      <c r="N340" s="6">
        <v>65</v>
      </c>
      <c r="O340" s="6">
        <v>70</v>
      </c>
      <c r="P340" t="s">
        <v>2917</v>
      </c>
    </row>
    <row r="341" spans="1:16" x14ac:dyDescent="0.3">
      <c r="A341" t="s">
        <v>2312</v>
      </c>
      <c r="B341" s="3" t="s">
        <v>2826</v>
      </c>
      <c r="C341" t="s">
        <v>2666</v>
      </c>
      <c r="D341" s="11">
        <f>VLOOKUP(A341,[2]Sheet1!$A:$C,3,0)</f>
        <v>628</v>
      </c>
      <c r="E341" s="3" t="s">
        <v>2915</v>
      </c>
      <c r="H341" s="1">
        <v>91</v>
      </c>
      <c r="I341" s="4">
        <v>0.38</v>
      </c>
      <c r="J341" s="1">
        <f>H341-(H341*38/100)</f>
        <v>56.42</v>
      </c>
      <c r="K341" s="1">
        <v>63</v>
      </c>
      <c r="L341" s="1">
        <v>66</v>
      </c>
      <c r="M341" s="1">
        <v>68</v>
      </c>
      <c r="N341" s="1">
        <v>70</v>
      </c>
      <c r="O341" s="1">
        <v>73</v>
      </c>
    </row>
    <row r="342" spans="1:16" x14ac:dyDescent="0.3">
      <c r="A342" s="7" t="s">
        <v>2312</v>
      </c>
      <c r="B342" s="8" t="s">
        <v>2826</v>
      </c>
      <c r="C342" s="7" t="s">
        <v>2666</v>
      </c>
      <c r="D342" s="11">
        <f>VLOOKUP(A342,[2]Sheet1!$A:$C,3,0)</f>
        <v>628</v>
      </c>
      <c r="E342" s="8" t="s">
        <v>2916</v>
      </c>
      <c r="F342" s="8"/>
      <c r="G342" s="32"/>
      <c r="H342" s="6">
        <v>91</v>
      </c>
      <c r="I342" s="15">
        <v>0.36</v>
      </c>
      <c r="J342" s="6">
        <f>H342-(H342*36/100)</f>
        <v>58.24</v>
      </c>
      <c r="K342" s="6">
        <v>66</v>
      </c>
      <c r="L342" s="6">
        <v>68</v>
      </c>
      <c r="M342" s="6">
        <v>70</v>
      </c>
      <c r="N342" s="6">
        <v>73</v>
      </c>
      <c r="O342" s="6">
        <v>76</v>
      </c>
    </row>
    <row r="343" spans="1:16" x14ac:dyDescent="0.3">
      <c r="A343" t="s">
        <v>2311</v>
      </c>
      <c r="B343" s="3" t="s">
        <v>2826</v>
      </c>
      <c r="C343" t="s">
        <v>2667</v>
      </c>
      <c r="D343" s="11">
        <f>VLOOKUP(A343,[2]Sheet1!$A:$C,3,0)</f>
        <v>451</v>
      </c>
      <c r="E343" s="3" t="s">
        <v>2915</v>
      </c>
      <c r="H343" s="1">
        <v>104</v>
      </c>
      <c r="I343" s="4">
        <v>0.38</v>
      </c>
      <c r="J343" s="1">
        <f>H343-(H343*38/100)</f>
        <v>64.47999999999999</v>
      </c>
      <c r="K343" s="1">
        <v>74</v>
      </c>
      <c r="L343" s="1">
        <v>76</v>
      </c>
      <c r="M343" s="1">
        <v>78</v>
      </c>
      <c r="N343" s="1">
        <v>80</v>
      </c>
      <c r="O343" s="1">
        <v>85</v>
      </c>
    </row>
    <row r="344" spans="1:16" x14ac:dyDescent="0.3">
      <c r="A344" s="7" t="s">
        <v>2311</v>
      </c>
      <c r="B344" s="8" t="s">
        <v>2826</v>
      </c>
      <c r="C344" s="7" t="s">
        <v>2667</v>
      </c>
      <c r="D344" s="11">
        <f>VLOOKUP(A344,[2]Sheet1!$A:$C,3,0)</f>
        <v>451</v>
      </c>
      <c r="E344" s="8" t="s">
        <v>2916</v>
      </c>
      <c r="F344" s="8"/>
      <c r="G344" s="32"/>
      <c r="H344" s="6">
        <v>104</v>
      </c>
      <c r="I344" s="15">
        <v>0.36</v>
      </c>
      <c r="J344" s="6">
        <f>H344-(H344*36/100)</f>
        <v>66.56</v>
      </c>
      <c r="K344" s="6">
        <v>76</v>
      </c>
      <c r="L344" s="6">
        <v>78</v>
      </c>
      <c r="M344" s="6">
        <v>80</v>
      </c>
      <c r="N344" s="6">
        <v>85</v>
      </c>
      <c r="O344" s="6">
        <v>88</v>
      </c>
    </row>
    <row r="345" spans="1:16" x14ac:dyDescent="0.3">
      <c r="A345" t="s">
        <v>2310</v>
      </c>
      <c r="B345" s="3" t="s">
        <v>2826</v>
      </c>
      <c r="C345" t="s">
        <v>2668</v>
      </c>
      <c r="D345" s="11">
        <f>VLOOKUP(A345,[2]Sheet1!$A:$C,3,0)</f>
        <v>335</v>
      </c>
      <c r="E345" s="3" t="s">
        <v>2915</v>
      </c>
      <c r="H345" s="1">
        <v>120</v>
      </c>
      <c r="I345" s="4">
        <v>0.38</v>
      </c>
      <c r="J345" s="1">
        <f>H345-(H345*38/100)</f>
        <v>74.400000000000006</v>
      </c>
      <c r="K345" s="1">
        <v>83</v>
      </c>
      <c r="L345" s="1">
        <v>86</v>
      </c>
      <c r="M345" s="1">
        <v>90</v>
      </c>
      <c r="N345" s="1">
        <v>95</v>
      </c>
      <c r="O345" s="1">
        <v>100</v>
      </c>
    </row>
    <row r="346" spans="1:16" x14ac:dyDescent="0.3">
      <c r="A346" s="7" t="s">
        <v>2310</v>
      </c>
      <c r="B346" s="8" t="s">
        <v>2826</v>
      </c>
      <c r="C346" s="7" t="s">
        <v>2668</v>
      </c>
      <c r="D346" s="11">
        <f>VLOOKUP(A346,[2]Sheet1!$A:$C,3,0)</f>
        <v>335</v>
      </c>
      <c r="E346" s="8" t="s">
        <v>2916</v>
      </c>
      <c r="F346" s="8"/>
      <c r="G346" s="32"/>
      <c r="H346" s="6">
        <v>120</v>
      </c>
      <c r="I346" s="15">
        <v>0.36</v>
      </c>
      <c r="J346" s="6">
        <f>H346-(H346*36/100)</f>
        <v>76.8</v>
      </c>
      <c r="K346" s="6">
        <v>86</v>
      </c>
      <c r="L346" s="6">
        <v>90</v>
      </c>
      <c r="M346" s="6">
        <v>95</v>
      </c>
      <c r="N346" s="6">
        <v>100</v>
      </c>
      <c r="O346" s="6">
        <v>110</v>
      </c>
    </row>
    <row r="347" spans="1:16" ht="15.6" customHeight="1" x14ac:dyDescent="0.3">
      <c r="A347" t="s">
        <v>2309</v>
      </c>
      <c r="B347" s="3" t="s">
        <v>2826</v>
      </c>
      <c r="C347" t="s">
        <v>2669</v>
      </c>
      <c r="D347" s="11">
        <f>VLOOKUP(A347,[2]Sheet1!$A:$C,3,0)</f>
        <v>419</v>
      </c>
      <c r="E347" s="3" t="s">
        <v>2915</v>
      </c>
      <c r="H347" s="1">
        <v>135</v>
      </c>
      <c r="I347" s="4">
        <v>0.38</v>
      </c>
      <c r="J347" s="1">
        <f>H347-(H347*38/100)</f>
        <v>83.7</v>
      </c>
      <c r="K347" s="1">
        <v>95</v>
      </c>
      <c r="L347" s="1">
        <v>98</v>
      </c>
      <c r="M347" s="1">
        <v>100</v>
      </c>
      <c r="N347" s="1">
        <v>105</v>
      </c>
      <c r="O347" s="1">
        <v>108</v>
      </c>
    </row>
    <row r="348" spans="1:16" x14ac:dyDescent="0.3">
      <c r="A348" s="7" t="s">
        <v>2309</v>
      </c>
      <c r="B348" s="8" t="s">
        <v>2826</v>
      </c>
      <c r="C348" s="7" t="s">
        <v>2669</v>
      </c>
      <c r="D348" s="11">
        <f>VLOOKUP(A348,[2]Sheet1!$A:$C,3,0)</f>
        <v>419</v>
      </c>
      <c r="E348" s="8" t="s">
        <v>2916</v>
      </c>
      <c r="F348" s="8"/>
      <c r="G348" s="32"/>
      <c r="H348" s="6">
        <v>135</v>
      </c>
      <c r="I348" s="15">
        <v>0.36</v>
      </c>
      <c r="J348" s="6">
        <f>H348-(H348*36/100)</f>
        <v>86.4</v>
      </c>
      <c r="K348" s="6">
        <v>98</v>
      </c>
      <c r="L348" s="6">
        <v>100</v>
      </c>
      <c r="M348" s="6">
        <v>105</v>
      </c>
      <c r="N348" s="6">
        <v>108</v>
      </c>
      <c r="O348" s="6">
        <v>115</v>
      </c>
    </row>
    <row r="349" spans="1:16" x14ac:dyDescent="0.3">
      <c r="A349" t="s">
        <v>2308</v>
      </c>
      <c r="B349" s="3" t="s">
        <v>2826</v>
      </c>
      <c r="C349" t="s">
        <v>2670</v>
      </c>
      <c r="D349" s="11">
        <f>VLOOKUP(A349,[2]Sheet1!$A:$C,3,0)</f>
        <v>89</v>
      </c>
      <c r="E349" s="3" t="s">
        <v>2915</v>
      </c>
      <c r="H349" s="1">
        <v>176</v>
      </c>
      <c r="I349" s="4">
        <v>0.38</v>
      </c>
      <c r="J349" s="1">
        <f>H349-(H349*38/100)</f>
        <v>109.12</v>
      </c>
      <c r="K349" s="1">
        <v>125</v>
      </c>
      <c r="L349" s="1">
        <v>130</v>
      </c>
      <c r="M349" s="1">
        <v>135</v>
      </c>
      <c r="N349" s="1">
        <v>140</v>
      </c>
      <c r="O349" s="1">
        <v>145</v>
      </c>
    </row>
    <row r="350" spans="1:16" x14ac:dyDescent="0.3">
      <c r="A350" s="7" t="s">
        <v>2308</v>
      </c>
      <c r="B350" s="8" t="s">
        <v>2826</v>
      </c>
      <c r="C350" s="7" t="s">
        <v>2670</v>
      </c>
      <c r="D350" s="11">
        <f>VLOOKUP(A350,[2]Sheet1!$A:$C,3,0)</f>
        <v>89</v>
      </c>
      <c r="E350" s="8" t="s">
        <v>2916</v>
      </c>
      <c r="F350" s="8"/>
      <c r="G350" s="32"/>
      <c r="H350" s="6">
        <v>176</v>
      </c>
      <c r="I350" s="15">
        <v>0.36</v>
      </c>
      <c r="J350" s="6">
        <f>H350-(H350*36/100)</f>
        <v>112.64</v>
      </c>
      <c r="K350" s="6">
        <v>130</v>
      </c>
      <c r="L350" s="6">
        <v>135</v>
      </c>
      <c r="M350" s="6">
        <v>140</v>
      </c>
      <c r="N350" s="6">
        <v>145</v>
      </c>
      <c r="O350" s="6">
        <v>150</v>
      </c>
    </row>
    <row r="351" spans="1:16" x14ac:dyDescent="0.3">
      <c r="A351" t="s">
        <v>2307</v>
      </c>
      <c r="B351" s="3" t="s">
        <v>2826</v>
      </c>
      <c r="C351" t="s">
        <v>2671</v>
      </c>
      <c r="D351" s="11">
        <f>VLOOKUP(A351,[2]Sheet1!$A:$C,3,0)</f>
        <v>0</v>
      </c>
      <c r="E351" s="3" t="s">
        <v>2915</v>
      </c>
      <c r="H351" s="1">
        <v>209</v>
      </c>
      <c r="I351" s="4">
        <v>0.38</v>
      </c>
      <c r="J351" s="1">
        <f>H351-(H351*38/100)</f>
        <v>129.57999999999998</v>
      </c>
      <c r="K351" s="1">
        <v>150</v>
      </c>
      <c r="L351" s="1">
        <v>155</v>
      </c>
      <c r="M351" s="1">
        <v>160</v>
      </c>
      <c r="N351" s="1">
        <v>165</v>
      </c>
      <c r="O351" s="1">
        <v>170</v>
      </c>
    </row>
    <row r="352" spans="1:16" x14ac:dyDescent="0.3">
      <c r="A352" s="7" t="s">
        <v>2307</v>
      </c>
      <c r="B352" s="8" t="s">
        <v>2826</v>
      </c>
      <c r="C352" s="7" t="s">
        <v>2671</v>
      </c>
      <c r="D352" s="11">
        <f>VLOOKUP(A352,[2]Sheet1!$A:$C,3,0)</f>
        <v>0</v>
      </c>
      <c r="E352" s="8" t="s">
        <v>2916</v>
      </c>
      <c r="F352" s="8"/>
      <c r="G352" s="32"/>
      <c r="H352" s="6">
        <v>209</v>
      </c>
      <c r="I352" s="15">
        <v>0.36</v>
      </c>
      <c r="J352" s="6">
        <f>H352-(H352*36/100)</f>
        <v>133.76</v>
      </c>
      <c r="K352" s="6">
        <v>155</v>
      </c>
      <c r="L352" s="6">
        <v>160</v>
      </c>
      <c r="M352" s="6">
        <v>165</v>
      </c>
      <c r="N352" s="6">
        <v>170</v>
      </c>
      <c r="O352" s="6">
        <v>175</v>
      </c>
    </row>
    <row r="353" spans="1:16" x14ac:dyDescent="0.3">
      <c r="A353" t="s">
        <v>2306</v>
      </c>
      <c r="B353" s="3" t="s">
        <v>2826</v>
      </c>
      <c r="C353" t="s">
        <v>2672</v>
      </c>
      <c r="D353" s="11">
        <f>VLOOKUP(A353,[2]Sheet1!$A:$C,3,0)</f>
        <v>44</v>
      </c>
      <c r="E353" s="3" t="s">
        <v>2915</v>
      </c>
      <c r="H353" s="1">
        <v>317</v>
      </c>
      <c r="I353" s="4">
        <v>0.38</v>
      </c>
      <c r="J353" s="1">
        <f>H353-(H353*38/100)</f>
        <v>196.54000000000002</v>
      </c>
      <c r="K353" s="1">
        <v>225</v>
      </c>
      <c r="L353" s="1">
        <v>230</v>
      </c>
      <c r="M353" s="1">
        <v>240</v>
      </c>
      <c r="N353" s="1">
        <v>250</v>
      </c>
      <c r="O353" s="1">
        <v>260</v>
      </c>
    </row>
    <row r="354" spans="1:16" x14ac:dyDescent="0.3">
      <c r="A354" s="7" t="s">
        <v>2306</v>
      </c>
      <c r="B354" s="8" t="s">
        <v>2826</v>
      </c>
      <c r="C354" s="7" t="s">
        <v>2672</v>
      </c>
      <c r="D354" s="11">
        <f>VLOOKUP(A354,[2]Sheet1!$A:$C,3,0)</f>
        <v>44</v>
      </c>
      <c r="E354" s="8" t="s">
        <v>2916</v>
      </c>
      <c r="F354" s="8"/>
      <c r="G354" s="32"/>
      <c r="H354" s="6">
        <v>317</v>
      </c>
      <c r="I354" s="15">
        <v>0.36</v>
      </c>
      <c r="J354" s="6">
        <f>H354-(H354*36/100)</f>
        <v>202.88</v>
      </c>
      <c r="K354" s="6">
        <v>230</v>
      </c>
      <c r="L354" s="6">
        <v>240</v>
      </c>
      <c r="M354" s="6">
        <v>250</v>
      </c>
      <c r="N354" s="6">
        <v>260</v>
      </c>
      <c r="O354" s="6">
        <v>270</v>
      </c>
    </row>
    <row r="355" spans="1:16" x14ac:dyDescent="0.3">
      <c r="A355" t="s">
        <v>2673</v>
      </c>
      <c r="B355" s="3" t="s">
        <v>2826</v>
      </c>
      <c r="C355" t="s">
        <v>2674</v>
      </c>
      <c r="D355" s="9">
        <f>VLOOKUP(A355,[2]Sheet1!$A:$C,3,0)</f>
        <v>100</v>
      </c>
      <c r="J355" s="1"/>
      <c r="K355" s="1">
        <v>80</v>
      </c>
      <c r="L355" s="1">
        <v>85</v>
      </c>
      <c r="M355" s="1">
        <v>95</v>
      </c>
      <c r="N355" s="1">
        <v>100</v>
      </c>
      <c r="O355" s="1">
        <v>105</v>
      </c>
    </row>
    <row r="356" spans="1:16" x14ac:dyDescent="0.3">
      <c r="A356" t="s">
        <v>2675</v>
      </c>
      <c r="B356" s="3" t="s">
        <v>2826</v>
      </c>
      <c r="C356" t="s">
        <v>2676</v>
      </c>
      <c r="D356" s="9">
        <f>VLOOKUP(A356,[2]Sheet1!$A:$C,3,0)</f>
        <v>90</v>
      </c>
      <c r="J356" s="1"/>
      <c r="K356" s="1">
        <v>80</v>
      </c>
      <c r="L356" s="1">
        <v>85</v>
      </c>
      <c r="M356" s="1">
        <v>95</v>
      </c>
      <c r="N356" s="1">
        <v>100</v>
      </c>
      <c r="O356" s="1">
        <v>105</v>
      </c>
    </row>
    <row r="357" spans="1:16" x14ac:dyDescent="0.3">
      <c r="A357" t="s">
        <v>2305</v>
      </c>
      <c r="B357" s="3" t="s">
        <v>2826</v>
      </c>
      <c r="C357" t="s">
        <v>2304</v>
      </c>
      <c r="D357" s="9">
        <f>VLOOKUP(A357,[2]Sheet1!$A:$C,3,0)</f>
        <v>9</v>
      </c>
      <c r="J357" s="1"/>
      <c r="K357" s="2">
        <v>0</v>
      </c>
      <c r="L357" s="1">
        <v>190</v>
      </c>
      <c r="M357" s="1">
        <v>200</v>
      </c>
      <c r="N357" s="1">
        <v>215</v>
      </c>
      <c r="O357" s="1">
        <v>225</v>
      </c>
    </row>
    <row r="358" spans="1:16" x14ac:dyDescent="0.3">
      <c r="A358" t="s">
        <v>2303</v>
      </c>
      <c r="B358" s="3" t="s">
        <v>2826</v>
      </c>
      <c r="C358" t="s">
        <v>2302</v>
      </c>
      <c r="D358" s="9">
        <f>VLOOKUP(A358,[2]Sheet1!$A:$C,3,0)</f>
        <v>0</v>
      </c>
      <c r="J358" s="1"/>
      <c r="K358" s="2">
        <v>0</v>
      </c>
      <c r="L358" s="1">
        <v>220</v>
      </c>
      <c r="M358" s="1">
        <v>230</v>
      </c>
      <c r="N358" s="1">
        <v>246</v>
      </c>
      <c r="O358" s="1">
        <v>255</v>
      </c>
    </row>
    <row r="359" spans="1:16" x14ac:dyDescent="0.3">
      <c r="A359" t="s">
        <v>1934</v>
      </c>
      <c r="B359" s="3" t="s">
        <v>2826</v>
      </c>
      <c r="C359" t="s">
        <v>1933</v>
      </c>
      <c r="D359" s="9">
        <f>VLOOKUP(A359,[2]Sheet1!$A:$C,3,0)</f>
        <v>9</v>
      </c>
      <c r="J359" s="1"/>
      <c r="K359" s="2">
        <v>0</v>
      </c>
      <c r="L359" s="1">
        <v>340</v>
      </c>
      <c r="M359" s="1">
        <v>350</v>
      </c>
      <c r="N359" s="1">
        <v>370</v>
      </c>
      <c r="O359" s="1">
        <v>390</v>
      </c>
    </row>
    <row r="360" spans="1:16" x14ac:dyDescent="0.3">
      <c r="A360" t="s">
        <v>1932</v>
      </c>
      <c r="B360" s="3" t="s">
        <v>2826</v>
      </c>
      <c r="C360" t="s">
        <v>1931</v>
      </c>
      <c r="D360" s="9">
        <f>VLOOKUP(A360,[2]Sheet1!$A:$C,3,0)</f>
        <v>69</v>
      </c>
      <c r="J360" s="1"/>
      <c r="K360" s="2">
        <v>0</v>
      </c>
      <c r="L360" s="1">
        <v>80</v>
      </c>
      <c r="M360" s="1">
        <v>85</v>
      </c>
      <c r="N360" s="1">
        <v>90</v>
      </c>
      <c r="O360" s="1">
        <v>100</v>
      </c>
    </row>
    <row r="361" spans="1:16" x14ac:dyDescent="0.3">
      <c r="A361" t="s">
        <v>1930</v>
      </c>
      <c r="B361" s="3" t="s">
        <v>2826</v>
      </c>
      <c r="C361" t="s">
        <v>1929</v>
      </c>
      <c r="D361" s="9">
        <f>VLOOKUP(A361,[2]Sheet1!$A:$C,3,0)</f>
        <v>10</v>
      </c>
      <c r="J361" s="1"/>
      <c r="K361" s="2">
        <v>0</v>
      </c>
      <c r="L361" s="1">
        <v>120</v>
      </c>
      <c r="M361" s="1">
        <v>125</v>
      </c>
      <c r="N361" s="1">
        <v>130</v>
      </c>
      <c r="O361" s="1">
        <v>145</v>
      </c>
    </row>
    <row r="362" spans="1:16" x14ac:dyDescent="0.3">
      <c r="A362" t="s">
        <v>1928</v>
      </c>
      <c r="B362" s="3" t="s">
        <v>2826</v>
      </c>
      <c r="C362" t="s">
        <v>1927</v>
      </c>
      <c r="D362" s="9">
        <f>VLOOKUP(A362,[2]Sheet1!$A:$C,3,0)</f>
        <v>9</v>
      </c>
      <c r="J362" s="1"/>
      <c r="K362" s="2">
        <v>0</v>
      </c>
      <c r="L362" s="1">
        <v>245</v>
      </c>
      <c r="M362" s="1">
        <v>260</v>
      </c>
      <c r="N362" s="1">
        <v>265</v>
      </c>
      <c r="O362" s="1">
        <v>280</v>
      </c>
    </row>
    <row r="363" spans="1:16" x14ac:dyDescent="0.3">
      <c r="A363" t="s">
        <v>1744</v>
      </c>
      <c r="B363" s="3" t="s">
        <v>2826</v>
      </c>
      <c r="C363" t="s">
        <v>1743</v>
      </c>
      <c r="D363" s="9">
        <f>VLOOKUP(A363,[2]Sheet1!$A:$C,3,0)</f>
        <v>0</v>
      </c>
      <c r="J363" s="1"/>
      <c r="K363" s="2">
        <v>0</v>
      </c>
      <c r="L363" s="1">
        <v>340</v>
      </c>
      <c r="M363" s="1">
        <v>350</v>
      </c>
      <c r="N363" s="1">
        <v>370</v>
      </c>
      <c r="O363" s="1">
        <v>390</v>
      </c>
    </row>
    <row r="364" spans="1:16" x14ac:dyDescent="0.3">
      <c r="A364" t="s">
        <v>1742</v>
      </c>
      <c r="B364" s="3" t="s">
        <v>2826</v>
      </c>
      <c r="C364" t="s">
        <v>1741</v>
      </c>
      <c r="D364" s="9">
        <f>VLOOKUP(A364,[2]Sheet1!$A:$C,3,0)</f>
        <v>4</v>
      </c>
      <c r="J364" s="1"/>
      <c r="K364" s="2">
        <v>0</v>
      </c>
      <c r="L364" s="1">
        <v>80</v>
      </c>
      <c r="M364" s="1">
        <v>85</v>
      </c>
      <c r="N364" s="1">
        <v>90</v>
      </c>
      <c r="O364" s="1">
        <v>100</v>
      </c>
    </row>
    <row r="365" spans="1:16" x14ac:dyDescent="0.3">
      <c r="A365" t="s">
        <v>1740</v>
      </c>
      <c r="B365" s="3" t="s">
        <v>2826</v>
      </c>
      <c r="C365" t="s">
        <v>1739</v>
      </c>
      <c r="D365" s="9">
        <f>VLOOKUP(A365,[2]Sheet1!$A:$C,3,0)</f>
        <v>0</v>
      </c>
      <c r="J365" s="1"/>
      <c r="K365" s="2">
        <v>0</v>
      </c>
      <c r="L365" s="1">
        <v>120</v>
      </c>
      <c r="M365" s="1">
        <v>125</v>
      </c>
      <c r="N365" s="1">
        <v>130</v>
      </c>
      <c r="O365" s="1">
        <v>145</v>
      </c>
    </row>
    <row r="366" spans="1:16" x14ac:dyDescent="0.3">
      <c r="A366" t="s">
        <v>1738</v>
      </c>
      <c r="B366" s="3" t="s">
        <v>2826</v>
      </c>
      <c r="C366" t="s">
        <v>1737</v>
      </c>
      <c r="D366" s="9">
        <f>VLOOKUP(A366,[2]Sheet1!$A:$C,3,0)</f>
        <v>0</v>
      </c>
      <c r="J366" s="1"/>
      <c r="K366" s="2">
        <v>0</v>
      </c>
      <c r="L366" s="1">
        <v>245</v>
      </c>
      <c r="M366" s="1">
        <v>260</v>
      </c>
      <c r="N366" s="1">
        <v>265</v>
      </c>
      <c r="O366" s="1">
        <v>280</v>
      </c>
    </row>
    <row r="367" spans="1:16" x14ac:dyDescent="0.3">
      <c r="A367" t="s">
        <v>2301</v>
      </c>
      <c r="B367" s="3" t="s">
        <v>2826</v>
      </c>
      <c r="C367" t="s">
        <v>2300</v>
      </c>
      <c r="D367" s="9">
        <f>VLOOKUP(A367,[2]Sheet1!$A:$C,3,0)</f>
        <v>0</v>
      </c>
      <c r="J367" s="1"/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t="s">
        <v>2784</v>
      </c>
    </row>
    <row r="368" spans="1:16" x14ac:dyDescent="0.3">
      <c r="A368" t="s">
        <v>2066</v>
      </c>
      <c r="B368" s="3" t="s">
        <v>2826</v>
      </c>
      <c r="C368" t="s">
        <v>2065</v>
      </c>
      <c r="D368" s="9">
        <f>VLOOKUP(A368,[2]Sheet1!$A:$C,3,0)</f>
        <v>172</v>
      </c>
      <c r="J368" s="1"/>
      <c r="K368" s="2">
        <v>0</v>
      </c>
      <c r="L368" s="1">
        <v>58</v>
      </c>
      <c r="M368" s="1">
        <v>60</v>
      </c>
      <c r="N368" s="1">
        <v>65</v>
      </c>
      <c r="O368" s="1">
        <v>74</v>
      </c>
    </row>
    <row r="369" spans="1:16" x14ac:dyDescent="0.3">
      <c r="A369" t="s">
        <v>1926</v>
      </c>
      <c r="B369" s="3" t="s">
        <v>2826</v>
      </c>
      <c r="C369" t="s">
        <v>1925</v>
      </c>
      <c r="D369" s="9">
        <f>VLOOKUP(A369,[2]Sheet1!$A:$C,3,0)</f>
        <v>68</v>
      </c>
      <c r="J369" s="1"/>
      <c r="K369" s="2">
        <v>0</v>
      </c>
      <c r="L369" s="1">
        <v>58</v>
      </c>
      <c r="M369" s="1">
        <v>60</v>
      </c>
      <c r="N369" s="1">
        <v>65</v>
      </c>
      <c r="O369" s="1">
        <v>74</v>
      </c>
    </row>
    <row r="370" spans="1:16" x14ac:dyDescent="0.3">
      <c r="A370" t="s">
        <v>1736</v>
      </c>
      <c r="B370" s="3" t="s">
        <v>2826</v>
      </c>
      <c r="C370" t="s">
        <v>1735</v>
      </c>
      <c r="D370" s="9">
        <f>VLOOKUP(A370,[2]Sheet1!$A:$C,3,0)</f>
        <v>50</v>
      </c>
      <c r="J370" s="1"/>
      <c r="K370" s="2">
        <v>0</v>
      </c>
      <c r="L370" s="1">
        <v>58</v>
      </c>
      <c r="M370" s="1">
        <v>60</v>
      </c>
      <c r="N370" s="1">
        <v>65</v>
      </c>
      <c r="O370" s="1">
        <v>74</v>
      </c>
    </row>
    <row r="371" spans="1:16" x14ac:dyDescent="0.3">
      <c r="A371" s="9" t="s">
        <v>2299</v>
      </c>
      <c r="B371" s="10" t="s">
        <v>2826</v>
      </c>
      <c r="C371" s="9" t="s">
        <v>2298</v>
      </c>
      <c r="D371" s="9">
        <f>VLOOKUP(A371,[2]Sheet1!$A:$C,3,0)</f>
        <v>0</v>
      </c>
      <c r="E371" s="10">
        <v>0</v>
      </c>
      <c r="F371" s="10"/>
      <c r="G371" s="28">
        <v>0</v>
      </c>
      <c r="H371" s="10">
        <v>0</v>
      </c>
      <c r="I371" s="13">
        <v>0</v>
      </c>
      <c r="J371" s="10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9"/>
    </row>
    <row r="372" spans="1:16" x14ac:dyDescent="0.3">
      <c r="A372" t="s">
        <v>2297</v>
      </c>
      <c r="B372" s="3" t="s">
        <v>2826</v>
      </c>
      <c r="C372" t="s">
        <v>2296</v>
      </c>
      <c r="D372" s="9">
        <f>VLOOKUP(A372,[2]Sheet1!$A:$C,3,0)</f>
        <v>1821</v>
      </c>
      <c r="J372" s="1"/>
      <c r="K372" s="2">
        <v>0</v>
      </c>
      <c r="L372" s="1">
        <v>9</v>
      </c>
      <c r="M372" s="1">
        <v>10</v>
      </c>
      <c r="N372" s="1">
        <v>11.5</v>
      </c>
      <c r="O372" s="1">
        <v>12</v>
      </c>
    </row>
    <row r="373" spans="1:16" x14ac:dyDescent="0.3">
      <c r="A373" t="s">
        <v>2295</v>
      </c>
      <c r="B373" s="3" t="s">
        <v>2826</v>
      </c>
      <c r="C373" t="s">
        <v>2294</v>
      </c>
      <c r="D373" s="9">
        <f>VLOOKUP(A373,[2]Sheet1!$A:$C,3,0)</f>
        <v>0</v>
      </c>
      <c r="J373" s="1"/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6" x14ac:dyDescent="0.3">
      <c r="A374" t="s">
        <v>2293</v>
      </c>
      <c r="B374" s="3" t="s">
        <v>2826</v>
      </c>
      <c r="C374" t="s">
        <v>2292</v>
      </c>
      <c r="D374" s="9">
        <f>VLOOKUP(A374,[2]Sheet1!$A:$C,3,0)</f>
        <v>58</v>
      </c>
      <c r="J374" s="1"/>
      <c r="K374" s="2">
        <v>0</v>
      </c>
      <c r="L374" s="1">
        <v>14</v>
      </c>
      <c r="M374" s="1">
        <v>15</v>
      </c>
      <c r="N374" s="1">
        <v>18</v>
      </c>
      <c r="O374" s="1">
        <v>20</v>
      </c>
    </row>
    <row r="375" spans="1:16" x14ac:dyDescent="0.3">
      <c r="A375" t="s">
        <v>2291</v>
      </c>
      <c r="B375" s="3" t="s">
        <v>2826</v>
      </c>
      <c r="C375" t="s">
        <v>2290</v>
      </c>
      <c r="D375" s="9">
        <f>VLOOKUP(A375,[2]Sheet1!$A:$C,3,0)</f>
        <v>346</v>
      </c>
      <c r="J375" s="1"/>
      <c r="K375" s="2">
        <v>0</v>
      </c>
      <c r="L375" s="1">
        <v>22</v>
      </c>
      <c r="M375" s="1">
        <v>23</v>
      </c>
      <c r="N375" s="1">
        <v>24</v>
      </c>
      <c r="O375" s="1">
        <v>26</v>
      </c>
    </row>
    <row r="376" spans="1:16" x14ac:dyDescent="0.3">
      <c r="A376" t="s">
        <v>2289</v>
      </c>
      <c r="B376" s="3" t="s">
        <v>2826</v>
      </c>
      <c r="C376" t="s">
        <v>2288</v>
      </c>
      <c r="D376" s="9">
        <f>VLOOKUP(A376,[2]Sheet1!$A:$C,3,0)</f>
        <v>134</v>
      </c>
      <c r="J376" s="1"/>
      <c r="K376" s="2">
        <v>0</v>
      </c>
      <c r="L376" s="1">
        <v>22</v>
      </c>
      <c r="M376" s="1">
        <v>23</v>
      </c>
      <c r="N376" s="1">
        <v>24</v>
      </c>
      <c r="O376" s="1">
        <v>26</v>
      </c>
    </row>
    <row r="377" spans="1:16" x14ac:dyDescent="0.3">
      <c r="A377" t="s">
        <v>1924</v>
      </c>
      <c r="B377" s="3" t="s">
        <v>2826</v>
      </c>
      <c r="C377" t="s">
        <v>1923</v>
      </c>
      <c r="D377" s="9">
        <f>VLOOKUP(A377,[2]Sheet1!$A:$C,3,0)</f>
        <v>0</v>
      </c>
      <c r="J377" s="1"/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6" x14ac:dyDescent="0.3">
      <c r="A378" t="s">
        <v>1922</v>
      </c>
      <c r="B378" s="3" t="s">
        <v>2826</v>
      </c>
      <c r="C378" t="s">
        <v>1921</v>
      </c>
      <c r="D378" s="9">
        <f>VLOOKUP(A378,[2]Sheet1!$A:$C,3,0)</f>
        <v>2290</v>
      </c>
      <c r="J378" s="1"/>
      <c r="K378" s="1">
        <v>3</v>
      </c>
      <c r="L378" s="1">
        <v>3.25</v>
      </c>
      <c r="M378" s="1">
        <v>3.5</v>
      </c>
      <c r="N378" s="1">
        <v>4</v>
      </c>
      <c r="O378" s="1">
        <v>6</v>
      </c>
    </row>
    <row r="379" spans="1:16" x14ac:dyDescent="0.3">
      <c r="A379" t="s">
        <v>1920</v>
      </c>
      <c r="B379" s="3" t="s">
        <v>2826</v>
      </c>
      <c r="C379" t="s">
        <v>1919</v>
      </c>
      <c r="D379" s="9">
        <f>VLOOKUP(A379,[2]Sheet1!$A:$C,3,0)</f>
        <v>2094</v>
      </c>
      <c r="J379" s="1"/>
      <c r="K379" s="1">
        <v>0.76908710999999996</v>
      </c>
      <c r="L379" s="1">
        <v>0.79384526219999996</v>
      </c>
      <c r="M379" s="1">
        <v>0.82033989600000001</v>
      </c>
      <c r="N379" s="1">
        <v>0.86862471599999991</v>
      </c>
      <c r="O379" s="1">
        <v>3</v>
      </c>
    </row>
    <row r="380" spans="1:16" x14ac:dyDescent="0.3">
      <c r="A380" t="s">
        <v>1918</v>
      </c>
      <c r="B380" s="3" t="s">
        <v>2826</v>
      </c>
      <c r="C380" t="s">
        <v>1917</v>
      </c>
      <c r="D380" s="9">
        <f>VLOOKUP(A380,[2]Sheet1!$A:$C,3,0)</f>
        <v>276</v>
      </c>
      <c r="J380" s="1"/>
      <c r="K380" s="2">
        <v>0</v>
      </c>
      <c r="L380" s="1">
        <v>5</v>
      </c>
      <c r="M380" s="1">
        <v>6</v>
      </c>
      <c r="N380" s="1">
        <v>8</v>
      </c>
      <c r="O380" s="1">
        <v>10</v>
      </c>
    </row>
    <row r="381" spans="1:16" x14ac:dyDescent="0.3">
      <c r="A381" t="s">
        <v>1916</v>
      </c>
      <c r="B381" s="3" t="s">
        <v>2826</v>
      </c>
      <c r="C381" t="s">
        <v>1915</v>
      </c>
      <c r="D381" s="9">
        <f>VLOOKUP(A381,[2]Sheet1!$A:$C,3,0)</f>
        <v>237</v>
      </c>
      <c r="J381" s="1"/>
      <c r="K381" s="2">
        <v>0</v>
      </c>
      <c r="L381" s="1">
        <v>5</v>
      </c>
      <c r="M381" s="1">
        <v>5.5</v>
      </c>
      <c r="N381" s="1">
        <v>6</v>
      </c>
      <c r="O381" s="1">
        <v>6.5</v>
      </c>
    </row>
    <row r="382" spans="1:16" x14ac:dyDescent="0.3">
      <c r="A382" t="s">
        <v>1914</v>
      </c>
      <c r="B382" s="3" t="s">
        <v>2826</v>
      </c>
      <c r="C382" t="s">
        <v>1913</v>
      </c>
      <c r="D382" s="9">
        <f>VLOOKUP(A382,[2]Sheet1!$A:$C,3,0)</f>
        <v>9</v>
      </c>
      <c r="J382" s="1"/>
      <c r="K382" s="2">
        <v>0</v>
      </c>
      <c r="L382" s="1">
        <v>2</v>
      </c>
      <c r="M382" s="1">
        <v>2.25</v>
      </c>
      <c r="N382" s="1">
        <v>2.5</v>
      </c>
      <c r="O382" s="1">
        <v>3</v>
      </c>
    </row>
    <row r="383" spans="1:16" x14ac:dyDescent="0.3">
      <c r="A383" t="s">
        <v>1734</v>
      </c>
      <c r="B383" s="3" t="s">
        <v>2826</v>
      </c>
      <c r="C383" t="s">
        <v>1733</v>
      </c>
      <c r="D383" s="9">
        <f>VLOOKUP(A383,[2]Sheet1!$A:$C,3,0)</f>
        <v>200</v>
      </c>
      <c r="J383" s="1"/>
      <c r="K383" s="2">
        <v>0</v>
      </c>
      <c r="L383" s="1">
        <v>2</v>
      </c>
      <c r="M383" s="1">
        <v>2.25</v>
      </c>
      <c r="N383" s="1">
        <v>2.5</v>
      </c>
      <c r="O383" s="1">
        <v>3</v>
      </c>
    </row>
    <row r="384" spans="1:16" x14ac:dyDescent="0.3">
      <c r="A384" t="s">
        <v>2287</v>
      </c>
      <c r="B384" s="3" t="s">
        <v>2826</v>
      </c>
      <c r="C384" t="s">
        <v>2286</v>
      </c>
      <c r="D384" s="9">
        <f>VLOOKUP(A384,[2]Sheet1!$A:$C,3,0)</f>
        <v>8965</v>
      </c>
      <c r="J384" s="1"/>
      <c r="K384" s="1">
        <v>2</v>
      </c>
      <c r="L384" s="1">
        <v>2.5</v>
      </c>
      <c r="M384" s="1">
        <v>2.75</v>
      </c>
      <c r="N384" s="1">
        <v>3</v>
      </c>
      <c r="O384" s="1">
        <v>4</v>
      </c>
    </row>
    <row r="385" spans="1:15" x14ac:dyDescent="0.3">
      <c r="A385" t="s">
        <v>2285</v>
      </c>
      <c r="B385" s="3" t="s">
        <v>2826</v>
      </c>
      <c r="C385" t="s">
        <v>2284</v>
      </c>
      <c r="D385" s="9">
        <f>VLOOKUP(A385,[2]Sheet1!$A:$C,3,0)</f>
        <v>902</v>
      </c>
      <c r="J385" s="1"/>
      <c r="K385" s="2">
        <v>0</v>
      </c>
      <c r="L385" s="1">
        <v>2.75</v>
      </c>
      <c r="M385" s="1">
        <v>3</v>
      </c>
      <c r="N385" s="1">
        <v>3.5</v>
      </c>
      <c r="O385" s="1">
        <v>4</v>
      </c>
    </row>
    <row r="386" spans="1:15" x14ac:dyDescent="0.3">
      <c r="A386" t="s">
        <v>2677</v>
      </c>
      <c r="B386" s="3" t="s">
        <v>2826</v>
      </c>
      <c r="C386" t="s">
        <v>2678</v>
      </c>
      <c r="D386" s="9">
        <f>VLOOKUP(A386,[2]Sheet1!$A:$C,3,0)</f>
        <v>8</v>
      </c>
      <c r="J386" s="1"/>
      <c r="K386" s="2">
        <v>0</v>
      </c>
      <c r="L386" s="1">
        <v>44</v>
      </c>
      <c r="M386" s="1">
        <v>45</v>
      </c>
      <c r="N386" s="1">
        <v>48</v>
      </c>
      <c r="O386" s="1">
        <v>50</v>
      </c>
    </row>
    <row r="387" spans="1:15" x14ac:dyDescent="0.3">
      <c r="A387" t="s">
        <v>2283</v>
      </c>
      <c r="B387" s="3" t="s">
        <v>2826</v>
      </c>
      <c r="C387" t="s">
        <v>2282</v>
      </c>
      <c r="D387" s="9">
        <f>VLOOKUP(A387,[2]Sheet1!$A:$C,3,0)</f>
        <v>0</v>
      </c>
      <c r="J387" s="1"/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 x14ac:dyDescent="0.3">
      <c r="A388" t="s">
        <v>2281</v>
      </c>
      <c r="B388" s="3" t="s">
        <v>2826</v>
      </c>
      <c r="C388" t="s">
        <v>2280</v>
      </c>
      <c r="D388" s="9">
        <f>VLOOKUP(A388,[2]Sheet1!$A:$C,3,0)</f>
        <v>0</v>
      </c>
      <c r="J388" s="1"/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 x14ac:dyDescent="0.3">
      <c r="A389" t="s">
        <v>2279</v>
      </c>
      <c r="B389" s="3" t="s">
        <v>2826</v>
      </c>
      <c r="C389" t="s">
        <v>2278</v>
      </c>
      <c r="D389" s="9">
        <f>VLOOKUP(A389,[2]Sheet1!$A:$C,3,0)</f>
        <v>0</v>
      </c>
      <c r="J389" s="1"/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 x14ac:dyDescent="0.3">
      <c r="A390" t="s">
        <v>2277</v>
      </c>
      <c r="B390" s="3" t="s">
        <v>2826</v>
      </c>
      <c r="C390" t="s">
        <v>2276</v>
      </c>
      <c r="D390" s="9">
        <f>VLOOKUP(A390,[2]Sheet1!$A:$C,3,0)</f>
        <v>0</v>
      </c>
      <c r="J390" s="1"/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 x14ac:dyDescent="0.3">
      <c r="A391" t="s">
        <v>2275</v>
      </c>
      <c r="B391" s="3" t="s">
        <v>2826</v>
      </c>
      <c r="C391" t="s">
        <v>2274</v>
      </c>
      <c r="D391" s="9">
        <f>VLOOKUP(A391,[2]Sheet1!$A:$C,3,0)</f>
        <v>11</v>
      </c>
      <c r="J391" s="1"/>
      <c r="K391" s="2">
        <v>0</v>
      </c>
      <c r="L391" s="1">
        <v>19</v>
      </c>
      <c r="M391" s="1">
        <v>20</v>
      </c>
      <c r="N391" s="1">
        <v>23</v>
      </c>
      <c r="O391" s="1">
        <v>25</v>
      </c>
    </row>
    <row r="392" spans="1:15" x14ac:dyDescent="0.3">
      <c r="A392" t="s">
        <v>2273</v>
      </c>
      <c r="B392" s="3" t="s">
        <v>2826</v>
      </c>
      <c r="C392" t="s">
        <v>2679</v>
      </c>
      <c r="D392" s="9">
        <f>VLOOKUP(A392,[2]Sheet1!$A:$C,3,0)</f>
        <v>7</v>
      </c>
      <c r="J392" s="1"/>
      <c r="K392" s="2">
        <v>0</v>
      </c>
      <c r="L392" s="1">
        <v>16</v>
      </c>
      <c r="M392" s="1">
        <v>17.5</v>
      </c>
      <c r="N392" s="1">
        <v>18</v>
      </c>
      <c r="O392" s="1">
        <v>20</v>
      </c>
    </row>
    <row r="393" spans="1:15" x14ac:dyDescent="0.3">
      <c r="A393" t="s">
        <v>2272</v>
      </c>
      <c r="B393" s="3" t="s">
        <v>2826</v>
      </c>
      <c r="C393" t="s">
        <v>2271</v>
      </c>
      <c r="D393" s="9">
        <f>VLOOKUP(A393,[2]Sheet1!$A:$C,3,0)</f>
        <v>55</v>
      </c>
      <c r="J393" s="1"/>
      <c r="K393" s="2">
        <v>0</v>
      </c>
      <c r="L393" s="1">
        <v>13</v>
      </c>
      <c r="M393" s="1">
        <v>14</v>
      </c>
      <c r="N393" s="1">
        <v>15</v>
      </c>
      <c r="O393" s="1">
        <v>20</v>
      </c>
    </row>
    <row r="394" spans="1:15" x14ac:dyDescent="0.3">
      <c r="A394" t="s">
        <v>2270</v>
      </c>
      <c r="B394" s="3" t="s">
        <v>2826</v>
      </c>
      <c r="C394" t="s">
        <v>2269</v>
      </c>
      <c r="D394" s="9">
        <f>VLOOKUP(A394,[2]Sheet1!$A:$C,3,0)</f>
        <v>411</v>
      </c>
      <c r="J394" s="1"/>
      <c r="K394" s="2">
        <v>0</v>
      </c>
      <c r="L394" s="1">
        <v>25</v>
      </c>
      <c r="M394" s="1">
        <v>28</v>
      </c>
      <c r="N394" s="1">
        <v>30</v>
      </c>
      <c r="O394" s="1">
        <v>32</v>
      </c>
    </row>
    <row r="395" spans="1:15" x14ac:dyDescent="0.3">
      <c r="A395" t="s">
        <v>2268</v>
      </c>
      <c r="B395" s="3" t="s">
        <v>2826</v>
      </c>
      <c r="C395" t="s">
        <v>2267</v>
      </c>
      <c r="D395" s="9">
        <f>VLOOKUP(A395,[2]Sheet1!$A:$C,3,0)</f>
        <v>462</v>
      </c>
      <c r="J395" s="1"/>
      <c r="K395" s="2">
        <v>0</v>
      </c>
      <c r="L395" s="1">
        <v>30</v>
      </c>
      <c r="M395" s="1">
        <v>35</v>
      </c>
      <c r="N395" s="1">
        <v>40</v>
      </c>
      <c r="O395" s="1">
        <v>45</v>
      </c>
    </row>
    <row r="396" spans="1:15" x14ac:dyDescent="0.3">
      <c r="A396" t="s">
        <v>1912</v>
      </c>
      <c r="B396" s="3" t="s">
        <v>2826</v>
      </c>
      <c r="C396" t="s">
        <v>1911</v>
      </c>
      <c r="D396" s="9">
        <f>VLOOKUP(A396,[2]Sheet1!$A:$C,3,0)</f>
        <v>206</v>
      </c>
      <c r="J396" s="1"/>
      <c r="K396" s="2">
        <v>0</v>
      </c>
      <c r="L396" s="1">
        <v>8</v>
      </c>
      <c r="M396" s="1">
        <v>10</v>
      </c>
      <c r="N396" s="1">
        <v>12</v>
      </c>
      <c r="O396" s="1">
        <v>15</v>
      </c>
    </row>
    <row r="397" spans="1:15" x14ac:dyDescent="0.3">
      <c r="A397" t="s">
        <v>1910</v>
      </c>
      <c r="B397" s="3" t="s">
        <v>2826</v>
      </c>
      <c r="C397" t="s">
        <v>1909</v>
      </c>
      <c r="D397" s="9">
        <f>VLOOKUP(A397,[2]Sheet1!$A:$C,3,0)</f>
        <v>215</v>
      </c>
      <c r="J397" s="1"/>
      <c r="K397" s="2">
        <v>0</v>
      </c>
      <c r="L397" s="1">
        <v>10</v>
      </c>
      <c r="M397" s="1">
        <v>12</v>
      </c>
      <c r="N397" s="1">
        <v>15</v>
      </c>
      <c r="O397" s="1">
        <v>20</v>
      </c>
    </row>
    <row r="398" spans="1:15" x14ac:dyDescent="0.3">
      <c r="A398" t="s">
        <v>1908</v>
      </c>
      <c r="B398" s="3" t="s">
        <v>2826</v>
      </c>
      <c r="C398" t="s">
        <v>1907</v>
      </c>
      <c r="D398" s="9">
        <f>VLOOKUP(A398,[2]Sheet1!$A:$C,3,0)</f>
        <v>64</v>
      </c>
      <c r="J398" s="1"/>
      <c r="K398" s="2">
        <v>0</v>
      </c>
      <c r="L398" s="1">
        <v>2.25</v>
      </c>
      <c r="M398" s="1">
        <v>2.5</v>
      </c>
      <c r="N398" s="1">
        <v>2.75</v>
      </c>
      <c r="O398" s="1">
        <v>3</v>
      </c>
    </row>
    <row r="399" spans="1:15" x14ac:dyDescent="0.3">
      <c r="A399" t="s">
        <v>2266</v>
      </c>
      <c r="B399" s="3" t="s">
        <v>2826</v>
      </c>
      <c r="C399" t="s">
        <v>2265</v>
      </c>
      <c r="D399" s="9">
        <f>VLOOKUP(A399,[2]Sheet1!$A:$C,3,0)</f>
        <v>107</v>
      </c>
      <c r="J399" s="1"/>
      <c r="K399" s="2">
        <v>0</v>
      </c>
      <c r="L399" s="1">
        <v>95</v>
      </c>
      <c r="M399" s="1">
        <v>100</v>
      </c>
      <c r="N399" s="1">
        <v>105</v>
      </c>
      <c r="O399" s="1">
        <v>115</v>
      </c>
    </row>
    <row r="400" spans="1:15" x14ac:dyDescent="0.3">
      <c r="A400" t="s">
        <v>2264</v>
      </c>
      <c r="B400" s="3" t="s">
        <v>2826</v>
      </c>
      <c r="C400" t="s">
        <v>2263</v>
      </c>
      <c r="D400" s="9">
        <f>VLOOKUP(A400,[2]Sheet1!$A:$C,3,0)</f>
        <v>222</v>
      </c>
      <c r="J400" s="1"/>
      <c r="K400" s="2">
        <v>0</v>
      </c>
      <c r="L400" s="1">
        <v>120</v>
      </c>
      <c r="M400" s="1">
        <v>125</v>
      </c>
      <c r="N400" s="1">
        <v>130</v>
      </c>
      <c r="O400" s="1">
        <v>135</v>
      </c>
    </row>
    <row r="401" spans="1:16" x14ac:dyDescent="0.3">
      <c r="A401" t="s">
        <v>2262</v>
      </c>
      <c r="B401" s="3" t="s">
        <v>2826</v>
      </c>
      <c r="C401" t="s">
        <v>2261</v>
      </c>
      <c r="D401" s="9">
        <f>VLOOKUP(A401,[2]Sheet1!$A:$C,3,0)</f>
        <v>54</v>
      </c>
      <c r="J401" s="1"/>
      <c r="K401" s="1">
        <v>230</v>
      </c>
      <c r="L401" s="1">
        <v>235</v>
      </c>
      <c r="M401" s="1">
        <v>250</v>
      </c>
      <c r="N401" s="1">
        <v>265</v>
      </c>
      <c r="O401" s="1">
        <v>275</v>
      </c>
    </row>
    <row r="402" spans="1:16" x14ac:dyDescent="0.3">
      <c r="A402" s="9" t="s">
        <v>2260</v>
      </c>
      <c r="B402" s="10" t="s">
        <v>2827</v>
      </c>
      <c r="C402" s="9" t="s">
        <v>2259</v>
      </c>
      <c r="D402" s="9">
        <f>VLOOKUP(A402,[2]Sheet1!$A:$C,3,0)</f>
        <v>0</v>
      </c>
      <c r="E402" s="10">
        <v>0</v>
      </c>
      <c r="F402" s="10"/>
      <c r="G402" s="28">
        <v>0</v>
      </c>
      <c r="H402" s="10">
        <v>0</v>
      </c>
      <c r="I402" s="13">
        <v>0</v>
      </c>
      <c r="J402" s="10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9"/>
    </row>
    <row r="403" spans="1:16" x14ac:dyDescent="0.3">
      <c r="A403" t="s">
        <v>2258</v>
      </c>
      <c r="B403" s="3" t="s">
        <v>2827</v>
      </c>
      <c r="C403" t="s">
        <v>2257</v>
      </c>
      <c r="D403" s="9">
        <f>VLOOKUP(A403,[2]Sheet1!$A:$C,3,0)</f>
        <v>32</v>
      </c>
      <c r="J403" s="1"/>
      <c r="K403" s="1">
        <v>1165</v>
      </c>
      <c r="L403" s="1">
        <v>1170</v>
      </c>
      <c r="M403" s="1">
        <v>1175</v>
      </c>
      <c r="N403" s="1">
        <v>1225</v>
      </c>
      <c r="O403" s="1">
        <v>1260</v>
      </c>
    </row>
    <row r="404" spans="1:16" x14ac:dyDescent="0.3">
      <c r="A404" t="s">
        <v>2680</v>
      </c>
      <c r="B404" s="3" t="s">
        <v>2827</v>
      </c>
      <c r="C404" t="s">
        <v>2681</v>
      </c>
      <c r="D404" s="9">
        <f>VLOOKUP(A404,[2]Sheet1!$A:$C,3,0)</f>
        <v>0</v>
      </c>
      <c r="J404" s="1"/>
      <c r="K404" s="2">
        <v>0</v>
      </c>
      <c r="L404" s="1">
        <v>1285</v>
      </c>
      <c r="M404" s="1">
        <v>1290</v>
      </c>
      <c r="N404" s="1">
        <v>1350</v>
      </c>
      <c r="O404" s="1">
        <v>1400</v>
      </c>
    </row>
    <row r="405" spans="1:16" x14ac:dyDescent="0.3">
      <c r="A405" t="s">
        <v>2613</v>
      </c>
      <c r="B405" s="3" t="s">
        <v>2827</v>
      </c>
      <c r="C405" t="s">
        <v>2612</v>
      </c>
      <c r="D405" s="9">
        <f>VLOOKUP(A405,[2]Sheet1!$A:$C,3,0)</f>
        <v>21</v>
      </c>
      <c r="J405" s="1"/>
      <c r="K405" s="1">
        <v>1165</v>
      </c>
      <c r="L405" s="1">
        <v>1170</v>
      </c>
      <c r="M405" s="1">
        <v>1175</v>
      </c>
      <c r="N405" s="1">
        <v>1225</v>
      </c>
      <c r="O405" s="1">
        <v>1260</v>
      </c>
    </row>
    <row r="406" spans="1:16" x14ac:dyDescent="0.3">
      <c r="A406" t="s">
        <v>2611</v>
      </c>
      <c r="B406" s="3" t="s">
        <v>2827</v>
      </c>
      <c r="C406" t="s">
        <v>2610</v>
      </c>
      <c r="D406" s="9">
        <f>VLOOKUP(A406,[2]Sheet1!$A:$C,3,0)</f>
        <v>56</v>
      </c>
      <c r="J406" s="1"/>
      <c r="K406" s="1">
        <v>1280</v>
      </c>
      <c r="L406" s="1">
        <v>1300</v>
      </c>
      <c r="M406" s="1">
        <v>1325</v>
      </c>
      <c r="N406" s="1">
        <v>1365</v>
      </c>
      <c r="O406" s="1">
        <v>1450</v>
      </c>
    </row>
    <row r="407" spans="1:16" x14ac:dyDescent="0.3">
      <c r="A407" t="s">
        <v>2609</v>
      </c>
      <c r="B407" s="3" t="s">
        <v>2827</v>
      </c>
      <c r="C407" t="s">
        <v>2608</v>
      </c>
      <c r="D407" s="9">
        <f>VLOOKUP(A407,[2]Sheet1!$A:$C,3,0)</f>
        <v>48</v>
      </c>
      <c r="J407" s="1"/>
      <c r="K407" s="1">
        <v>1700</v>
      </c>
      <c r="L407" s="1">
        <v>1725</v>
      </c>
      <c r="M407" s="1">
        <v>1750</v>
      </c>
      <c r="N407" s="1">
        <v>1825</v>
      </c>
      <c r="O407" s="1">
        <v>1915</v>
      </c>
    </row>
    <row r="408" spans="1:16" x14ac:dyDescent="0.3">
      <c r="A408" t="s">
        <v>2607</v>
      </c>
      <c r="B408" s="3" t="s">
        <v>2827</v>
      </c>
      <c r="C408" t="s">
        <v>2606</v>
      </c>
      <c r="D408" s="9">
        <f>VLOOKUP(A408,[2]Sheet1!$A:$C,3,0)</f>
        <v>25</v>
      </c>
      <c r="J408" s="1"/>
      <c r="K408" s="1">
        <v>1430</v>
      </c>
      <c r="L408" s="1">
        <v>1450</v>
      </c>
      <c r="M408" s="1">
        <v>1480</v>
      </c>
      <c r="N408" s="1">
        <v>1525</v>
      </c>
      <c r="O408" s="1">
        <v>1620</v>
      </c>
    </row>
    <row r="409" spans="1:16" x14ac:dyDescent="0.3">
      <c r="A409" t="s">
        <v>2605</v>
      </c>
      <c r="B409" s="3" t="s">
        <v>2827</v>
      </c>
      <c r="C409" t="s">
        <v>2604</v>
      </c>
      <c r="D409" s="9">
        <f>VLOOKUP(A409,[2]Sheet1!$A:$C,3,0)</f>
        <v>22</v>
      </c>
      <c r="J409" s="1"/>
      <c r="K409" s="2">
        <v>0</v>
      </c>
      <c r="L409" s="1">
        <v>1850</v>
      </c>
      <c r="M409" s="1">
        <v>1910</v>
      </c>
      <c r="N409" s="1">
        <v>1980</v>
      </c>
      <c r="O409" s="1">
        <v>2100</v>
      </c>
    </row>
    <row r="410" spans="1:16" x14ac:dyDescent="0.3">
      <c r="A410" t="s">
        <v>2629</v>
      </c>
      <c r="B410" s="3" t="s">
        <v>2827</v>
      </c>
      <c r="C410" t="s">
        <v>2628</v>
      </c>
      <c r="D410" s="9">
        <f>VLOOKUP(A410,[2]Sheet1!$A:$C,3,0)</f>
        <v>0</v>
      </c>
      <c r="J410" s="1"/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6" x14ac:dyDescent="0.3">
      <c r="A411" t="s">
        <v>2623</v>
      </c>
      <c r="B411" s="3" t="s">
        <v>2827</v>
      </c>
      <c r="C411" t="s">
        <v>2622</v>
      </c>
      <c r="D411" s="9">
        <f>VLOOKUP(A411,[2]Sheet1!$A:$C,3,0)</f>
        <v>0</v>
      </c>
      <c r="J411" s="1"/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6" x14ac:dyDescent="0.3">
      <c r="A412" t="s">
        <v>2621</v>
      </c>
      <c r="B412" s="3" t="s">
        <v>2827</v>
      </c>
      <c r="C412" t="s">
        <v>2620</v>
      </c>
      <c r="D412" s="9">
        <f>VLOOKUP(A412,[2]Sheet1!$A:$C,3,0)</f>
        <v>0</v>
      </c>
      <c r="J412" s="1"/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6" x14ac:dyDescent="0.3">
      <c r="A413" t="s">
        <v>2256</v>
      </c>
      <c r="B413" s="3" t="s">
        <v>2827</v>
      </c>
      <c r="C413" t="s">
        <v>2255</v>
      </c>
      <c r="D413" s="9">
        <f>VLOOKUP(A413,[2]Sheet1!$A:$C,3,0)</f>
        <v>0</v>
      </c>
      <c r="J413" s="1"/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t="s">
        <v>2781</v>
      </c>
    </row>
    <row r="414" spans="1:16" x14ac:dyDescent="0.3">
      <c r="A414" s="9" t="s">
        <v>2254</v>
      </c>
      <c r="B414" s="10" t="s">
        <v>2827</v>
      </c>
      <c r="C414" s="9" t="s">
        <v>2253</v>
      </c>
      <c r="D414" s="9">
        <f>VLOOKUP(A414,[2]Sheet1!$A:$C,3,0)</f>
        <v>4</v>
      </c>
      <c r="E414" s="10">
        <v>0</v>
      </c>
      <c r="F414" s="10"/>
      <c r="G414" s="28">
        <v>0</v>
      </c>
      <c r="H414" s="10">
        <v>0</v>
      </c>
      <c r="I414" s="13">
        <v>0</v>
      </c>
      <c r="J414" s="10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9"/>
    </row>
    <row r="415" spans="1:16" x14ac:dyDescent="0.3">
      <c r="A415" t="s">
        <v>2064</v>
      </c>
      <c r="B415" s="3" t="s">
        <v>2827</v>
      </c>
      <c r="C415" t="s">
        <v>2063</v>
      </c>
      <c r="D415" s="9">
        <f>VLOOKUP(A415,[2]Sheet1!$A:$C,3,0)</f>
        <v>52</v>
      </c>
      <c r="J415" s="1"/>
      <c r="K415" s="2">
        <v>0</v>
      </c>
      <c r="L415" s="1">
        <v>72</v>
      </c>
      <c r="M415" s="1">
        <v>75</v>
      </c>
      <c r="N415" s="1">
        <v>78</v>
      </c>
      <c r="O415" s="1">
        <v>80</v>
      </c>
    </row>
    <row r="416" spans="1:16" x14ac:dyDescent="0.3">
      <c r="A416" t="s">
        <v>1906</v>
      </c>
      <c r="B416" s="3" t="s">
        <v>2827</v>
      </c>
      <c r="C416" t="s">
        <v>1905</v>
      </c>
      <c r="D416" s="9">
        <f>VLOOKUP(A416,[2]Sheet1!$A:$C,3,0)</f>
        <v>0</v>
      </c>
      <c r="J416" s="1"/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6" x14ac:dyDescent="0.3">
      <c r="A417" t="s">
        <v>1904</v>
      </c>
      <c r="B417" s="3" t="s">
        <v>2827</v>
      </c>
      <c r="C417" t="s">
        <v>1903</v>
      </c>
      <c r="D417" s="9">
        <f>VLOOKUP(A417,[2]Sheet1!$A:$C,3,0)</f>
        <v>0</v>
      </c>
      <c r="J417" s="1"/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6" x14ac:dyDescent="0.3">
      <c r="A418" t="s">
        <v>1732</v>
      </c>
      <c r="B418" s="3" t="s">
        <v>2827</v>
      </c>
      <c r="C418" t="s">
        <v>1731</v>
      </c>
      <c r="D418" s="9">
        <f>VLOOKUP(A418,[2]Sheet1!$A:$C,3,0)</f>
        <v>0</v>
      </c>
      <c r="J418" s="1"/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6" x14ac:dyDescent="0.3">
      <c r="A419" t="s">
        <v>2603</v>
      </c>
      <c r="B419" s="3" t="s">
        <v>2827</v>
      </c>
      <c r="C419" t="s">
        <v>2682</v>
      </c>
      <c r="D419" s="9">
        <f>VLOOKUP(A419,[2]Sheet1!$A:$C,3,0)</f>
        <v>0</v>
      </c>
      <c r="J419" s="1"/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6" x14ac:dyDescent="0.3">
      <c r="A420" t="s">
        <v>2602</v>
      </c>
      <c r="B420" s="3" t="s">
        <v>2827</v>
      </c>
      <c r="C420" t="s">
        <v>2601</v>
      </c>
      <c r="D420" s="9">
        <f>VLOOKUP(A420,[2]Sheet1!$A:$C,3,0)</f>
        <v>1</v>
      </c>
      <c r="J420" s="1"/>
      <c r="K420" s="2">
        <v>0</v>
      </c>
      <c r="L420" s="2">
        <v>830</v>
      </c>
      <c r="M420" s="2">
        <v>855</v>
      </c>
      <c r="N420" s="2">
        <v>880</v>
      </c>
      <c r="O420" s="2">
        <v>935</v>
      </c>
    </row>
    <row r="421" spans="1:16" x14ac:dyDescent="0.3">
      <c r="A421" t="s">
        <v>2600</v>
      </c>
      <c r="B421" s="3" t="s">
        <v>2827</v>
      </c>
      <c r="C421" t="s">
        <v>2599</v>
      </c>
      <c r="D421" s="9">
        <f>VLOOKUP(A421,[2]Sheet1!$A:$C,3,0)</f>
        <v>2</v>
      </c>
      <c r="J421" s="1"/>
      <c r="K421" s="2">
        <v>0</v>
      </c>
      <c r="L421" s="1">
        <v>1160</v>
      </c>
      <c r="M421" s="1">
        <v>1210</v>
      </c>
      <c r="N421" s="1">
        <v>1240</v>
      </c>
      <c r="O421" s="1">
        <v>1310</v>
      </c>
    </row>
    <row r="422" spans="1:16" x14ac:dyDescent="0.3">
      <c r="A422" t="s">
        <v>2598</v>
      </c>
      <c r="B422" s="3" t="s">
        <v>2827</v>
      </c>
      <c r="C422" t="s">
        <v>2597</v>
      </c>
      <c r="D422" s="9">
        <f>VLOOKUP(A422,[2]Sheet1!$A:$C,3,0)</f>
        <v>1</v>
      </c>
      <c r="J422" s="1"/>
      <c r="K422" s="2">
        <v>0</v>
      </c>
      <c r="L422" s="1">
        <v>1250</v>
      </c>
      <c r="M422" s="1">
        <v>1290</v>
      </c>
      <c r="N422" s="1">
        <v>1335</v>
      </c>
      <c r="O422" s="1">
        <v>1410</v>
      </c>
    </row>
    <row r="423" spans="1:16" x14ac:dyDescent="0.3">
      <c r="A423" t="s">
        <v>2596</v>
      </c>
      <c r="B423" s="3" t="s">
        <v>2827</v>
      </c>
      <c r="C423" t="s">
        <v>2595</v>
      </c>
      <c r="D423" s="9">
        <f>VLOOKUP(A423,[2]Sheet1!$A:$C,3,0)</f>
        <v>0</v>
      </c>
      <c r="J423" s="1"/>
      <c r="K423" s="2">
        <v>0</v>
      </c>
      <c r="L423" s="1">
        <v>1250</v>
      </c>
      <c r="M423" s="1">
        <v>1290</v>
      </c>
      <c r="N423" s="1">
        <v>1335</v>
      </c>
      <c r="O423" s="1">
        <v>1410</v>
      </c>
    </row>
    <row r="424" spans="1:16" x14ac:dyDescent="0.3">
      <c r="A424" t="s">
        <v>2594</v>
      </c>
      <c r="B424" s="3" t="s">
        <v>2827</v>
      </c>
      <c r="C424" t="s">
        <v>2593</v>
      </c>
      <c r="D424" s="9">
        <f>VLOOKUP(A424,[2]Sheet1!$A:$C,3,0)</f>
        <v>0</v>
      </c>
      <c r="J424" s="1"/>
      <c r="K424" s="1">
        <v>1150</v>
      </c>
      <c r="L424" s="1">
        <v>1185</v>
      </c>
      <c r="M424" s="1">
        <v>1200</v>
      </c>
      <c r="N424" s="1">
        <v>1300</v>
      </c>
      <c r="O424" s="1">
        <v>1450</v>
      </c>
    </row>
    <row r="425" spans="1:16" x14ac:dyDescent="0.3">
      <c r="A425" t="s">
        <v>2592</v>
      </c>
      <c r="B425" s="3" t="s">
        <v>2827</v>
      </c>
      <c r="C425" t="s">
        <v>2591</v>
      </c>
      <c r="D425" s="9">
        <f>VLOOKUP(A425,[2]Sheet1!$A:$C,3,0)</f>
        <v>11</v>
      </c>
      <c r="J425" s="1"/>
      <c r="K425" s="2">
        <v>0</v>
      </c>
      <c r="L425" s="1">
        <v>315</v>
      </c>
      <c r="M425" s="1">
        <v>325</v>
      </c>
      <c r="N425" s="1">
        <v>335</v>
      </c>
      <c r="O425" s="1">
        <v>360</v>
      </c>
    </row>
    <row r="426" spans="1:16" x14ac:dyDescent="0.3">
      <c r="A426" t="s">
        <v>2590</v>
      </c>
      <c r="B426" s="3" t="s">
        <v>2827</v>
      </c>
      <c r="C426" t="s">
        <v>2589</v>
      </c>
      <c r="D426" s="9">
        <f>VLOOKUP(A426,[2]Sheet1!$A:$C,3,0)</f>
        <v>0</v>
      </c>
      <c r="J426" s="1"/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6" x14ac:dyDescent="0.3">
      <c r="A427" t="s">
        <v>2588</v>
      </c>
      <c r="B427" s="3" t="s">
        <v>2827</v>
      </c>
      <c r="C427" t="s">
        <v>2587</v>
      </c>
      <c r="D427" s="9">
        <f>VLOOKUP(A427,[2]Sheet1!$A:$C,3,0)</f>
        <v>0</v>
      </c>
      <c r="J427" s="1"/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6" x14ac:dyDescent="0.3">
      <c r="A428" s="9" t="s">
        <v>2252</v>
      </c>
      <c r="B428" s="10" t="s">
        <v>2827</v>
      </c>
      <c r="C428" s="9" t="s">
        <v>2251</v>
      </c>
      <c r="D428" s="9">
        <f>VLOOKUP(A428,[2]Sheet1!$A:$C,3,0)</f>
        <v>20</v>
      </c>
      <c r="E428" s="10">
        <v>0</v>
      </c>
      <c r="F428" s="10"/>
      <c r="G428" s="28">
        <v>0</v>
      </c>
      <c r="H428" s="10">
        <v>0</v>
      </c>
      <c r="I428" s="13">
        <v>0</v>
      </c>
      <c r="J428" s="10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9"/>
    </row>
    <row r="429" spans="1:16" x14ac:dyDescent="0.3">
      <c r="A429" t="s">
        <v>2143</v>
      </c>
      <c r="B429" s="3" t="s">
        <v>2827</v>
      </c>
      <c r="C429" t="s">
        <v>2142</v>
      </c>
      <c r="D429" s="9">
        <f>VLOOKUP(A429,[2]Sheet1!$A:$C,3,0)</f>
        <v>2</v>
      </c>
      <c r="J429" s="1"/>
      <c r="K429" s="1">
        <v>170</v>
      </c>
      <c r="L429" s="1">
        <v>175</v>
      </c>
      <c r="M429" s="1">
        <v>180</v>
      </c>
      <c r="N429" s="1">
        <v>185</v>
      </c>
      <c r="O429" s="1">
        <v>190</v>
      </c>
    </row>
    <row r="430" spans="1:16" x14ac:dyDescent="0.3">
      <c r="A430" t="s">
        <v>2141</v>
      </c>
      <c r="B430" s="3" t="s">
        <v>2827</v>
      </c>
      <c r="C430" t="s">
        <v>2140</v>
      </c>
      <c r="D430" s="9">
        <f>VLOOKUP(A430,[2]Sheet1!$A:$C,3,0)</f>
        <v>6</v>
      </c>
      <c r="J430" s="1"/>
      <c r="K430" s="2">
        <v>0</v>
      </c>
      <c r="L430" s="1">
        <v>255</v>
      </c>
      <c r="M430" s="1">
        <v>260</v>
      </c>
      <c r="N430" s="1">
        <v>270</v>
      </c>
      <c r="O430" s="1">
        <v>285</v>
      </c>
    </row>
    <row r="431" spans="1:16" x14ac:dyDescent="0.3">
      <c r="A431" t="s">
        <v>2062</v>
      </c>
      <c r="B431" s="3" t="s">
        <v>2827</v>
      </c>
      <c r="C431" t="s">
        <v>2061</v>
      </c>
      <c r="D431" s="9">
        <f>VLOOKUP(A431,[2]Sheet1!$A:$C,3,0)</f>
        <v>10</v>
      </c>
      <c r="J431" s="1"/>
      <c r="K431" s="2">
        <v>0</v>
      </c>
      <c r="L431" s="1">
        <v>255</v>
      </c>
      <c r="M431" s="1">
        <v>260</v>
      </c>
      <c r="N431" s="1">
        <v>270</v>
      </c>
      <c r="O431" s="1">
        <v>285</v>
      </c>
    </row>
    <row r="432" spans="1:16" x14ac:dyDescent="0.3">
      <c r="A432" t="s">
        <v>1902</v>
      </c>
      <c r="B432" s="3" t="s">
        <v>2827</v>
      </c>
      <c r="C432" t="s">
        <v>1901</v>
      </c>
      <c r="D432" s="9">
        <f>VLOOKUP(A432,[2]Sheet1!$A:$C,3,0)</f>
        <v>1</v>
      </c>
      <c r="J432" s="1"/>
      <c r="K432" s="1">
        <v>170</v>
      </c>
      <c r="L432" s="1">
        <v>175</v>
      </c>
      <c r="M432" s="1">
        <v>180</v>
      </c>
      <c r="N432" s="1">
        <v>185</v>
      </c>
      <c r="O432" s="1">
        <v>190</v>
      </c>
    </row>
    <row r="433" spans="1:16" x14ac:dyDescent="0.3">
      <c r="A433" t="s">
        <v>1900</v>
      </c>
      <c r="B433" s="3" t="s">
        <v>2827</v>
      </c>
      <c r="C433" t="s">
        <v>1899</v>
      </c>
      <c r="D433" s="9">
        <f>VLOOKUP(A433,[2]Sheet1!$A:$C,3,0)</f>
        <v>7</v>
      </c>
      <c r="J433" s="1"/>
      <c r="K433" s="2">
        <v>0</v>
      </c>
      <c r="L433" s="1">
        <v>255</v>
      </c>
      <c r="M433" s="1">
        <v>260</v>
      </c>
      <c r="N433" s="1">
        <v>270</v>
      </c>
      <c r="O433" s="1">
        <v>285</v>
      </c>
    </row>
    <row r="434" spans="1:16" x14ac:dyDescent="0.3">
      <c r="A434" t="s">
        <v>1730</v>
      </c>
      <c r="B434" s="3" t="s">
        <v>2827</v>
      </c>
      <c r="C434" t="s">
        <v>1729</v>
      </c>
      <c r="D434" s="9">
        <f>VLOOKUP(A434,[2]Sheet1!$A:$C,3,0)</f>
        <v>8</v>
      </c>
      <c r="J434" s="1"/>
      <c r="K434" s="1">
        <v>170</v>
      </c>
      <c r="L434" s="1">
        <v>175</v>
      </c>
      <c r="M434" s="1">
        <v>180</v>
      </c>
      <c r="N434" s="1">
        <v>185</v>
      </c>
      <c r="O434" s="1">
        <v>190</v>
      </c>
    </row>
    <row r="435" spans="1:16" x14ac:dyDescent="0.3">
      <c r="A435" t="s">
        <v>1728</v>
      </c>
      <c r="B435" s="3" t="s">
        <v>2827</v>
      </c>
      <c r="C435" t="s">
        <v>1727</v>
      </c>
      <c r="D435" s="9">
        <f>VLOOKUP(A435,[2]Sheet1!$A:$C,3,0)</f>
        <v>11</v>
      </c>
      <c r="J435" s="1"/>
      <c r="K435" s="2">
        <v>0</v>
      </c>
      <c r="L435" s="1">
        <v>255</v>
      </c>
      <c r="M435" s="1">
        <v>260</v>
      </c>
      <c r="N435" s="1">
        <v>270</v>
      </c>
      <c r="O435" s="1">
        <v>285</v>
      </c>
    </row>
    <row r="436" spans="1:16" x14ac:dyDescent="0.3">
      <c r="A436" t="s">
        <v>2139</v>
      </c>
      <c r="B436" s="3" t="s">
        <v>2827</v>
      </c>
      <c r="C436" t="s">
        <v>2138</v>
      </c>
      <c r="D436" s="9">
        <f>VLOOKUP(A436,[2]Sheet1!$A:$C,3,0)</f>
        <v>4</v>
      </c>
      <c r="J436" s="1"/>
      <c r="K436" s="1">
        <v>170</v>
      </c>
      <c r="L436" s="1">
        <v>175</v>
      </c>
      <c r="M436" s="1">
        <v>180</v>
      </c>
      <c r="N436" s="1">
        <v>185</v>
      </c>
      <c r="O436" s="1">
        <v>190</v>
      </c>
    </row>
    <row r="437" spans="1:16" x14ac:dyDescent="0.3">
      <c r="A437" t="s">
        <v>1898</v>
      </c>
      <c r="B437" s="3" t="s">
        <v>2827</v>
      </c>
      <c r="C437" t="s">
        <v>1897</v>
      </c>
      <c r="D437" s="9">
        <f>VLOOKUP(A437,[2]Sheet1!$A:$C,3,0)</f>
        <v>10</v>
      </c>
      <c r="J437" s="1"/>
      <c r="K437" s="1">
        <v>78</v>
      </c>
      <c r="L437" s="1">
        <v>83</v>
      </c>
      <c r="M437" s="1">
        <v>85</v>
      </c>
      <c r="N437" s="1">
        <v>90</v>
      </c>
      <c r="O437" s="1">
        <v>95</v>
      </c>
    </row>
    <row r="438" spans="1:16" x14ac:dyDescent="0.3">
      <c r="A438" t="s">
        <v>1896</v>
      </c>
      <c r="B438" s="3" t="s">
        <v>2827</v>
      </c>
      <c r="C438" t="s">
        <v>1895</v>
      </c>
      <c r="D438" s="9">
        <f>VLOOKUP(A438,[2]Sheet1!$A:$C,3,0)</f>
        <v>1</v>
      </c>
      <c r="J438" s="1"/>
      <c r="K438" s="1">
        <v>285</v>
      </c>
      <c r="L438" s="1">
        <v>290</v>
      </c>
      <c r="M438" s="1">
        <v>295</v>
      </c>
      <c r="N438" s="1">
        <v>305</v>
      </c>
      <c r="O438" s="1">
        <v>325</v>
      </c>
    </row>
    <row r="439" spans="1:16" x14ac:dyDescent="0.3">
      <c r="A439" t="s">
        <v>1726</v>
      </c>
      <c r="B439" s="3" t="s">
        <v>2827</v>
      </c>
      <c r="C439" t="s">
        <v>1725</v>
      </c>
      <c r="D439" s="9">
        <f>VLOOKUP(A439,[2]Sheet1!$A:$C,3,0)</f>
        <v>2</v>
      </c>
      <c r="J439" s="1"/>
      <c r="K439" s="1">
        <v>285</v>
      </c>
      <c r="L439" s="1">
        <v>290</v>
      </c>
      <c r="M439" s="1">
        <v>295</v>
      </c>
      <c r="N439" s="1">
        <v>305</v>
      </c>
      <c r="O439" s="1">
        <v>325</v>
      </c>
    </row>
    <row r="440" spans="1:16" x14ac:dyDescent="0.3">
      <c r="A440" t="s">
        <v>2586</v>
      </c>
      <c r="B440" s="3" t="s">
        <v>2827</v>
      </c>
      <c r="C440" t="s">
        <v>2585</v>
      </c>
      <c r="D440" s="9">
        <f>VLOOKUP(A440,[2]Sheet1!$A:$C,3,0)</f>
        <v>0</v>
      </c>
      <c r="J440" s="1"/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6" x14ac:dyDescent="0.3">
      <c r="A441" t="s">
        <v>2584</v>
      </c>
      <c r="B441" s="3" t="s">
        <v>2827</v>
      </c>
      <c r="C441" t="s">
        <v>2583</v>
      </c>
      <c r="D441" s="9">
        <f>VLOOKUP(A441,[2]Sheet1!$A:$C,3,0)</f>
        <v>0</v>
      </c>
      <c r="J441" s="1"/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6" x14ac:dyDescent="0.3">
      <c r="A442" t="s">
        <v>2548</v>
      </c>
      <c r="B442" s="3" t="s">
        <v>2827</v>
      </c>
      <c r="C442" t="s">
        <v>2547</v>
      </c>
      <c r="D442" s="9">
        <f>VLOOKUP(A442,[2]Sheet1!$A:$C,3,0)</f>
        <v>53</v>
      </c>
      <c r="J442" s="1"/>
      <c r="K442" s="2">
        <v>0</v>
      </c>
      <c r="L442" s="1">
        <v>175</v>
      </c>
      <c r="M442" s="1">
        <v>185</v>
      </c>
      <c r="N442" s="1">
        <v>188</v>
      </c>
      <c r="O442" s="1">
        <v>200</v>
      </c>
      <c r="P442" t="s">
        <v>2787</v>
      </c>
    </row>
    <row r="443" spans="1:16" x14ac:dyDescent="0.3">
      <c r="A443" t="s">
        <v>2546</v>
      </c>
      <c r="B443" s="3" t="s">
        <v>2827</v>
      </c>
      <c r="C443" t="s">
        <v>2545</v>
      </c>
      <c r="D443" s="9">
        <f>VLOOKUP(A443,[2]Sheet1!$A:$C,3,0)</f>
        <v>12</v>
      </c>
      <c r="J443" s="1"/>
      <c r="K443" s="2">
        <v>0</v>
      </c>
      <c r="L443" s="1">
        <v>195</v>
      </c>
      <c r="M443" s="1">
        <v>205</v>
      </c>
      <c r="N443" s="1">
        <v>210</v>
      </c>
      <c r="O443" s="1">
        <v>220</v>
      </c>
      <c r="P443" t="s">
        <v>2787</v>
      </c>
    </row>
    <row r="444" spans="1:16" x14ac:dyDescent="0.3">
      <c r="A444" t="s">
        <v>2544</v>
      </c>
      <c r="B444" s="3" t="s">
        <v>2827</v>
      </c>
      <c r="C444" t="s">
        <v>2543</v>
      </c>
      <c r="D444" s="9">
        <f>VLOOKUP(A444,[2]Sheet1!$A:$C,3,0)</f>
        <v>90</v>
      </c>
      <c r="J444" s="1"/>
      <c r="K444" s="2">
        <v>0</v>
      </c>
      <c r="L444" s="1">
        <v>215</v>
      </c>
      <c r="M444" s="1">
        <v>220</v>
      </c>
      <c r="N444" s="1">
        <v>230</v>
      </c>
      <c r="O444" s="1">
        <v>240</v>
      </c>
      <c r="P444" t="s">
        <v>2787</v>
      </c>
    </row>
    <row r="445" spans="1:16" x14ac:dyDescent="0.3">
      <c r="A445" t="s">
        <v>2542</v>
      </c>
      <c r="B445" s="3" t="s">
        <v>2827</v>
      </c>
      <c r="C445" t="s">
        <v>2541</v>
      </c>
      <c r="D445" s="9">
        <f>VLOOKUP(A445,[2]Sheet1!$A:$C,3,0)</f>
        <v>36</v>
      </c>
      <c r="J445" s="1"/>
      <c r="K445" s="2">
        <v>0</v>
      </c>
      <c r="L445" s="1">
        <v>255</v>
      </c>
      <c r="M445" s="1">
        <v>265</v>
      </c>
      <c r="N445" s="1">
        <v>270</v>
      </c>
      <c r="O445" s="1">
        <v>285</v>
      </c>
      <c r="P445" t="s">
        <v>2787</v>
      </c>
    </row>
    <row r="446" spans="1:16" x14ac:dyDescent="0.3">
      <c r="A446" t="s">
        <v>2540</v>
      </c>
      <c r="B446" s="3" t="s">
        <v>2827</v>
      </c>
      <c r="C446" t="s">
        <v>2539</v>
      </c>
      <c r="D446" s="9">
        <f>VLOOKUP(A446,[2]Sheet1!$A:$C,3,0)</f>
        <v>10</v>
      </c>
      <c r="J446" s="1"/>
      <c r="K446" s="2">
        <v>0</v>
      </c>
      <c r="L446" s="1">
        <v>300</v>
      </c>
      <c r="M446" s="1">
        <v>305</v>
      </c>
      <c r="N446" s="1">
        <v>315</v>
      </c>
      <c r="O446" s="1">
        <v>335</v>
      </c>
      <c r="P446" t="s">
        <v>2787</v>
      </c>
    </row>
    <row r="447" spans="1:16" x14ac:dyDescent="0.3">
      <c r="A447" t="s">
        <v>2538</v>
      </c>
      <c r="B447" s="3" t="s">
        <v>2827</v>
      </c>
      <c r="C447" t="s">
        <v>2537</v>
      </c>
      <c r="D447" s="9">
        <f>VLOOKUP(A447,[2]Sheet1!$A:$C,3,0)</f>
        <v>18</v>
      </c>
      <c r="J447" s="1"/>
      <c r="K447" s="2">
        <v>0</v>
      </c>
      <c r="L447" s="1">
        <v>362</v>
      </c>
      <c r="M447" s="1">
        <v>375</v>
      </c>
      <c r="N447" s="1">
        <v>385</v>
      </c>
      <c r="O447" s="1">
        <v>410</v>
      </c>
      <c r="P447" t="s">
        <v>2787</v>
      </c>
    </row>
    <row r="448" spans="1:16" x14ac:dyDescent="0.3">
      <c r="A448" t="s">
        <v>2536</v>
      </c>
      <c r="B448" s="3" t="s">
        <v>2827</v>
      </c>
      <c r="C448" t="s">
        <v>2535</v>
      </c>
      <c r="D448" s="9">
        <f>VLOOKUP(A448,[2]Sheet1!$A:$C,3,0)</f>
        <v>70</v>
      </c>
      <c r="J448" s="1"/>
      <c r="K448" s="2">
        <v>0</v>
      </c>
      <c r="L448" s="1">
        <v>420</v>
      </c>
      <c r="M448" s="1">
        <v>430</v>
      </c>
      <c r="N448" s="1">
        <v>445</v>
      </c>
      <c r="O448" s="1">
        <v>475</v>
      </c>
      <c r="P448" t="s">
        <v>2787</v>
      </c>
    </row>
    <row r="449" spans="1:16" x14ac:dyDescent="0.3">
      <c r="A449" t="s">
        <v>2534</v>
      </c>
      <c r="B449" s="3" t="s">
        <v>2827</v>
      </c>
      <c r="C449" t="s">
        <v>2533</v>
      </c>
      <c r="D449" s="9">
        <f>VLOOKUP(A449,[2]Sheet1!$A:$C,3,0)</f>
        <v>0</v>
      </c>
      <c r="J449" s="1"/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t="s">
        <v>2787</v>
      </c>
    </row>
    <row r="450" spans="1:16" x14ac:dyDescent="0.3">
      <c r="A450" s="9" t="s">
        <v>2250</v>
      </c>
      <c r="B450" s="10" t="s">
        <v>2827</v>
      </c>
      <c r="C450" s="9" t="s">
        <v>2249</v>
      </c>
      <c r="D450" s="9">
        <f>VLOOKUP(A450,[2]Sheet1!$A:$C,3,0)</f>
        <v>0</v>
      </c>
      <c r="E450" s="10">
        <v>0</v>
      </c>
      <c r="F450" s="10"/>
      <c r="G450" s="28">
        <v>0</v>
      </c>
      <c r="H450" s="10">
        <v>0</v>
      </c>
      <c r="I450" s="13">
        <v>0</v>
      </c>
      <c r="J450" s="10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9"/>
    </row>
    <row r="451" spans="1:16" x14ac:dyDescent="0.3">
      <c r="A451" s="9" t="s">
        <v>2248</v>
      </c>
      <c r="B451" s="10" t="s">
        <v>2827</v>
      </c>
      <c r="C451" s="9" t="s">
        <v>2247</v>
      </c>
      <c r="D451" s="9">
        <f>VLOOKUP(A451,[2]Sheet1!$A:$C,3,0)</f>
        <v>30</v>
      </c>
      <c r="E451" s="10">
        <v>0</v>
      </c>
      <c r="F451" s="10"/>
      <c r="G451" s="28">
        <v>0</v>
      </c>
      <c r="H451" s="10">
        <v>0</v>
      </c>
      <c r="I451" s="13">
        <v>0</v>
      </c>
      <c r="J451" s="10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9"/>
    </row>
    <row r="452" spans="1:16" x14ac:dyDescent="0.3">
      <c r="A452" t="s">
        <v>2246</v>
      </c>
      <c r="B452" s="3" t="s">
        <v>2827</v>
      </c>
      <c r="C452" t="s">
        <v>2245</v>
      </c>
      <c r="D452" s="9">
        <f>VLOOKUP(A452,[2]Sheet1!$A:$C,3,0)</f>
        <v>0</v>
      </c>
      <c r="J452" s="1"/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6" x14ac:dyDescent="0.3">
      <c r="A453" t="s">
        <v>2244</v>
      </c>
      <c r="B453" s="3" t="s">
        <v>2827</v>
      </c>
      <c r="C453" t="s">
        <v>2243</v>
      </c>
      <c r="D453" s="9">
        <f>VLOOKUP(A453,[2]Sheet1!$A:$C,3,0)</f>
        <v>0</v>
      </c>
      <c r="J453" s="1"/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6" x14ac:dyDescent="0.3">
      <c r="A454" t="s">
        <v>2242</v>
      </c>
      <c r="B454" s="3" t="s">
        <v>2827</v>
      </c>
      <c r="C454" t="s">
        <v>2241</v>
      </c>
      <c r="D454" s="9">
        <f>VLOOKUP(A454,[2]Sheet1!$A:$C,3,0)</f>
        <v>0</v>
      </c>
      <c r="J454" s="1"/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6" x14ac:dyDescent="0.3">
      <c r="A455" t="s">
        <v>2240</v>
      </c>
      <c r="B455" s="3" t="s">
        <v>2827</v>
      </c>
      <c r="C455" t="s">
        <v>2239</v>
      </c>
      <c r="D455" s="9">
        <f>VLOOKUP(A455,[2]Sheet1!$A:$C,3,0)</f>
        <v>2</v>
      </c>
      <c r="J455" s="1"/>
      <c r="K455" s="2">
        <v>0</v>
      </c>
      <c r="L455" s="1">
        <v>300</v>
      </c>
      <c r="M455" s="1">
        <v>325</v>
      </c>
      <c r="N455" s="1">
        <v>340</v>
      </c>
      <c r="O455" s="1">
        <v>350</v>
      </c>
    </row>
    <row r="456" spans="1:16" x14ac:dyDescent="0.3">
      <c r="A456" t="s">
        <v>2238</v>
      </c>
      <c r="B456" s="3" t="s">
        <v>2827</v>
      </c>
      <c r="C456" t="s">
        <v>2237</v>
      </c>
      <c r="D456" s="9">
        <f>VLOOKUP(A456,[2]Sheet1!$A:$C,3,0)</f>
        <v>0</v>
      </c>
      <c r="J456" s="1"/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6" x14ac:dyDescent="0.3">
      <c r="A457" t="s">
        <v>2236</v>
      </c>
      <c r="B457" s="3" t="s">
        <v>2827</v>
      </c>
      <c r="C457" t="s">
        <v>2235</v>
      </c>
      <c r="D457" s="9">
        <f>VLOOKUP(A457,[2]Sheet1!$A:$C,3,0)</f>
        <v>0</v>
      </c>
      <c r="J457" s="1"/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6" x14ac:dyDescent="0.3">
      <c r="A458" t="s">
        <v>2234</v>
      </c>
      <c r="B458" s="3" t="s">
        <v>2827</v>
      </c>
      <c r="C458" t="s">
        <v>2233</v>
      </c>
      <c r="D458" s="9">
        <f>VLOOKUP(A458,[2]Sheet1!$A:$C,3,0)</f>
        <v>0</v>
      </c>
      <c r="J458" s="1"/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6" x14ac:dyDescent="0.3">
      <c r="A459" t="s">
        <v>2232</v>
      </c>
      <c r="B459" s="3" t="s">
        <v>2827</v>
      </c>
      <c r="C459" t="s">
        <v>2231</v>
      </c>
      <c r="D459" s="9">
        <f>VLOOKUP(A459,[2]Sheet1!$A:$C,3,0)</f>
        <v>0</v>
      </c>
      <c r="J459" s="1"/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6" x14ac:dyDescent="0.3">
      <c r="A460" t="s">
        <v>2582</v>
      </c>
      <c r="B460" s="3" t="s">
        <v>2827</v>
      </c>
      <c r="C460" t="s">
        <v>2581</v>
      </c>
      <c r="D460" s="9">
        <f>VLOOKUP(A460,[2]Sheet1!$A:$C,3,0)</f>
        <v>0</v>
      </c>
      <c r="J460" s="1"/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6" x14ac:dyDescent="0.3">
      <c r="A461" t="s">
        <v>2580</v>
      </c>
      <c r="B461" s="3" t="s">
        <v>2827</v>
      </c>
      <c r="C461" t="s">
        <v>2579</v>
      </c>
      <c r="D461" s="9">
        <f>VLOOKUP(A461,[2]Sheet1!$A:$C,3,0)</f>
        <v>7</v>
      </c>
      <c r="J461" s="1"/>
      <c r="K461" s="2">
        <v>0</v>
      </c>
      <c r="L461" s="1">
        <v>310</v>
      </c>
      <c r="M461" s="1">
        <v>315</v>
      </c>
      <c r="N461" s="1">
        <v>325</v>
      </c>
      <c r="O461" s="1">
        <v>350</v>
      </c>
    </row>
    <row r="462" spans="1:16" x14ac:dyDescent="0.3">
      <c r="A462" t="s">
        <v>2578</v>
      </c>
      <c r="B462" s="3" t="s">
        <v>2827</v>
      </c>
      <c r="C462" t="s">
        <v>2577</v>
      </c>
      <c r="D462" s="9">
        <f>VLOOKUP(A462,[2]Sheet1!$A:$C,3,0)</f>
        <v>26</v>
      </c>
      <c r="J462" s="1"/>
      <c r="K462" s="2">
        <v>0</v>
      </c>
      <c r="L462" s="1">
        <v>85</v>
      </c>
      <c r="M462" s="1">
        <v>87</v>
      </c>
      <c r="N462" s="1">
        <v>90</v>
      </c>
      <c r="O462" s="1">
        <v>100</v>
      </c>
    </row>
    <row r="463" spans="1:16" x14ac:dyDescent="0.3">
      <c r="A463" t="s">
        <v>2576</v>
      </c>
      <c r="B463" s="3" t="s">
        <v>2827</v>
      </c>
      <c r="C463" t="s">
        <v>2575</v>
      </c>
      <c r="D463" s="9">
        <f>VLOOKUP(A463,[2]Sheet1!$A:$C,3,0)</f>
        <v>33</v>
      </c>
      <c r="J463" s="1"/>
      <c r="K463" s="2">
        <v>0</v>
      </c>
      <c r="L463" s="1">
        <v>125</v>
      </c>
      <c r="M463" s="1">
        <v>128</v>
      </c>
      <c r="N463" s="1">
        <v>135</v>
      </c>
      <c r="O463" s="1">
        <v>140</v>
      </c>
    </row>
    <row r="464" spans="1:16" x14ac:dyDescent="0.3">
      <c r="A464" t="s">
        <v>2574</v>
      </c>
      <c r="B464" s="3" t="s">
        <v>2827</v>
      </c>
      <c r="C464" t="s">
        <v>2573</v>
      </c>
      <c r="D464" s="9">
        <f>VLOOKUP(A464,[2]Sheet1!$A:$C,3,0)</f>
        <v>38</v>
      </c>
      <c r="J464" s="1"/>
      <c r="K464" s="2">
        <v>0</v>
      </c>
      <c r="L464" s="1">
        <v>815</v>
      </c>
      <c r="M464" s="1">
        <v>835</v>
      </c>
      <c r="N464" s="1">
        <v>865</v>
      </c>
      <c r="O464" s="1">
        <v>925</v>
      </c>
    </row>
    <row r="465" spans="1:15" x14ac:dyDescent="0.3">
      <c r="A465" t="s">
        <v>2572</v>
      </c>
      <c r="B465" s="3" t="s">
        <v>2827</v>
      </c>
      <c r="C465" t="s">
        <v>2571</v>
      </c>
      <c r="D465" s="9">
        <f>VLOOKUP(A465,[2]Sheet1!$A:$C,3,0)</f>
        <v>19</v>
      </c>
      <c r="J465" s="1"/>
      <c r="K465" s="2">
        <v>0</v>
      </c>
      <c r="L465" s="1">
        <v>1620</v>
      </c>
      <c r="M465" s="1">
        <v>1670</v>
      </c>
      <c r="N465" s="1">
        <v>1725</v>
      </c>
      <c r="O465" s="1">
        <v>1825</v>
      </c>
    </row>
    <row r="466" spans="1:15" x14ac:dyDescent="0.3">
      <c r="A466" t="s">
        <v>2570</v>
      </c>
      <c r="B466" s="3" t="s">
        <v>2827</v>
      </c>
      <c r="C466" t="s">
        <v>2569</v>
      </c>
      <c r="D466" s="9">
        <f>VLOOKUP(A466,[2]Sheet1!$A:$C,3,0)</f>
        <v>0</v>
      </c>
      <c r="J466" s="1"/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 x14ac:dyDescent="0.3">
      <c r="A467" t="s">
        <v>2568</v>
      </c>
      <c r="B467" s="3" t="s">
        <v>2827</v>
      </c>
      <c r="C467" t="s">
        <v>2567</v>
      </c>
      <c r="D467" s="9">
        <f>VLOOKUP(A467,[2]Sheet1!$A:$C,3,0)</f>
        <v>2</v>
      </c>
      <c r="J467" s="1"/>
      <c r="K467" s="2">
        <v>0</v>
      </c>
      <c r="L467" s="1">
        <v>140</v>
      </c>
      <c r="M467" s="1">
        <v>145</v>
      </c>
      <c r="N467" s="1">
        <v>150</v>
      </c>
      <c r="O467" s="1">
        <v>160</v>
      </c>
    </row>
    <row r="468" spans="1:15" x14ac:dyDescent="0.3">
      <c r="A468" t="s">
        <v>2566</v>
      </c>
      <c r="B468" s="3" t="s">
        <v>2827</v>
      </c>
      <c r="C468" t="s">
        <v>2565</v>
      </c>
      <c r="D468" s="9">
        <f>VLOOKUP(A468,[2]Sheet1!$A:$C,3,0)</f>
        <v>5</v>
      </c>
      <c r="J468" s="1"/>
      <c r="K468" s="2">
        <v>0</v>
      </c>
      <c r="L468" s="1">
        <v>200</v>
      </c>
      <c r="M468" s="1">
        <v>205</v>
      </c>
      <c r="N468" s="1">
        <v>210</v>
      </c>
      <c r="O468" s="1">
        <v>225</v>
      </c>
    </row>
    <row r="469" spans="1:15" x14ac:dyDescent="0.3">
      <c r="A469" t="s">
        <v>2564</v>
      </c>
      <c r="B469" s="3" t="s">
        <v>2827</v>
      </c>
      <c r="C469" t="s">
        <v>2563</v>
      </c>
      <c r="D469" s="9">
        <f>VLOOKUP(A469,[2]Sheet1!$A:$C,3,0)</f>
        <v>56</v>
      </c>
      <c r="J469" s="1"/>
      <c r="K469" s="2">
        <v>0</v>
      </c>
      <c r="L469" s="1">
        <v>200</v>
      </c>
      <c r="M469" s="1">
        <v>205</v>
      </c>
      <c r="N469" s="1">
        <v>210</v>
      </c>
      <c r="O469" s="1">
        <v>225</v>
      </c>
    </row>
    <row r="470" spans="1:15" x14ac:dyDescent="0.3">
      <c r="A470" t="s">
        <v>2562</v>
      </c>
      <c r="B470" s="3" t="s">
        <v>2827</v>
      </c>
      <c r="C470" t="s">
        <v>2561</v>
      </c>
      <c r="D470" s="9">
        <f>VLOOKUP(A470,[2]Sheet1!$A:$C,3,0)</f>
        <v>101</v>
      </c>
      <c r="J470" s="1"/>
      <c r="K470" s="2">
        <v>0</v>
      </c>
      <c r="L470" s="1">
        <v>460</v>
      </c>
      <c r="M470" s="1">
        <v>475</v>
      </c>
      <c r="N470" s="1">
        <v>490</v>
      </c>
      <c r="O470" s="1">
        <v>520</v>
      </c>
    </row>
    <row r="471" spans="1:15" x14ac:dyDescent="0.3">
      <c r="A471" t="s">
        <v>2560</v>
      </c>
      <c r="B471" s="3" t="s">
        <v>2827</v>
      </c>
      <c r="C471" t="s">
        <v>2559</v>
      </c>
      <c r="D471" s="9">
        <f>VLOOKUP(A471,[2]Sheet1!$A:$C,3,0)</f>
        <v>88</v>
      </c>
      <c r="J471" s="1"/>
      <c r="K471" s="2">
        <v>0</v>
      </c>
      <c r="L471" s="1">
        <v>460</v>
      </c>
      <c r="M471" s="1">
        <v>475</v>
      </c>
      <c r="N471" s="1">
        <v>490</v>
      </c>
      <c r="O471" s="1">
        <v>520</v>
      </c>
    </row>
    <row r="472" spans="1:15" x14ac:dyDescent="0.3">
      <c r="A472" t="s">
        <v>2558</v>
      </c>
      <c r="B472" s="3" t="s">
        <v>2827</v>
      </c>
      <c r="C472" t="s">
        <v>2557</v>
      </c>
      <c r="D472" s="9">
        <f>VLOOKUP(A472,[2]Sheet1!$A:$C,3,0)</f>
        <v>6</v>
      </c>
      <c r="J472" s="1"/>
      <c r="K472" s="2">
        <v>0</v>
      </c>
      <c r="L472" s="1">
        <v>630</v>
      </c>
      <c r="M472" s="1">
        <v>650</v>
      </c>
      <c r="N472" s="1">
        <v>670</v>
      </c>
      <c r="O472" s="1">
        <v>710</v>
      </c>
    </row>
    <row r="473" spans="1:15" x14ac:dyDescent="0.3">
      <c r="A473" t="s">
        <v>2556</v>
      </c>
      <c r="B473" s="3" t="s">
        <v>2827</v>
      </c>
      <c r="C473" t="s">
        <v>2555</v>
      </c>
      <c r="D473" s="9">
        <f>VLOOKUP(A473,[2]Sheet1!$A:$C,3,0)</f>
        <v>23</v>
      </c>
      <c r="J473" s="1"/>
      <c r="K473" s="2">
        <v>0</v>
      </c>
      <c r="L473" s="1">
        <v>495</v>
      </c>
      <c r="M473" s="1">
        <v>510</v>
      </c>
      <c r="N473" s="1">
        <v>525</v>
      </c>
      <c r="O473" s="1">
        <v>555</v>
      </c>
    </row>
    <row r="474" spans="1:15" x14ac:dyDescent="0.3">
      <c r="A474" t="s">
        <v>2554</v>
      </c>
      <c r="B474" s="3" t="s">
        <v>2827</v>
      </c>
      <c r="C474" t="s">
        <v>2553</v>
      </c>
      <c r="D474" s="9">
        <f>VLOOKUP(A474,[2]Sheet1!$A:$C,3,0)</f>
        <v>26</v>
      </c>
      <c r="J474" s="1"/>
      <c r="K474" s="2">
        <v>0</v>
      </c>
      <c r="L474" s="1">
        <v>915</v>
      </c>
      <c r="M474" s="1">
        <v>940</v>
      </c>
      <c r="N474" s="1">
        <v>975</v>
      </c>
      <c r="O474" s="1">
        <v>1050</v>
      </c>
    </row>
    <row r="475" spans="1:15" x14ac:dyDescent="0.3">
      <c r="A475" t="s">
        <v>2552</v>
      </c>
      <c r="B475" s="3" t="s">
        <v>2827</v>
      </c>
      <c r="C475" t="s">
        <v>2551</v>
      </c>
      <c r="D475" s="9">
        <f>VLOOKUP(A475,[2]Sheet1!$A:$C,3,0)</f>
        <v>10</v>
      </c>
      <c r="J475" s="1"/>
      <c r="K475" s="2">
        <v>0</v>
      </c>
      <c r="L475" s="1">
        <v>495</v>
      </c>
      <c r="M475" s="1">
        <v>510</v>
      </c>
      <c r="N475" s="1">
        <v>525</v>
      </c>
      <c r="O475" s="1">
        <v>555</v>
      </c>
    </row>
    <row r="476" spans="1:15" x14ac:dyDescent="0.3">
      <c r="A476" t="s">
        <v>2550</v>
      </c>
      <c r="B476" s="3" t="s">
        <v>2827</v>
      </c>
      <c r="C476" t="s">
        <v>2549</v>
      </c>
      <c r="D476" s="9">
        <f>VLOOKUP(A476,[2]Sheet1!$A:$C,3,0)</f>
        <v>108</v>
      </c>
      <c r="J476" s="1"/>
      <c r="K476" s="2">
        <v>0</v>
      </c>
      <c r="L476" s="1">
        <v>1110</v>
      </c>
      <c r="M476" s="1">
        <v>1140</v>
      </c>
      <c r="N476" s="1">
        <v>1180</v>
      </c>
      <c r="O476" s="1">
        <v>1250</v>
      </c>
    </row>
    <row r="477" spans="1:15" x14ac:dyDescent="0.3">
      <c r="A477" t="s">
        <v>2532</v>
      </c>
      <c r="B477" s="3" t="s">
        <v>2827</v>
      </c>
      <c r="C477" t="s">
        <v>2531</v>
      </c>
      <c r="D477" s="9">
        <f>VLOOKUP(A477,[2]Sheet1!$A:$C,3,0)</f>
        <v>0</v>
      </c>
      <c r="J477" s="1"/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 x14ac:dyDescent="0.3">
      <c r="A478" t="s">
        <v>2230</v>
      </c>
      <c r="B478" s="3" t="s">
        <v>2827</v>
      </c>
      <c r="C478" t="s">
        <v>2229</v>
      </c>
      <c r="D478" s="9">
        <f>VLOOKUP(A478,[2]Sheet1!$A:$C,3,0)</f>
        <v>0</v>
      </c>
      <c r="J478" s="1"/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 x14ac:dyDescent="0.3">
      <c r="A479" t="s">
        <v>2228</v>
      </c>
      <c r="B479" s="3" t="s">
        <v>2827</v>
      </c>
      <c r="C479" t="s">
        <v>2227</v>
      </c>
      <c r="D479" s="9">
        <f>VLOOKUP(A479,[2]Sheet1!$A:$C,3,0)</f>
        <v>9</v>
      </c>
      <c r="J479" s="1"/>
      <c r="K479" s="2">
        <v>0</v>
      </c>
      <c r="L479" s="1">
        <v>225</v>
      </c>
      <c r="M479" s="1">
        <v>235</v>
      </c>
      <c r="N479" s="1">
        <v>240</v>
      </c>
      <c r="O479" s="1">
        <v>255</v>
      </c>
    </row>
    <row r="480" spans="1:15" x14ac:dyDescent="0.3">
      <c r="A480" t="s">
        <v>2226</v>
      </c>
      <c r="B480" s="3" t="s">
        <v>2827</v>
      </c>
      <c r="C480" t="s">
        <v>2225</v>
      </c>
      <c r="D480" s="9">
        <f>VLOOKUP(A480,[2]Sheet1!$A:$C,3,0)</f>
        <v>10</v>
      </c>
      <c r="J480" s="1"/>
      <c r="K480" s="2">
        <v>0</v>
      </c>
      <c r="L480" s="1">
        <v>225</v>
      </c>
      <c r="M480" s="1">
        <v>235</v>
      </c>
      <c r="N480" s="1">
        <v>240</v>
      </c>
      <c r="O480" s="1">
        <v>255</v>
      </c>
    </row>
    <row r="481" spans="1:16" x14ac:dyDescent="0.3">
      <c r="A481" t="s">
        <v>2224</v>
      </c>
      <c r="B481" s="3" t="s">
        <v>2827</v>
      </c>
      <c r="C481" t="s">
        <v>2223</v>
      </c>
      <c r="D481" s="9">
        <f>VLOOKUP(A481,[2]Sheet1!$A:$C,3,0)</f>
        <v>0</v>
      </c>
      <c r="J481" s="1"/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6" x14ac:dyDescent="0.3">
      <c r="A482" t="s">
        <v>2222</v>
      </c>
      <c r="B482" s="3" t="s">
        <v>2827</v>
      </c>
      <c r="C482" t="s">
        <v>2221</v>
      </c>
      <c r="D482" s="9">
        <f>VLOOKUP(A482,[2]Sheet1!$A:$C,3,0)</f>
        <v>17</v>
      </c>
      <c r="J482" s="1"/>
      <c r="K482" s="1">
        <v>225</v>
      </c>
      <c r="L482" s="1">
        <v>230</v>
      </c>
      <c r="M482" s="1">
        <v>235</v>
      </c>
      <c r="N482" s="1">
        <v>240</v>
      </c>
      <c r="O482" s="1">
        <v>260</v>
      </c>
    </row>
    <row r="483" spans="1:16" x14ac:dyDescent="0.3">
      <c r="A483" t="s">
        <v>2220</v>
      </c>
      <c r="B483" s="3" t="s">
        <v>2828</v>
      </c>
      <c r="C483" t="s">
        <v>2683</v>
      </c>
      <c r="D483" s="9">
        <f>VLOOKUP(A483,[2]Sheet1!$A:$C,3,0)</f>
        <v>0</v>
      </c>
      <c r="J483" s="1"/>
      <c r="K483" s="1">
        <v>815</v>
      </c>
      <c r="L483" s="1">
        <v>820</v>
      </c>
      <c r="M483" s="1">
        <v>830</v>
      </c>
      <c r="N483" s="1">
        <v>850</v>
      </c>
      <c r="O483" s="1">
        <v>860</v>
      </c>
    </row>
    <row r="484" spans="1:16" x14ac:dyDescent="0.3">
      <c r="A484" t="s">
        <v>2684</v>
      </c>
      <c r="B484" s="3" t="s">
        <v>2828</v>
      </c>
      <c r="C484" t="s">
        <v>2685</v>
      </c>
      <c r="D484" s="9">
        <f>VLOOKUP(A484,[2]Sheet1!$A:$C,3,0)</f>
        <v>8</v>
      </c>
      <c r="J484" s="1"/>
      <c r="K484" s="1">
        <v>815</v>
      </c>
      <c r="L484" s="1">
        <v>820</v>
      </c>
      <c r="M484" s="1">
        <v>830</v>
      </c>
      <c r="N484" s="1">
        <v>850</v>
      </c>
      <c r="O484" s="1">
        <v>860</v>
      </c>
    </row>
    <row r="485" spans="1:16" x14ac:dyDescent="0.3">
      <c r="A485" t="s">
        <v>2219</v>
      </c>
      <c r="B485" s="3" t="s">
        <v>2828</v>
      </c>
      <c r="C485" t="s">
        <v>2218</v>
      </c>
      <c r="D485" s="9">
        <f>VLOOKUP(A485,[2]Sheet1!$A:$C,3,0)</f>
        <v>401</v>
      </c>
      <c r="J485" s="1"/>
      <c r="K485" s="1">
        <v>815</v>
      </c>
      <c r="L485" s="1">
        <v>820</v>
      </c>
      <c r="M485" s="1">
        <v>830</v>
      </c>
      <c r="N485" s="1">
        <v>850</v>
      </c>
      <c r="O485" s="1">
        <v>860</v>
      </c>
    </row>
    <row r="486" spans="1:16" x14ac:dyDescent="0.3">
      <c r="A486" t="s">
        <v>2217</v>
      </c>
      <c r="B486" s="3" t="s">
        <v>2828</v>
      </c>
      <c r="C486" t="s">
        <v>2216</v>
      </c>
      <c r="D486" s="9">
        <f>VLOOKUP(A486,[2]Sheet1!$A:$C,3,0)</f>
        <v>429</v>
      </c>
      <c r="J486" s="1"/>
      <c r="K486" s="1">
        <v>815</v>
      </c>
      <c r="L486" s="1">
        <v>820</v>
      </c>
      <c r="M486" s="1">
        <v>830</v>
      </c>
      <c r="N486" s="1">
        <v>850</v>
      </c>
      <c r="O486" s="1">
        <v>860</v>
      </c>
    </row>
    <row r="487" spans="1:16" x14ac:dyDescent="0.3">
      <c r="A487" t="s">
        <v>2215</v>
      </c>
      <c r="B487" s="3" t="s">
        <v>2828</v>
      </c>
      <c r="C487" t="s">
        <v>2214</v>
      </c>
      <c r="D487" s="9">
        <f>VLOOKUP(A487,[2]Sheet1!$A:$C,3,0)</f>
        <v>5</v>
      </c>
      <c r="J487" s="1"/>
      <c r="K487" s="1">
        <v>815</v>
      </c>
      <c r="L487" s="1">
        <v>820</v>
      </c>
      <c r="M487" s="1">
        <v>830</v>
      </c>
      <c r="N487" s="1">
        <v>850</v>
      </c>
      <c r="O487" s="1">
        <v>860</v>
      </c>
    </row>
    <row r="488" spans="1:16" x14ac:dyDescent="0.3">
      <c r="A488" t="s">
        <v>2686</v>
      </c>
      <c r="B488" s="3" t="s">
        <v>2828</v>
      </c>
      <c r="C488" t="s">
        <v>2687</v>
      </c>
      <c r="D488" s="9">
        <f>VLOOKUP(A488,[2]Sheet1!$A:$C,3,0)</f>
        <v>0</v>
      </c>
      <c r="J488" s="1"/>
      <c r="K488" s="1">
        <v>815</v>
      </c>
      <c r="L488" s="1">
        <v>820</v>
      </c>
      <c r="M488" s="1">
        <v>830</v>
      </c>
      <c r="N488" s="1">
        <v>850</v>
      </c>
      <c r="O488" s="1">
        <v>860</v>
      </c>
    </row>
    <row r="489" spans="1:16" x14ac:dyDescent="0.3">
      <c r="A489" t="s">
        <v>2213</v>
      </c>
      <c r="B489" s="3" t="s">
        <v>2828</v>
      </c>
      <c r="C489" t="s">
        <v>2212</v>
      </c>
      <c r="D489" s="9">
        <f>VLOOKUP(A489,[2]Sheet1!$A:$C,3,0)</f>
        <v>78</v>
      </c>
      <c r="J489" s="1"/>
      <c r="K489" s="2">
        <v>0</v>
      </c>
      <c r="L489" s="1">
        <v>89.5</v>
      </c>
      <c r="M489" s="1">
        <v>93</v>
      </c>
      <c r="N489" s="1">
        <v>96</v>
      </c>
      <c r="O489" s="1">
        <v>105</v>
      </c>
      <c r="P489" t="s">
        <v>2781</v>
      </c>
    </row>
    <row r="490" spans="1:16" x14ac:dyDescent="0.3">
      <c r="A490" t="s">
        <v>2211</v>
      </c>
      <c r="B490" s="3" t="s">
        <v>2829</v>
      </c>
      <c r="C490" t="s">
        <v>2210</v>
      </c>
      <c r="D490" s="9">
        <f>VLOOKUP(A490,[2]Sheet1!$A:$C,3,0)</f>
        <v>3</v>
      </c>
      <c r="J490" s="1"/>
      <c r="K490" s="1">
        <v>890</v>
      </c>
      <c r="L490" s="1">
        <v>895</v>
      </c>
      <c r="M490" s="1">
        <v>925</v>
      </c>
      <c r="N490" s="1">
        <v>955</v>
      </c>
      <c r="O490" s="1">
        <v>1000</v>
      </c>
    </row>
    <row r="491" spans="1:16" x14ac:dyDescent="0.3">
      <c r="A491" t="s">
        <v>1894</v>
      </c>
      <c r="B491" s="3" t="s">
        <v>2830</v>
      </c>
      <c r="C491" t="s">
        <v>1893</v>
      </c>
      <c r="D491" s="9">
        <f>VLOOKUP(A491,[2]Sheet1!$A:$C,3,0)</f>
        <v>55</v>
      </c>
      <c r="J491" s="1"/>
      <c r="K491" s="1">
        <v>42</v>
      </c>
      <c r="L491" s="1">
        <v>43</v>
      </c>
      <c r="M491" s="1">
        <v>45</v>
      </c>
      <c r="N491" s="1">
        <v>47</v>
      </c>
      <c r="O491" s="1">
        <v>50</v>
      </c>
      <c r="P491" t="s">
        <v>2788</v>
      </c>
    </row>
    <row r="492" spans="1:16" x14ac:dyDescent="0.3">
      <c r="A492" t="s">
        <v>2060</v>
      </c>
      <c r="B492" s="3" t="s">
        <v>2830</v>
      </c>
      <c r="C492" t="s">
        <v>2059</v>
      </c>
      <c r="D492" s="9">
        <f>VLOOKUP(A492,[2]Sheet1!$A:$C,3,0)</f>
        <v>30</v>
      </c>
      <c r="J492" s="1"/>
      <c r="K492" s="1">
        <v>2.25</v>
      </c>
      <c r="L492" s="1">
        <v>2.5</v>
      </c>
      <c r="M492" s="1">
        <v>2.75</v>
      </c>
      <c r="N492" s="1">
        <v>3</v>
      </c>
      <c r="O492" s="1">
        <v>3.5</v>
      </c>
    </row>
    <row r="493" spans="1:16" x14ac:dyDescent="0.3">
      <c r="A493" t="s">
        <v>2058</v>
      </c>
      <c r="B493" s="3" t="s">
        <v>2830</v>
      </c>
      <c r="C493" t="s">
        <v>2057</v>
      </c>
      <c r="D493" s="9">
        <f>VLOOKUP(A493,[2]Sheet1!$A:$C,3,0)</f>
        <v>487</v>
      </c>
      <c r="J493" s="1"/>
      <c r="K493" s="1">
        <v>1.75</v>
      </c>
      <c r="L493" s="1">
        <v>1.85</v>
      </c>
      <c r="M493" s="1">
        <v>2</v>
      </c>
      <c r="N493" s="1">
        <v>2.25</v>
      </c>
      <c r="O493" s="1">
        <v>2.5</v>
      </c>
      <c r="P493" t="s">
        <v>2789</v>
      </c>
    </row>
    <row r="494" spans="1:16" x14ac:dyDescent="0.3">
      <c r="A494" t="s">
        <v>2056</v>
      </c>
      <c r="B494" s="3" t="s">
        <v>2830</v>
      </c>
      <c r="C494" t="s">
        <v>2055</v>
      </c>
      <c r="D494" s="9">
        <f>VLOOKUP(A494,[2]Sheet1!$A:$C,3,0)</f>
        <v>462</v>
      </c>
      <c r="J494" s="1"/>
      <c r="K494" s="1">
        <v>1.7</v>
      </c>
      <c r="L494" s="1">
        <v>1.8</v>
      </c>
      <c r="M494" s="1">
        <v>2</v>
      </c>
      <c r="N494" s="1">
        <v>2.25</v>
      </c>
      <c r="O494" s="1">
        <v>2.5</v>
      </c>
    </row>
    <row r="495" spans="1:16" x14ac:dyDescent="0.3">
      <c r="A495" t="s">
        <v>2054</v>
      </c>
      <c r="B495" s="3" t="s">
        <v>2830</v>
      </c>
      <c r="C495" t="s">
        <v>2053</v>
      </c>
      <c r="D495" s="9">
        <f>VLOOKUP(A495,[2]Sheet1!$A:$C,3,0)</f>
        <v>23</v>
      </c>
      <c r="J495" s="1"/>
      <c r="K495" s="1">
        <v>3.5</v>
      </c>
      <c r="L495" s="1">
        <v>3.75</v>
      </c>
      <c r="M495" s="1">
        <v>4</v>
      </c>
      <c r="N495" s="1">
        <v>4.5</v>
      </c>
      <c r="O495" s="1">
        <v>5</v>
      </c>
    </row>
    <row r="496" spans="1:16" x14ac:dyDescent="0.3">
      <c r="A496" t="s">
        <v>2052</v>
      </c>
      <c r="B496" s="3" t="s">
        <v>2830</v>
      </c>
      <c r="C496" t="s">
        <v>2051</v>
      </c>
      <c r="D496" s="9">
        <f>VLOOKUP(A496,[2]Sheet1!$A:$C,3,0)</f>
        <v>5600</v>
      </c>
      <c r="J496" s="1"/>
      <c r="K496" s="1">
        <v>0.25</v>
      </c>
      <c r="L496" s="1">
        <v>0.28000000000000003</v>
      </c>
      <c r="M496" s="1">
        <v>0.3</v>
      </c>
      <c r="N496" s="1">
        <v>0.35</v>
      </c>
      <c r="O496" s="1">
        <v>0.4</v>
      </c>
    </row>
    <row r="497" spans="1:16" x14ac:dyDescent="0.3">
      <c r="A497" t="s">
        <v>1892</v>
      </c>
      <c r="B497" s="3" t="s">
        <v>2830</v>
      </c>
      <c r="C497" t="s">
        <v>1891</v>
      </c>
      <c r="D497" s="9">
        <f>VLOOKUP(A497,[2]Sheet1!$A:$C,3,0)</f>
        <v>2474</v>
      </c>
      <c r="J497" s="1"/>
      <c r="K497" s="1">
        <v>2.25</v>
      </c>
      <c r="L497" s="1">
        <v>2.5</v>
      </c>
      <c r="M497" s="1">
        <v>2.75</v>
      </c>
      <c r="N497" s="1">
        <v>3</v>
      </c>
      <c r="O497" s="1">
        <v>3.5</v>
      </c>
    </row>
    <row r="498" spans="1:16" x14ac:dyDescent="0.3">
      <c r="A498" t="s">
        <v>1890</v>
      </c>
      <c r="B498" s="3" t="s">
        <v>2830</v>
      </c>
      <c r="C498" t="s">
        <v>1889</v>
      </c>
      <c r="D498" s="9">
        <f>VLOOKUP(A498,[2]Sheet1!$A:$C,3,0)</f>
        <v>9220</v>
      </c>
      <c r="J498" s="1"/>
      <c r="K498" s="1">
        <v>1.75</v>
      </c>
      <c r="L498" s="1">
        <v>1.85</v>
      </c>
      <c r="M498" s="1">
        <v>2</v>
      </c>
      <c r="N498" s="1">
        <v>2.25</v>
      </c>
      <c r="O498" s="1">
        <v>2.5</v>
      </c>
      <c r="P498" t="s">
        <v>2789</v>
      </c>
    </row>
    <row r="499" spans="1:16" x14ac:dyDescent="0.3">
      <c r="A499" t="s">
        <v>1888</v>
      </c>
      <c r="B499" s="3" t="s">
        <v>2830</v>
      </c>
      <c r="C499" t="s">
        <v>1887</v>
      </c>
      <c r="D499" s="9">
        <f>VLOOKUP(A499,[2]Sheet1!$A:$C,3,0)</f>
        <v>14971</v>
      </c>
      <c r="J499" s="1"/>
      <c r="K499" s="1">
        <v>1.7</v>
      </c>
      <c r="L499" s="1">
        <v>1.8</v>
      </c>
      <c r="M499" s="1">
        <v>2</v>
      </c>
      <c r="N499" s="1">
        <v>2.25</v>
      </c>
      <c r="O499" s="1">
        <v>2.5</v>
      </c>
    </row>
    <row r="500" spans="1:16" x14ac:dyDescent="0.3">
      <c r="A500" t="s">
        <v>1886</v>
      </c>
      <c r="B500" s="3" t="s">
        <v>2830</v>
      </c>
      <c r="C500" t="s">
        <v>1885</v>
      </c>
      <c r="D500" s="9">
        <f>VLOOKUP(A500,[2]Sheet1!$A:$C,3,0)</f>
        <v>3245</v>
      </c>
      <c r="J500" s="1"/>
      <c r="K500" s="1">
        <v>3.5</v>
      </c>
      <c r="L500" s="1">
        <v>3.75</v>
      </c>
      <c r="M500" s="1">
        <v>4</v>
      </c>
      <c r="N500" s="1">
        <v>4.5</v>
      </c>
      <c r="O500" s="1">
        <v>5</v>
      </c>
    </row>
    <row r="501" spans="1:16" x14ac:dyDescent="0.3">
      <c r="A501" t="s">
        <v>1884</v>
      </c>
      <c r="B501" s="3" t="s">
        <v>2830</v>
      </c>
      <c r="C501" t="s">
        <v>1883</v>
      </c>
      <c r="D501" s="9">
        <f>VLOOKUP(A501,[2]Sheet1!$A:$C,3,0)</f>
        <v>57320</v>
      </c>
      <c r="J501" s="1"/>
      <c r="K501" s="1">
        <v>0.25</v>
      </c>
      <c r="L501" s="1">
        <v>0.28000000000000003</v>
      </c>
      <c r="M501" s="1">
        <v>0.3</v>
      </c>
      <c r="N501" s="1">
        <v>0.35</v>
      </c>
      <c r="O501" s="1">
        <v>0.4</v>
      </c>
    </row>
    <row r="502" spans="1:16" x14ac:dyDescent="0.3">
      <c r="A502" t="s">
        <v>1724</v>
      </c>
      <c r="B502" s="3" t="s">
        <v>2830</v>
      </c>
      <c r="C502" t="s">
        <v>1723</v>
      </c>
      <c r="D502" s="9">
        <f>VLOOKUP(A502,[2]Sheet1!$A:$C,3,0)</f>
        <v>804</v>
      </c>
      <c r="J502" s="1"/>
      <c r="K502" s="1">
        <v>2.85</v>
      </c>
      <c r="L502" s="1">
        <v>3</v>
      </c>
      <c r="M502" s="1">
        <v>3.5</v>
      </c>
      <c r="N502" s="1">
        <v>4</v>
      </c>
      <c r="O502" s="1">
        <v>4.25</v>
      </c>
    </row>
    <row r="503" spans="1:16" x14ac:dyDescent="0.3">
      <c r="A503" t="s">
        <v>1722</v>
      </c>
      <c r="B503" s="3" t="s">
        <v>2830</v>
      </c>
      <c r="C503" t="s">
        <v>1721</v>
      </c>
      <c r="D503" s="9">
        <f>VLOOKUP(A503,[2]Sheet1!$A:$C,3,0)</f>
        <v>4346</v>
      </c>
      <c r="J503" s="1"/>
      <c r="K503" s="1">
        <v>2.25</v>
      </c>
      <c r="L503" s="1">
        <v>2.5</v>
      </c>
      <c r="M503" s="1">
        <v>2.75</v>
      </c>
      <c r="N503" s="1">
        <v>3</v>
      </c>
      <c r="O503" s="1">
        <v>3.5</v>
      </c>
      <c r="P503" t="s">
        <v>2789</v>
      </c>
    </row>
    <row r="504" spans="1:16" x14ac:dyDescent="0.3">
      <c r="A504" t="s">
        <v>1720</v>
      </c>
      <c r="B504" s="3" t="s">
        <v>2830</v>
      </c>
      <c r="C504" t="s">
        <v>1719</v>
      </c>
      <c r="D504" s="9">
        <f>VLOOKUP(A504,[2]Sheet1!$A:$C,3,0)</f>
        <v>4424</v>
      </c>
      <c r="J504" s="1"/>
      <c r="K504" s="1">
        <v>2.25</v>
      </c>
      <c r="L504" s="1">
        <v>2.5</v>
      </c>
      <c r="M504" s="1">
        <v>2.75</v>
      </c>
      <c r="N504" s="1">
        <v>3</v>
      </c>
      <c r="O504" s="1">
        <v>3.5</v>
      </c>
    </row>
    <row r="505" spans="1:16" x14ac:dyDescent="0.3">
      <c r="A505" t="s">
        <v>1718</v>
      </c>
      <c r="B505" s="3" t="s">
        <v>2830</v>
      </c>
      <c r="C505" t="s">
        <v>1717</v>
      </c>
      <c r="D505" s="9">
        <f>VLOOKUP(A505,[2]Sheet1!$A:$C,3,0)</f>
        <v>1711</v>
      </c>
      <c r="J505" s="1"/>
      <c r="K505" s="1">
        <v>3.5</v>
      </c>
      <c r="L505" s="1">
        <v>3.75</v>
      </c>
      <c r="M505" s="1">
        <v>4</v>
      </c>
      <c r="N505" s="1">
        <v>4.5</v>
      </c>
      <c r="O505" s="1">
        <v>5</v>
      </c>
    </row>
    <row r="506" spans="1:16" x14ac:dyDescent="0.3">
      <c r="A506" t="s">
        <v>1716</v>
      </c>
      <c r="B506" s="3" t="s">
        <v>2830</v>
      </c>
      <c r="C506" t="s">
        <v>1715</v>
      </c>
      <c r="D506" s="9">
        <f>VLOOKUP(A506,[2]Sheet1!$A:$C,3,0)</f>
        <v>53300</v>
      </c>
      <c r="J506" s="1"/>
      <c r="K506" s="1">
        <v>0.25</v>
      </c>
      <c r="L506" s="1">
        <v>0.28000000000000003</v>
      </c>
      <c r="M506" s="1">
        <v>0.3</v>
      </c>
      <c r="N506" s="1">
        <v>0.35</v>
      </c>
      <c r="O506" s="1">
        <v>0.4</v>
      </c>
    </row>
    <row r="507" spans="1:16" x14ac:dyDescent="0.3">
      <c r="A507" t="s">
        <v>1668</v>
      </c>
      <c r="B507" s="3" t="s">
        <v>2830</v>
      </c>
      <c r="C507" t="s">
        <v>1667</v>
      </c>
      <c r="D507" s="9">
        <f>VLOOKUP(A507,[2]Sheet1!$A:$C,3,0)</f>
        <v>185</v>
      </c>
      <c r="J507" s="1"/>
      <c r="K507" s="1">
        <v>2.25</v>
      </c>
      <c r="L507" s="1">
        <v>2.5</v>
      </c>
      <c r="M507" s="1">
        <v>2.75</v>
      </c>
      <c r="N507" s="1">
        <v>3</v>
      </c>
      <c r="O507" s="1">
        <v>3.5</v>
      </c>
    </row>
    <row r="508" spans="1:16" x14ac:dyDescent="0.3">
      <c r="A508" t="s">
        <v>1666</v>
      </c>
      <c r="B508" s="3" t="s">
        <v>2830</v>
      </c>
      <c r="C508" t="s">
        <v>1665</v>
      </c>
      <c r="D508" s="9">
        <f>VLOOKUP(A508,[2]Sheet1!$A:$C,3,0)</f>
        <v>549</v>
      </c>
      <c r="J508" s="1"/>
      <c r="K508" s="1">
        <v>1.75</v>
      </c>
      <c r="L508" s="1">
        <v>1.85</v>
      </c>
      <c r="M508" s="1">
        <v>2</v>
      </c>
      <c r="N508" s="1">
        <v>2.25</v>
      </c>
      <c r="O508" s="1">
        <v>2.5</v>
      </c>
      <c r="P508" t="s">
        <v>2789</v>
      </c>
    </row>
    <row r="509" spans="1:16" x14ac:dyDescent="0.3">
      <c r="A509" t="s">
        <v>1664</v>
      </c>
      <c r="B509" s="3" t="s">
        <v>2830</v>
      </c>
      <c r="C509" t="s">
        <v>1663</v>
      </c>
      <c r="D509" s="9">
        <f>VLOOKUP(A509,[2]Sheet1!$A:$C,3,0)</f>
        <v>696</v>
      </c>
      <c r="J509" s="1"/>
      <c r="K509" s="1">
        <v>1.7</v>
      </c>
      <c r="L509" s="1">
        <v>1.8</v>
      </c>
      <c r="M509" s="1">
        <v>2</v>
      </c>
      <c r="N509" s="1">
        <v>2.25</v>
      </c>
      <c r="O509" s="1">
        <v>2.5</v>
      </c>
    </row>
    <row r="510" spans="1:16" x14ac:dyDescent="0.3">
      <c r="A510" t="s">
        <v>1662</v>
      </c>
      <c r="B510" s="3" t="s">
        <v>2830</v>
      </c>
      <c r="C510" t="s">
        <v>1661</v>
      </c>
      <c r="D510" s="9">
        <f>VLOOKUP(A510,[2]Sheet1!$A:$C,3,0)</f>
        <v>90</v>
      </c>
      <c r="J510" s="1"/>
      <c r="K510" s="1">
        <v>3.5</v>
      </c>
      <c r="L510" s="1">
        <v>3.75</v>
      </c>
      <c r="M510" s="1">
        <v>4</v>
      </c>
      <c r="N510" s="1">
        <v>4.5</v>
      </c>
      <c r="O510" s="1">
        <v>5</v>
      </c>
    </row>
    <row r="511" spans="1:16" x14ac:dyDescent="0.3">
      <c r="A511" t="s">
        <v>1660</v>
      </c>
      <c r="B511" s="3" t="s">
        <v>2830</v>
      </c>
      <c r="C511" t="s">
        <v>1659</v>
      </c>
      <c r="D511" s="9">
        <f>VLOOKUP(A511,[2]Sheet1!$A:$C,3,0)</f>
        <v>5380</v>
      </c>
      <c r="J511" s="1"/>
      <c r="K511" s="1">
        <v>0.25</v>
      </c>
      <c r="L511" s="1">
        <v>0.28000000000000003</v>
      </c>
      <c r="M511" s="1">
        <v>0.3</v>
      </c>
      <c r="N511" s="1">
        <v>0.35</v>
      </c>
      <c r="O511" s="1">
        <v>0.4</v>
      </c>
    </row>
    <row r="512" spans="1:16" x14ac:dyDescent="0.3">
      <c r="A512" s="9" t="s">
        <v>2209</v>
      </c>
      <c r="B512" s="10" t="s">
        <v>2831</v>
      </c>
      <c r="C512" s="9" t="s">
        <v>2208</v>
      </c>
      <c r="D512" s="9">
        <f>VLOOKUP(A512,[2]Sheet1!$A:$C,3,0)</f>
        <v>10</v>
      </c>
      <c r="E512" s="10">
        <v>0</v>
      </c>
      <c r="F512" s="10"/>
      <c r="G512" s="28">
        <v>0</v>
      </c>
      <c r="H512" s="10">
        <v>0</v>
      </c>
      <c r="I512" s="13">
        <v>0</v>
      </c>
      <c r="J512" s="10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9"/>
    </row>
    <row r="513" spans="1:15" x14ac:dyDescent="0.3">
      <c r="A513" t="s">
        <v>1882</v>
      </c>
      <c r="B513" s="3" t="s">
        <v>2831</v>
      </c>
      <c r="C513" t="s">
        <v>1881</v>
      </c>
      <c r="D513" s="9">
        <f>VLOOKUP(A513,[2]Sheet1!$A:$C,3,0)</f>
        <v>0</v>
      </c>
      <c r="J513" s="1"/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spans="1:15" x14ac:dyDescent="0.3">
      <c r="A514" t="s">
        <v>1880</v>
      </c>
      <c r="B514" s="3" t="s">
        <v>2831</v>
      </c>
      <c r="C514" t="s">
        <v>1879</v>
      </c>
      <c r="D514" s="9">
        <f>VLOOKUP(A514,[2]Sheet1!$A:$C,3,0)</f>
        <v>3460</v>
      </c>
      <c r="J514" s="1"/>
      <c r="K514" s="1">
        <v>82</v>
      </c>
      <c r="L514" s="1">
        <v>85</v>
      </c>
      <c r="M514" s="1">
        <v>88</v>
      </c>
      <c r="N514" s="1">
        <v>92</v>
      </c>
      <c r="O514" s="1">
        <v>95</v>
      </c>
    </row>
    <row r="515" spans="1:15" x14ac:dyDescent="0.3">
      <c r="A515" t="s">
        <v>1878</v>
      </c>
      <c r="B515" s="3" t="s">
        <v>2831</v>
      </c>
      <c r="C515" t="s">
        <v>1877</v>
      </c>
      <c r="D515" s="9">
        <f>VLOOKUP(A515,[2]Sheet1!$A:$C,3,0)</f>
        <v>2832</v>
      </c>
      <c r="J515" s="1"/>
      <c r="K515" s="1">
        <v>77</v>
      </c>
      <c r="L515" s="1">
        <v>80</v>
      </c>
      <c r="M515" s="1">
        <v>82</v>
      </c>
      <c r="N515" s="1">
        <v>85</v>
      </c>
      <c r="O515" s="1">
        <v>90</v>
      </c>
    </row>
    <row r="516" spans="1:15" x14ac:dyDescent="0.3">
      <c r="A516" t="s">
        <v>1876</v>
      </c>
      <c r="B516" s="3" t="s">
        <v>2831</v>
      </c>
      <c r="C516" t="s">
        <v>1875</v>
      </c>
      <c r="D516" s="9">
        <f>VLOOKUP(A516,[2]Sheet1!$A:$C,3,0)</f>
        <v>2544</v>
      </c>
      <c r="J516" s="1"/>
      <c r="K516" s="1">
        <v>61</v>
      </c>
      <c r="L516" s="1">
        <v>63</v>
      </c>
      <c r="M516" s="1">
        <v>65</v>
      </c>
      <c r="N516" s="1">
        <v>68</v>
      </c>
      <c r="O516" s="1">
        <v>70</v>
      </c>
    </row>
    <row r="517" spans="1:15" x14ac:dyDescent="0.3">
      <c r="A517" t="s">
        <v>1874</v>
      </c>
      <c r="B517" s="3" t="s">
        <v>2831</v>
      </c>
      <c r="C517" t="s">
        <v>1873</v>
      </c>
      <c r="D517" s="9">
        <f>VLOOKUP(A517,[2]Sheet1!$A:$C,3,0)</f>
        <v>498</v>
      </c>
      <c r="J517" s="1"/>
      <c r="K517" s="1">
        <v>55</v>
      </c>
      <c r="L517" s="1">
        <v>57</v>
      </c>
      <c r="M517" s="1">
        <v>59</v>
      </c>
      <c r="N517" s="1">
        <v>62</v>
      </c>
      <c r="O517" s="1">
        <v>64</v>
      </c>
    </row>
    <row r="518" spans="1:15" x14ac:dyDescent="0.3">
      <c r="A518" t="s">
        <v>1872</v>
      </c>
      <c r="B518" s="3" t="s">
        <v>2831</v>
      </c>
      <c r="C518" t="s">
        <v>1871</v>
      </c>
      <c r="D518" s="9">
        <f>VLOOKUP(A518,[2]Sheet1!$A:$C,3,0)</f>
        <v>546</v>
      </c>
      <c r="J518" s="1"/>
      <c r="K518" s="1">
        <v>110</v>
      </c>
      <c r="L518" s="1">
        <v>113</v>
      </c>
      <c r="M518" s="1">
        <v>117</v>
      </c>
      <c r="N518" s="1">
        <v>120</v>
      </c>
      <c r="O518" s="1">
        <v>125</v>
      </c>
    </row>
    <row r="519" spans="1:15" x14ac:dyDescent="0.3">
      <c r="A519" t="s">
        <v>1714</v>
      </c>
      <c r="B519" s="3" t="s">
        <v>2831</v>
      </c>
      <c r="C519" t="s">
        <v>1713</v>
      </c>
      <c r="D519" s="9">
        <f>VLOOKUP(A519,[2]Sheet1!$A:$C,3,0)</f>
        <v>0</v>
      </c>
      <c r="J519" s="1"/>
      <c r="K519" s="1">
        <v>89</v>
      </c>
      <c r="L519" s="1">
        <v>91</v>
      </c>
      <c r="M519" s="1">
        <v>94</v>
      </c>
      <c r="N519" s="1">
        <v>100</v>
      </c>
      <c r="O519" s="1">
        <v>103</v>
      </c>
    </row>
    <row r="520" spans="1:15" x14ac:dyDescent="0.3">
      <c r="A520" t="s">
        <v>1658</v>
      </c>
      <c r="B520" s="3" t="s">
        <v>2831</v>
      </c>
      <c r="C520" t="s">
        <v>1657</v>
      </c>
      <c r="D520" s="9">
        <f>VLOOKUP(A520,[2]Sheet1!$A:$C,3,0)</f>
        <v>4</v>
      </c>
      <c r="J520" s="1"/>
      <c r="K520" s="1">
        <v>61</v>
      </c>
      <c r="L520" s="1">
        <v>63</v>
      </c>
      <c r="M520" s="1">
        <v>65</v>
      </c>
      <c r="N520" s="1">
        <v>68</v>
      </c>
      <c r="O520" s="1">
        <v>70</v>
      </c>
    </row>
    <row r="521" spans="1:15" x14ac:dyDescent="0.3">
      <c r="A521" t="s">
        <v>1870</v>
      </c>
      <c r="B521" s="3" t="s">
        <v>2831</v>
      </c>
      <c r="C521" t="s">
        <v>1869</v>
      </c>
      <c r="D521" s="9">
        <f>VLOOKUP(A521,[2]Sheet1!$A:$C,3,0)</f>
        <v>2304</v>
      </c>
      <c r="J521" s="1"/>
      <c r="K521" s="1">
        <v>87.5</v>
      </c>
      <c r="L521" s="1">
        <v>89</v>
      </c>
      <c r="M521" s="1">
        <v>92</v>
      </c>
      <c r="N521" s="1">
        <v>95</v>
      </c>
      <c r="O521" s="1">
        <v>98</v>
      </c>
    </row>
    <row r="522" spans="1:15" x14ac:dyDescent="0.3">
      <c r="A522" t="s">
        <v>2688</v>
      </c>
      <c r="B522" s="3" t="s">
        <v>2831</v>
      </c>
      <c r="C522" t="s">
        <v>2689</v>
      </c>
      <c r="D522" s="9">
        <f>VLOOKUP(A522,[2]Sheet1!$A:$C,3,0)</f>
        <v>0</v>
      </c>
      <c r="J522" s="1"/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">
      <c r="A523" t="s">
        <v>1868</v>
      </c>
      <c r="B523" s="3" t="s">
        <v>2831</v>
      </c>
      <c r="C523" t="s">
        <v>1867</v>
      </c>
      <c r="D523" s="9">
        <f>VLOOKUP(A523,[2]Sheet1!$A:$C,3,0)</f>
        <v>3071</v>
      </c>
      <c r="J523" s="1"/>
      <c r="K523" s="1">
        <v>87.5</v>
      </c>
      <c r="L523" s="1">
        <v>89</v>
      </c>
      <c r="M523" s="1">
        <v>92</v>
      </c>
      <c r="N523" s="1">
        <v>95</v>
      </c>
      <c r="O523" s="1">
        <v>98</v>
      </c>
    </row>
    <row r="524" spans="1:15" x14ac:dyDescent="0.3">
      <c r="A524" t="s">
        <v>1866</v>
      </c>
      <c r="B524" s="3" t="s">
        <v>2831</v>
      </c>
      <c r="C524" t="s">
        <v>1865</v>
      </c>
      <c r="D524" s="9">
        <f>VLOOKUP(A524,[2]Sheet1!$A:$C,3,0)</f>
        <v>0</v>
      </c>
      <c r="J524" s="1"/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 x14ac:dyDescent="0.3">
      <c r="A525" t="s">
        <v>1864</v>
      </c>
      <c r="B525" s="3" t="s">
        <v>2831</v>
      </c>
      <c r="C525" t="s">
        <v>1863</v>
      </c>
      <c r="D525" s="9">
        <f>VLOOKUP(A525,[2]Sheet1!$A:$C,3,0)</f>
        <v>0</v>
      </c>
      <c r="J525" s="1"/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 x14ac:dyDescent="0.3">
      <c r="A526" t="s">
        <v>1712</v>
      </c>
      <c r="B526" s="3" t="s">
        <v>2831</v>
      </c>
      <c r="C526" t="s">
        <v>1711</v>
      </c>
      <c r="D526" s="9">
        <f>VLOOKUP(A526,[2]Sheet1!$A:$C,3,0)</f>
        <v>0</v>
      </c>
      <c r="J526" s="1"/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 x14ac:dyDescent="0.3">
      <c r="A527" t="s">
        <v>1656</v>
      </c>
      <c r="B527" s="3" t="s">
        <v>2831</v>
      </c>
      <c r="C527" t="s">
        <v>1655</v>
      </c>
      <c r="D527" s="9">
        <f>VLOOKUP(A527,[2]Sheet1!$A:$C,3,0)</f>
        <v>0</v>
      </c>
      <c r="J527" s="1"/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 x14ac:dyDescent="0.3">
      <c r="A528" t="s">
        <v>1862</v>
      </c>
      <c r="B528" s="3" t="s">
        <v>2831</v>
      </c>
      <c r="C528" t="s">
        <v>1861</v>
      </c>
      <c r="D528" s="9">
        <f>VLOOKUP(A528,[2]Sheet1!$A:$C,3,0)</f>
        <v>1751</v>
      </c>
      <c r="J528" s="1"/>
      <c r="K528" s="1">
        <v>69</v>
      </c>
      <c r="L528" s="1">
        <v>71.5</v>
      </c>
      <c r="M528" s="1">
        <v>73</v>
      </c>
      <c r="N528" s="1">
        <v>77</v>
      </c>
      <c r="O528" s="1">
        <v>79</v>
      </c>
    </row>
    <row r="529" spans="1:16" x14ac:dyDescent="0.3">
      <c r="A529" t="s">
        <v>1860</v>
      </c>
      <c r="B529" s="3" t="s">
        <v>2831</v>
      </c>
      <c r="C529" t="s">
        <v>1859</v>
      </c>
      <c r="D529" s="9">
        <f>VLOOKUP(A529,[2]Sheet1!$A:$C,3,0)</f>
        <v>940</v>
      </c>
      <c r="J529" s="1"/>
      <c r="K529" s="1">
        <v>27.5</v>
      </c>
      <c r="L529" s="1">
        <v>28.5</v>
      </c>
      <c r="M529" s="1">
        <v>29.5</v>
      </c>
      <c r="N529" s="1">
        <v>31</v>
      </c>
      <c r="O529" s="1">
        <v>32</v>
      </c>
      <c r="P529" t="s">
        <v>2780</v>
      </c>
    </row>
    <row r="530" spans="1:16" x14ac:dyDescent="0.3">
      <c r="A530" t="s">
        <v>1858</v>
      </c>
      <c r="B530" s="3" t="s">
        <v>2831</v>
      </c>
      <c r="C530" t="s">
        <v>1857</v>
      </c>
      <c r="D530" s="9">
        <f>VLOOKUP(A530,[2]Sheet1!$A:$C,3,0)</f>
        <v>962</v>
      </c>
      <c r="J530" s="1"/>
      <c r="K530" s="1">
        <v>69</v>
      </c>
      <c r="L530" s="1">
        <v>71.5</v>
      </c>
      <c r="M530" s="1">
        <v>73</v>
      </c>
      <c r="N530" s="1">
        <v>77</v>
      </c>
      <c r="O530" s="1">
        <v>79</v>
      </c>
    </row>
    <row r="531" spans="1:16" x14ac:dyDescent="0.3">
      <c r="A531" t="s">
        <v>1710</v>
      </c>
      <c r="B531" s="3" t="s">
        <v>2831</v>
      </c>
      <c r="C531" t="s">
        <v>1709</v>
      </c>
      <c r="D531" s="9">
        <f>VLOOKUP(A531,[2]Sheet1!$A:$C,3,0)</f>
        <v>0</v>
      </c>
      <c r="J531" s="1"/>
      <c r="K531" s="1">
        <v>30</v>
      </c>
      <c r="L531" s="1">
        <v>31</v>
      </c>
      <c r="M531" s="1">
        <v>32</v>
      </c>
      <c r="N531" s="1">
        <v>34</v>
      </c>
      <c r="O531" s="1">
        <v>35</v>
      </c>
      <c r="P531" t="s">
        <v>2780</v>
      </c>
    </row>
    <row r="532" spans="1:16" x14ac:dyDescent="0.3">
      <c r="A532" t="s">
        <v>1708</v>
      </c>
      <c r="B532" s="3" t="s">
        <v>2831</v>
      </c>
      <c r="C532" t="s">
        <v>1707</v>
      </c>
      <c r="D532" s="9">
        <f>VLOOKUP(A532,[2]Sheet1!$A:$C,3,0)</f>
        <v>0</v>
      </c>
      <c r="J532" s="1"/>
      <c r="K532" s="1">
        <v>74</v>
      </c>
      <c r="L532" s="1">
        <v>76.5</v>
      </c>
      <c r="M532" s="1">
        <v>78.5</v>
      </c>
      <c r="N532" s="1">
        <v>82</v>
      </c>
      <c r="O532" s="1">
        <v>86</v>
      </c>
    </row>
    <row r="533" spans="1:16" x14ac:dyDescent="0.3">
      <c r="A533" t="s">
        <v>1654</v>
      </c>
      <c r="B533" s="3" t="s">
        <v>2831</v>
      </c>
      <c r="C533" t="s">
        <v>1653</v>
      </c>
      <c r="D533" s="9">
        <f>VLOOKUP(A533,[2]Sheet1!$A:$C,3,0)</f>
        <v>0</v>
      </c>
      <c r="J533" s="1"/>
      <c r="K533" s="1">
        <v>27.5</v>
      </c>
      <c r="L533" s="1">
        <v>28.5</v>
      </c>
      <c r="M533" s="1">
        <v>29.5</v>
      </c>
      <c r="N533" s="1">
        <v>31</v>
      </c>
      <c r="O533" s="1">
        <v>32</v>
      </c>
      <c r="P533" t="s">
        <v>2780</v>
      </c>
    </row>
    <row r="534" spans="1:16" x14ac:dyDescent="0.3">
      <c r="A534" t="s">
        <v>1652</v>
      </c>
      <c r="B534" s="3" t="s">
        <v>2831</v>
      </c>
      <c r="C534" t="s">
        <v>1651</v>
      </c>
      <c r="D534" s="9">
        <f>VLOOKUP(A534,[2]Sheet1!$A:$C,3,0)</f>
        <v>0</v>
      </c>
      <c r="J534" s="1"/>
      <c r="K534" s="1">
        <v>69</v>
      </c>
      <c r="L534" s="1">
        <v>71.5</v>
      </c>
      <c r="M534" s="1">
        <v>73</v>
      </c>
      <c r="N534" s="1">
        <v>77</v>
      </c>
      <c r="O534" s="1">
        <v>79</v>
      </c>
    </row>
    <row r="535" spans="1:16" x14ac:dyDescent="0.3">
      <c r="A535" t="s">
        <v>1646</v>
      </c>
      <c r="B535" s="3" t="s">
        <v>2831</v>
      </c>
      <c r="C535" t="s">
        <v>1645</v>
      </c>
      <c r="D535" s="9">
        <f>VLOOKUP(A535,[2]Sheet1!$A:$C,3,0)</f>
        <v>797</v>
      </c>
      <c r="J535" s="1"/>
      <c r="K535" s="1">
        <v>25.5</v>
      </c>
      <c r="L535" s="1">
        <v>26</v>
      </c>
      <c r="M535" s="1">
        <v>27</v>
      </c>
      <c r="N535" s="1">
        <v>28.5</v>
      </c>
      <c r="O535" s="1">
        <v>30</v>
      </c>
      <c r="P535" t="s">
        <v>2788</v>
      </c>
    </row>
    <row r="536" spans="1:16" x14ac:dyDescent="0.3">
      <c r="A536" t="s">
        <v>1644</v>
      </c>
      <c r="B536" s="3" t="s">
        <v>2831</v>
      </c>
      <c r="C536" t="s">
        <v>1643</v>
      </c>
      <c r="D536" s="9">
        <f>VLOOKUP(A536,[2]Sheet1!$A:$C,3,0)</f>
        <v>197</v>
      </c>
      <c r="J536" s="1"/>
      <c r="K536" s="1">
        <v>25.5</v>
      </c>
      <c r="L536" s="1">
        <v>26</v>
      </c>
      <c r="M536" s="1">
        <v>27</v>
      </c>
      <c r="N536" s="1">
        <v>28.5</v>
      </c>
      <c r="O536" s="1">
        <v>30</v>
      </c>
      <c r="P536" t="s">
        <v>2788</v>
      </c>
    </row>
    <row r="537" spans="1:16" x14ac:dyDescent="0.3">
      <c r="A537" t="s">
        <v>1486</v>
      </c>
      <c r="B537" s="3" t="s">
        <v>2832</v>
      </c>
      <c r="C537" t="s">
        <v>1485</v>
      </c>
      <c r="D537" s="9">
        <f>VLOOKUP(A537,[2]Sheet1!$A:$C,3,0)</f>
        <v>641</v>
      </c>
      <c r="J537" s="1"/>
      <c r="K537" s="1">
        <v>68</v>
      </c>
      <c r="L537" s="1">
        <v>69</v>
      </c>
      <c r="M537" s="1">
        <v>71</v>
      </c>
      <c r="N537" s="1">
        <v>74</v>
      </c>
      <c r="O537" s="1">
        <v>80</v>
      </c>
    </row>
    <row r="538" spans="1:16" x14ac:dyDescent="0.3">
      <c r="A538" t="s">
        <v>1484</v>
      </c>
      <c r="B538" s="3" t="s">
        <v>2832</v>
      </c>
      <c r="C538" t="s">
        <v>1483</v>
      </c>
      <c r="D538" s="9">
        <f>VLOOKUP(A538,[2]Sheet1!$A:$C,3,0)</f>
        <v>536</v>
      </c>
      <c r="J538" s="1"/>
      <c r="K538" s="1">
        <v>63</v>
      </c>
      <c r="L538" s="1">
        <v>65</v>
      </c>
      <c r="M538" s="1">
        <v>67</v>
      </c>
      <c r="N538" s="1">
        <v>70</v>
      </c>
      <c r="O538" s="1">
        <v>75</v>
      </c>
    </row>
    <row r="539" spans="1:16" x14ac:dyDescent="0.3">
      <c r="A539" t="s">
        <v>1482</v>
      </c>
      <c r="B539" s="3" t="s">
        <v>2832</v>
      </c>
      <c r="C539" t="s">
        <v>1481</v>
      </c>
      <c r="D539" s="9">
        <f>VLOOKUP(A539,[2]Sheet1!$A:$C,3,0)</f>
        <v>703</v>
      </c>
      <c r="J539" s="1"/>
      <c r="K539" s="1">
        <v>50</v>
      </c>
      <c r="L539" s="1">
        <v>51</v>
      </c>
      <c r="M539" s="1">
        <v>53</v>
      </c>
      <c r="N539" s="1">
        <v>54</v>
      </c>
      <c r="O539" s="1">
        <v>58</v>
      </c>
    </row>
    <row r="540" spans="1:16" x14ac:dyDescent="0.3">
      <c r="A540" t="s">
        <v>1480</v>
      </c>
      <c r="B540" s="3" t="s">
        <v>2832</v>
      </c>
      <c r="C540" t="s">
        <v>1479</v>
      </c>
      <c r="D540" s="9">
        <f>VLOOKUP(A540,[2]Sheet1!$A:$C,3,0)</f>
        <v>80</v>
      </c>
      <c r="J540" s="1"/>
      <c r="K540" s="1">
        <v>45</v>
      </c>
      <c r="L540" s="1">
        <v>46</v>
      </c>
      <c r="M540" s="1">
        <v>48</v>
      </c>
      <c r="N540" s="1">
        <v>49</v>
      </c>
      <c r="O540" s="1">
        <v>53</v>
      </c>
    </row>
    <row r="541" spans="1:16" x14ac:dyDescent="0.3">
      <c r="A541" t="s">
        <v>1478</v>
      </c>
      <c r="B541" s="3" t="s">
        <v>2832</v>
      </c>
      <c r="C541" t="s">
        <v>1477</v>
      </c>
      <c r="D541" s="9">
        <f>VLOOKUP(A541,[2]Sheet1!$A:$C,3,0)</f>
        <v>75</v>
      </c>
      <c r="J541" s="1"/>
      <c r="K541" s="1">
        <v>90</v>
      </c>
      <c r="L541" s="1">
        <v>92</v>
      </c>
      <c r="M541" s="1">
        <v>96</v>
      </c>
      <c r="N541" s="1">
        <v>98</v>
      </c>
      <c r="O541" s="1">
        <v>105</v>
      </c>
    </row>
    <row r="542" spans="1:16" x14ac:dyDescent="0.3">
      <c r="A542" t="s">
        <v>1476</v>
      </c>
      <c r="B542" s="3" t="s">
        <v>2832</v>
      </c>
      <c r="C542" t="s">
        <v>1475</v>
      </c>
      <c r="D542" s="9">
        <f>VLOOKUP(A542,[2]Sheet1!$A:$C,3,0)</f>
        <v>406</v>
      </c>
      <c r="J542" s="1"/>
      <c r="K542" s="1">
        <v>73</v>
      </c>
      <c r="L542" s="1">
        <v>73.5</v>
      </c>
      <c r="M542" s="1">
        <v>77</v>
      </c>
      <c r="N542" s="1">
        <v>80</v>
      </c>
      <c r="O542" s="1">
        <v>83</v>
      </c>
    </row>
    <row r="543" spans="1:16" x14ac:dyDescent="0.3">
      <c r="A543" t="s">
        <v>1474</v>
      </c>
      <c r="B543" s="3" t="s">
        <v>2832</v>
      </c>
      <c r="C543" t="s">
        <v>1473</v>
      </c>
      <c r="D543" s="9">
        <f>VLOOKUP(A543,[2]Sheet1!$A:$C,3,0)</f>
        <v>439</v>
      </c>
      <c r="J543" s="1"/>
      <c r="K543" s="1">
        <v>73</v>
      </c>
      <c r="L543" s="1">
        <v>73.5</v>
      </c>
      <c r="M543" s="1">
        <v>77</v>
      </c>
      <c r="N543" s="1">
        <v>80</v>
      </c>
      <c r="O543" s="1">
        <v>83</v>
      </c>
    </row>
    <row r="544" spans="1:16" x14ac:dyDescent="0.3">
      <c r="A544" t="s">
        <v>1472</v>
      </c>
      <c r="B544" s="3" t="s">
        <v>2832</v>
      </c>
      <c r="C544" t="s">
        <v>1471</v>
      </c>
      <c r="D544" s="9">
        <f>VLOOKUP(A544,[2]Sheet1!$A:$C,3,0)</f>
        <v>8</v>
      </c>
      <c r="J544" s="1"/>
      <c r="K544" s="1">
        <v>56</v>
      </c>
      <c r="L544" s="1">
        <v>58</v>
      </c>
      <c r="M544" s="1">
        <v>60</v>
      </c>
      <c r="N544" s="1">
        <v>62</v>
      </c>
      <c r="O544" s="1">
        <v>68</v>
      </c>
    </row>
    <row r="545" spans="1:16" x14ac:dyDescent="0.3">
      <c r="A545" t="s">
        <v>1470</v>
      </c>
      <c r="B545" s="3" t="s">
        <v>2832</v>
      </c>
      <c r="C545" t="s">
        <v>1469</v>
      </c>
      <c r="D545" s="9">
        <f>VLOOKUP(A545,[2]Sheet1!$A:$C,3,0)</f>
        <v>32</v>
      </c>
      <c r="J545" s="1"/>
      <c r="K545" s="1">
        <v>80</v>
      </c>
      <c r="L545" s="1">
        <v>83</v>
      </c>
      <c r="M545" s="1">
        <v>85</v>
      </c>
      <c r="N545" s="1">
        <v>90</v>
      </c>
      <c r="O545" s="1">
        <v>95</v>
      </c>
    </row>
    <row r="546" spans="1:16" x14ac:dyDescent="0.3">
      <c r="A546" t="s">
        <v>1468</v>
      </c>
      <c r="B546" s="3" t="s">
        <v>2832</v>
      </c>
      <c r="C546" t="s">
        <v>1467</v>
      </c>
      <c r="D546" s="9">
        <f>VLOOKUP(A546,[2]Sheet1!$A:$C,3,0)</f>
        <v>130</v>
      </c>
      <c r="J546" s="1"/>
      <c r="K546" s="1">
        <v>22.5</v>
      </c>
      <c r="L546" s="1">
        <v>23</v>
      </c>
      <c r="M546" s="1">
        <v>24</v>
      </c>
      <c r="N546" s="1">
        <v>25</v>
      </c>
      <c r="O546" s="1">
        <v>26</v>
      </c>
    </row>
    <row r="547" spans="1:16" x14ac:dyDescent="0.3">
      <c r="A547" t="s">
        <v>1466</v>
      </c>
      <c r="B547" s="3" t="s">
        <v>2832</v>
      </c>
      <c r="C547" t="s">
        <v>1465</v>
      </c>
      <c r="D547" s="9">
        <f>VLOOKUP(A547,[2]Sheet1!$A:$C,3,0)</f>
        <v>236</v>
      </c>
      <c r="J547" s="1"/>
      <c r="K547" s="1">
        <v>56</v>
      </c>
      <c r="L547" s="1">
        <v>58</v>
      </c>
      <c r="M547" s="1">
        <v>60</v>
      </c>
      <c r="N547" s="1">
        <v>62</v>
      </c>
      <c r="O547" s="1">
        <v>65</v>
      </c>
    </row>
    <row r="548" spans="1:16" x14ac:dyDescent="0.3">
      <c r="A548" t="s">
        <v>2690</v>
      </c>
      <c r="B548" s="3" t="s">
        <v>2832</v>
      </c>
      <c r="C548" t="s">
        <v>2691</v>
      </c>
      <c r="D548" s="9">
        <f>VLOOKUP(A548,[2]Sheet1!$A:$C,3,0)</f>
        <v>0</v>
      </c>
      <c r="J548" s="1"/>
      <c r="K548" s="1">
        <v>32.5</v>
      </c>
      <c r="L548" s="1">
        <v>33</v>
      </c>
      <c r="M548" s="1">
        <v>34</v>
      </c>
      <c r="N548" s="1">
        <v>35</v>
      </c>
      <c r="O548" s="1">
        <v>38</v>
      </c>
      <c r="P548" t="s">
        <v>2788</v>
      </c>
    </row>
    <row r="549" spans="1:16" x14ac:dyDescent="0.3">
      <c r="A549" t="s">
        <v>1546</v>
      </c>
      <c r="B549" s="3" t="s">
        <v>2832</v>
      </c>
      <c r="C549" t="s">
        <v>1545</v>
      </c>
      <c r="D549" s="9">
        <f>VLOOKUP(A549,[2]Sheet1!$A:$C,3,0)</f>
        <v>71</v>
      </c>
      <c r="J549" s="1"/>
      <c r="K549" s="2">
        <v>0</v>
      </c>
      <c r="L549" s="1">
        <v>145</v>
      </c>
      <c r="M549" s="1">
        <v>150</v>
      </c>
      <c r="N549" s="1">
        <v>155</v>
      </c>
      <c r="O549" s="1">
        <v>160</v>
      </c>
      <c r="P549" t="s">
        <v>2782</v>
      </c>
    </row>
    <row r="550" spans="1:16" x14ac:dyDescent="0.3">
      <c r="A550" t="s">
        <v>1508</v>
      </c>
      <c r="B550" s="3" t="s">
        <v>2832</v>
      </c>
      <c r="C550" t="s">
        <v>1507</v>
      </c>
      <c r="D550" s="9">
        <f>VLOOKUP(A550,[2]Sheet1!$A:$C,3,0)</f>
        <v>107</v>
      </c>
      <c r="J550" s="1"/>
      <c r="K550" s="2">
        <v>0</v>
      </c>
      <c r="L550" s="1">
        <v>145</v>
      </c>
      <c r="M550" s="1">
        <v>150</v>
      </c>
      <c r="N550" s="1">
        <v>155</v>
      </c>
      <c r="O550" s="1">
        <v>160</v>
      </c>
      <c r="P550" t="s">
        <v>2782</v>
      </c>
    </row>
    <row r="551" spans="1:16" x14ac:dyDescent="0.3">
      <c r="A551" t="s">
        <v>1464</v>
      </c>
      <c r="B551" s="3" t="s">
        <v>2832</v>
      </c>
      <c r="C551" t="s">
        <v>1463</v>
      </c>
      <c r="D551" s="9">
        <f>VLOOKUP(A551,[2]Sheet1!$A:$C,3,0)</f>
        <v>208</v>
      </c>
      <c r="J551" s="1"/>
      <c r="K551" s="2">
        <v>0</v>
      </c>
      <c r="L551" s="1">
        <v>145</v>
      </c>
      <c r="M551" s="1">
        <v>150</v>
      </c>
      <c r="N551" s="1">
        <v>155</v>
      </c>
      <c r="O551" s="1">
        <v>160</v>
      </c>
      <c r="P551" t="s">
        <v>2782</v>
      </c>
    </row>
    <row r="552" spans="1:16" x14ac:dyDescent="0.3">
      <c r="A552" t="s">
        <v>1396</v>
      </c>
      <c r="B552" s="3" t="s">
        <v>2832</v>
      </c>
      <c r="C552" t="s">
        <v>1395</v>
      </c>
      <c r="D552" s="9">
        <f>VLOOKUP(A552,[2]Sheet1!$A:$C,3,0)</f>
        <v>84</v>
      </c>
      <c r="J552" s="1"/>
      <c r="K552" s="2">
        <v>0</v>
      </c>
      <c r="L552" s="1">
        <v>145</v>
      </c>
      <c r="M552" s="1">
        <v>150</v>
      </c>
      <c r="N552" s="1">
        <v>155</v>
      </c>
      <c r="O552" s="1">
        <v>160</v>
      </c>
      <c r="P552" t="s">
        <v>2782</v>
      </c>
    </row>
    <row r="553" spans="1:16" x14ac:dyDescent="0.3">
      <c r="A553" t="s">
        <v>1544</v>
      </c>
      <c r="B553" s="3" t="s">
        <v>2832</v>
      </c>
      <c r="C553" t="s">
        <v>1543</v>
      </c>
      <c r="D553" s="9">
        <f>VLOOKUP(A553,[2]Sheet1!$A:$C,3,0)</f>
        <v>254</v>
      </c>
      <c r="J553" s="1"/>
      <c r="K553" s="2">
        <v>0</v>
      </c>
      <c r="L553" s="1">
        <v>44</v>
      </c>
      <c r="M553" s="1">
        <v>46</v>
      </c>
      <c r="N553" s="1">
        <v>48</v>
      </c>
      <c r="O553" s="1">
        <v>50</v>
      </c>
    </row>
    <row r="554" spans="1:16" x14ac:dyDescent="0.3">
      <c r="A554" t="s">
        <v>1542</v>
      </c>
      <c r="B554" s="3" t="s">
        <v>2832</v>
      </c>
      <c r="C554" t="s">
        <v>1541</v>
      </c>
      <c r="D554" s="9">
        <f>VLOOKUP(A554,[2]Sheet1!$A:$C,3,0)</f>
        <v>44</v>
      </c>
      <c r="J554" s="1"/>
      <c r="K554" s="2">
        <v>0</v>
      </c>
      <c r="L554" s="1">
        <v>145</v>
      </c>
      <c r="M554" s="1">
        <v>150</v>
      </c>
      <c r="N554" s="1">
        <v>155</v>
      </c>
      <c r="O554" s="1">
        <v>160</v>
      </c>
      <c r="P554" t="s">
        <v>2783</v>
      </c>
    </row>
    <row r="555" spans="1:16" x14ac:dyDescent="0.3">
      <c r="A555" t="s">
        <v>1506</v>
      </c>
      <c r="B555" s="3" t="s">
        <v>2832</v>
      </c>
      <c r="C555" t="s">
        <v>1505</v>
      </c>
      <c r="D555" s="9">
        <f>VLOOKUP(A555,[2]Sheet1!$A:$C,3,0)</f>
        <v>123</v>
      </c>
      <c r="J555" s="1"/>
      <c r="K555" s="2">
        <v>0</v>
      </c>
      <c r="L555" s="1">
        <v>44</v>
      </c>
      <c r="M555" s="1">
        <v>46</v>
      </c>
      <c r="N555" s="1">
        <v>48</v>
      </c>
      <c r="O555" s="1">
        <v>50</v>
      </c>
    </row>
    <row r="556" spans="1:16" x14ac:dyDescent="0.3">
      <c r="A556" t="s">
        <v>1504</v>
      </c>
      <c r="B556" s="3" t="s">
        <v>2832</v>
      </c>
      <c r="C556" t="s">
        <v>1503</v>
      </c>
      <c r="D556" s="9">
        <f>VLOOKUP(A556,[2]Sheet1!$A:$C,3,0)</f>
        <v>66</v>
      </c>
      <c r="J556" s="1"/>
      <c r="K556" s="2">
        <v>0</v>
      </c>
      <c r="L556" s="1">
        <v>145</v>
      </c>
      <c r="M556" s="1">
        <v>150</v>
      </c>
      <c r="N556" s="1">
        <v>155</v>
      </c>
      <c r="O556" s="1">
        <v>160</v>
      </c>
      <c r="P556" t="s">
        <v>2783</v>
      </c>
    </row>
    <row r="557" spans="1:16" x14ac:dyDescent="0.3">
      <c r="A557" t="s">
        <v>1462</v>
      </c>
      <c r="B557" s="3" t="s">
        <v>2832</v>
      </c>
      <c r="C557" t="s">
        <v>1461</v>
      </c>
      <c r="D557" s="9">
        <f>VLOOKUP(A557,[2]Sheet1!$A:$C,3,0)</f>
        <v>620</v>
      </c>
      <c r="J557" s="1"/>
      <c r="K557" s="2">
        <v>0</v>
      </c>
      <c r="L557" s="1">
        <v>44</v>
      </c>
      <c r="M557" s="1">
        <v>46</v>
      </c>
      <c r="N557" s="1">
        <v>48</v>
      </c>
      <c r="O557" s="1">
        <v>50</v>
      </c>
    </row>
    <row r="558" spans="1:16" x14ac:dyDescent="0.3">
      <c r="A558" t="s">
        <v>1460</v>
      </c>
      <c r="B558" s="3" t="s">
        <v>2832</v>
      </c>
      <c r="C558" t="s">
        <v>1459</v>
      </c>
      <c r="D558" s="9">
        <f>VLOOKUP(A558,[2]Sheet1!$A:$C,3,0)</f>
        <v>300</v>
      </c>
      <c r="J558" s="1"/>
      <c r="K558" s="2">
        <v>0</v>
      </c>
      <c r="L558" s="1">
        <v>145</v>
      </c>
      <c r="M558" s="1">
        <v>150</v>
      </c>
      <c r="N558" s="1">
        <v>155</v>
      </c>
      <c r="O558" s="1">
        <v>160</v>
      </c>
      <c r="P558" t="s">
        <v>2783</v>
      </c>
    </row>
    <row r="559" spans="1:16" x14ac:dyDescent="0.3">
      <c r="A559" t="s">
        <v>1394</v>
      </c>
      <c r="B559" s="3" t="s">
        <v>2832</v>
      </c>
      <c r="C559" t="s">
        <v>1393</v>
      </c>
      <c r="D559" s="9">
        <f>VLOOKUP(A559,[2]Sheet1!$A:$C,3,0)</f>
        <v>231</v>
      </c>
      <c r="J559" s="1"/>
      <c r="K559" s="2">
        <v>0</v>
      </c>
      <c r="L559" s="1">
        <v>44</v>
      </c>
      <c r="M559" s="1">
        <v>46</v>
      </c>
      <c r="N559" s="1">
        <v>48</v>
      </c>
      <c r="O559" s="1">
        <v>50</v>
      </c>
    </row>
    <row r="560" spans="1:16" x14ac:dyDescent="0.3">
      <c r="A560" t="s">
        <v>1392</v>
      </c>
      <c r="B560" s="3" t="s">
        <v>2832</v>
      </c>
      <c r="C560" t="s">
        <v>1391</v>
      </c>
      <c r="D560" s="9">
        <f>VLOOKUP(A560,[2]Sheet1!$A:$C,3,0)</f>
        <v>166</v>
      </c>
      <c r="J560" s="1"/>
      <c r="K560" s="2">
        <v>0</v>
      </c>
      <c r="L560" s="1">
        <v>145</v>
      </c>
      <c r="M560" s="1">
        <v>150</v>
      </c>
      <c r="N560" s="1">
        <v>155</v>
      </c>
      <c r="O560" s="1">
        <v>160</v>
      </c>
      <c r="P560" t="s">
        <v>2783</v>
      </c>
    </row>
    <row r="561" spans="1:16" x14ac:dyDescent="0.3">
      <c r="A561" t="s">
        <v>1618</v>
      </c>
      <c r="B561" s="3" t="s">
        <v>2832</v>
      </c>
      <c r="C561" t="s">
        <v>1617</v>
      </c>
      <c r="D561" s="9">
        <f>VLOOKUP(A561,[2]Sheet1!$A:$C,3,0)</f>
        <v>2190</v>
      </c>
      <c r="J561" s="1"/>
      <c r="K561" s="2">
        <v>0</v>
      </c>
      <c r="L561" s="1">
        <v>5.5</v>
      </c>
      <c r="M561" s="1">
        <v>6.5</v>
      </c>
      <c r="N561" s="1">
        <v>7</v>
      </c>
      <c r="O561" s="1">
        <v>7.5</v>
      </c>
      <c r="P561" t="s">
        <v>2784</v>
      </c>
    </row>
    <row r="562" spans="1:16" x14ac:dyDescent="0.3">
      <c r="A562" t="s">
        <v>1318</v>
      </c>
      <c r="B562" s="3" t="s">
        <v>2833</v>
      </c>
      <c r="C562" t="s">
        <v>1317</v>
      </c>
      <c r="D562" s="9">
        <f>VLOOKUP(A562,[2]Sheet1!$A:$C,3,0)</f>
        <v>847</v>
      </c>
      <c r="J562" s="1"/>
      <c r="K562" s="1">
        <v>35</v>
      </c>
      <c r="L562" s="1">
        <v>36</v>
      </c>
      <c r="M562" s="1">
        <v>37</v>
      </c>
      <c r="N562" s="1">
        <v>40</v>
      </c>
      <c r="O562" s="1">
        <v>42</v>
      </c>
      <c r="P562" t="s">
        <v>2788</v>
      </c>
    </row>
    <row r="563" spans="1:16" x14ac:dyDescent="0.3">
      <c r="A563" t="s">
        <v>1314</v>
      </c>
      <c r="B563" s="3" t="s">
        <v>2833</v>
      </c>
      <c r="C563" t="s">
        <v>1313</v>
      </c>
      <c r="D563" s="9">
        <f>VLOOKUP(A563,[2]Sheet1!$A:$C,3,0)</f>
        <v>438</v>
      </c>
      <c r="J563" s="1"/>
      <c r="K563" s="1">
        <v>35</v>
      </c>
      <c r="L563" s="1">
        <v>36</v>
      </c>
      <c r="M563" s="1">
        <v>37</v>
      </c>
      <c r="N563" s="1">
        <v>40</v>
      </c>
      <c r="O563" s="1">
        <v>42</v>
      </c>
      <c r="P563" t="s">
        <v>2788</v>
      </c>
    </row>
    <row r="564" spans="1:16" x14ac:dyDescent="0.3">
      <c r="A564" t="s">
        <v>1316</v>
      </c>
      <c r="B564" s="3" t="s">
        <v>2834</v>
      </c>
      <c r="C564" t="s">
        <v>1315</v>
      </c>
      <c r="D564" s="9">
        <f>VLOOKUP(A564,[2]Sheet1!$A:$C,3,0)</f>
        <v>179</v>
      </c>
      <c r="J564" s="1"/>
      <c r="K564" s="1">
        <v>44</v>
      </c>
      <c r="L564" s="1">
        <v>45</v>
      </c>
      <c r="M564" s="1">
        <v>47</v>
      </c>
      <c r="N564" s="1">
        <v>50</v>
      </c>
      <c r="O564" s="1">
        <v>53</v>
      </c>
      <c r="P564" t="s">
        <v>2788</v>
      </c>
    </row>
    <row r="565" spans="1:16" x14ac:dyDescent="0.3">
      <c r="A565" t="s">
        <v>1312</v>
      </c>
      <c r="B565" s="3" t="s">
        <v>2834</v>
      </c>
      <c r="C565" t="s">
        <v>1311</v>
      </c>
      <c r="D565" s="9">
        <f>VLOOKUP(A565,[2]Sheet1!$A:$C,3,0)</f>
        <v>64</v>
      </c>
      <c r="J565" s="1"/>
      <c r="K565" s="1">
        <v>44</v>
      </c>
      <c r="L565" s="1">
        <v>45</v>
      </c>
      <c r="M565" s="1">
        <v>47</v>
      </c>
      <c r="N565" s="1">
        <v>50</v>
      </c>
      <c r="O565" s="1">
        <v>53</v>
      </c>
      <c r="P565" t="s">
        <v>2788</v>
      </c>
    </row>
    <row r="566" spans="1:16" x14ac:dyDescent="0.3">
      <c r="A566" s="9" t="s">
        <v>1616</v>
      </c>
      <c r="B566" s="10" t="s">
        <v>2835</v>
      </c>
      <c r="C566" s="9" t="s">
        <v>1615</v>
      </c>
      <c r="D566" s="9">
        <f>VLOOKUP(A566,[2]Sheet1!$A:$C,3,0)</f>
        <v>0</v>
      </c>
      <c r="E566" s="10">
        <v>0</v>
      </c>
      <c r="F566" s="10"/>
      <c r="G566" s="28">
        <v>0</v>
      </c>
      <c r="H566" s="10">
        <v>0</v>
      </c>
      <c r="I566" s="13">
        <v>0</v>
      </c>
      <c r="J566" s="10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9"/>
    </row>
    <row r="567" spans="1:16" x14ac:dyDescent="0.3">
      <c r="A567" t="s">
        <v>1458</v>
      </c>
      <c r="B567" s="3" t="s">
        <v>2835</v>
      </c>
      <c r="C567" t="s">
        <v>1457</v>
      </c>
      <c r="D567" s="9">
        <f>VLOOKUP(A567,[2]Sheet1!$A:$C,3,0)</f>
        <v>0</v>
      </c>
      <c r="J567" s="1"/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6" x14ac:dyDescent="0.3">
      <c r="A568" t="s">
        <v>1456</v>
      </c>
      <c r="B568" s="3" t="s">
        <v>2835</v>
      </c>
      <c r="C568" t="s">
        <v>1455</v>
      </c>
      <c r="D568" s="9">
        <f>VLOOKUP(A568,[2]Sheet1!$A:$C,3,0)</f>
        <v>5</v>
      </c>
      <c r="J568" s="1"/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6" x14ac:dyDescent="0.3">
      <c r="A569" t="s">
        <v>1614</v>
      </c>
      <c r="B569" s="3" t="s">
        <v>2836</v>
      </c>
      <c r="C569" t="s">
        <v>1613</v>
      </c>
      <c r="D569" s="9">
        <f>VLOOKUP(A569,[2]Sheet1!$A:$C,3,0)</f>
        <v>10</v>
      </c>
      <c r="J569" s="1"/>
      <c r="K569" s="2">
        <v>0</v>
      </c>
      <c r="L569" s="1">
        <v>20.25</v>
      </c>
      <c r="M569" s="1">
        <v>21</v>
      </c>
      <c r="N569" s="1">
        <v>22</v>
      </c>
      <c r="O569" s="1">
        <v>23</v>
      </c>
      <c r="P569" t="s">
        <v>2790</v>
      </c>
    </row>
    <row r="570" spans="1:16" x14ac:dyDescent="0.3">
      <c r="A570" t="s">
        <v>1642</v>
      </c>
      <c r="B570" s="3" t="s">
        <v>2836</v>
      </c>
      <c r="C570" t="s">
        <v>1641</v>
      </c>
      <c r="D570" s="9">
        <f>VLOOKUP(A570,[2]Sheet1!$A:$C,3,0)</f>
        <v>14085</v>
      </c>
      <c r="J570" s="1"/>
      <c r="K570" s="1">
        <v>20.5</v>
      </c>
      <c r="L570" s="1">
        <v>21</v>
      </c>
      <c r="M570" s="1">
        <v>21.5</v>
      </c>
      <c r="N570" s="1">
        <v>23</v>
      </c>
      <c r="O570" s="1">
        <v>24.5</v>
      </c>
    </row>
    <row r="571" spans="1:16" x14ac:dyDescent="0.3">
      <c r="A571" t="s">
        <v>1636</v>
      </c>
      <c r="B571" s="3" t="s">
        <v>2836</v>
      </c>
      <c r="C571" t="s">
        <v>1635</v>
      </c>
      <c r="D571" s="9">
        <f>VLOOKUP(A571,[2]Sheet1!$A:$C,3,0)</f>
        <v>11349</v>
      </c>
      <c r="J571" s="1"/>
      <c r="K571" s="1">
        <v>30</v>
      </c>
      <c r="L571" s="1">
        <v>31</v>
      </c>
      <c r="M571" s="1">
        <v>31.5</v>
      </c>
      <c r="N571" s="1">
        <v>33.5</v>
      </c>
      <c r="O571" s="1">
        <v>35</v>
      </c>
    </row>
    <row r="572" spans="1:16" x14ac:dyDescent="0.3">
      <c r="A572" t="s">
        <v>1634</v>
      </c>
      <c r="B572" s="3" t="s">
        <v>2836</v>
      </c>
      <c r="C572" t="s">
        <v>1633</v>
      </c>
      <c r="D572" s="9">
        <f>VLOOKUP(A572,[2]Sheet1!$A:$C,3,0)</f>
        <v>5812</v>
      </c>
      <c r="J572" s="1"/>
      <c r="K572" s="1">
        <v>20.5</v>
      </c>
      <c r="L572" s="1">
        <v>21</v>
      </c>
      <c r="M572" s="1">
        <v>21.5</v>
      </c>
      <c r="N572" s="1">
        <v>23</v>
      </c>
      <c r="O572" s="1">
        <v>24.5</v>
      </c>
    </row>
    <row r="573" spans="1:16" x14ac:dyDescent="0.3">
      <c r="A573" t="s">
        <v>1624</v>
      </c>
      <c r="B573" s="3" t="s">
        <v>2836</v>
      </c>
      <c r="C573" t="s">
        <v>1623</v>
      </c>
      <c r="D573" s="9">
        <f>VLOOKUP(A573,[2]Sheet1!$A:$C,3,0)</f>
        <v>165</v>
      </c>
      <c r="J573" s="1"/>
      <c r="K573" s="1">
        <v>17.75</v>
      </c>
      <c r="L573" s="1">
        <v>18</v>
      </c>
      <c r="M573" s="1">
        <v>19</v>
      </c>
      <c r="N573" s="1">
        <v>19.5</v>
      </c>
      <c r="O573" s="1">
        <v>21</v>
      </c>
    </row>
    <row r="574" spans="1:16" x14ac:dyDescent="0.3">
      <c r="A574" t="s">
        <v>1612</v>
      </c>
      <c r="B574" s="3" t="s">
        <v>2836</v>
      </c>
      <c r="C574" t="s">
        <v>1611</v>
      </c>
      <c r="D574" s="9">
        <f>VLOOKUP(A574,[2]Sheet1!$A:$C,3,0)</f>
        <v>207</v>
      </c>
      <c r="J574" s="1"/>
      <c r="K574" s="1">
        <v>19</v>
      </c>
      <c r="L574" s="1">
        <v>19.5</v>
      </c>
      <c r="M574" s="1">
        <v>20</v>
      </c>
      <c r="N574" s="1">
        <v>21</v>
      </c>
      <c r="O574" s="1">
        <v>22</v>
      </c>
    </row>
    <row r="575" spans="1:16" x14ac:dyDescent="0.3">
      <c r="A575" t="s">
        <v>1610</v>
      </c>
      <c r="B575" s="3" t="s">
        <v>2836</v>
      </c>
      <c r="C575" t="s">
        <v>1609</v>
      </c>
      <c r="D575" s="9">
        <f>VLOOKUP(A575,[2]Sheet1!$A:$C,3,0)</f>
        <v>3081</v>
      </c>
      <c r="J575" s="1"/>
      <c r="K575" s="1">
        <v>121</v>
      </c>
      <c r="L575" s="1">
        <v>125</v>
      </c>
      <c r="M575" s="1">
        <v>129</v>
      </c>
      <c r="N575" s="1">
        <v>137</v>
      </c>
      <c r="O575" s="1">
        <v>142</v>
      </c>
      <c r="P575" t="s">
        <v>2781</v>
      </c>
    </row>
    <row r="576" spans="1:16" x14ac:dyDescent="0.3">
      <c r="A576" t="s">
        <v>1608</v>
      </c>
      <c r="B576" s="3" t="s">
        <v>2836</v>
      </c>
      <c r="C576" t="s">
        <v>1607</v>
      </c>
      <c r="D576" s="9">
        <f>VLOOKUP(A576,[2]Sheet1!$A:$C,3,0)</f>
        <v>4541</v>
      </c>
      <c r="J576" s="1"/>
      <c r="K576" s="1">
        <v>9.75</v>
      </c>
      <c r="L576" s="1">
        <v>10</v>
      </c>
      <c r="M576" s="1">
        <v>10.5</v>
      </c>
      <c r="N576" s="1">
        <v>11</v>
      </c>
      <c r="O576" s="1">
        <v>12</v>
      </c>
    </row>
    <row r="577" spans="1:16" x14ac:dyDescent="0.3">
      <c r="A577" t="s">
        <v>1606</v>
      </c>
      <c r="B577" s="3" t="s">
        <v>2836</v>
      </c>
      <c r="C577" t="s">
        <v>1605</v>
      </c>
      <c r="D577" s="9">
        <f>VLOOKUP(A577,[2]Sheet1!$A:$C,3,0)</f>
        <v>0</v>
      </c>
      <c r="J577" s="1"/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6" x14ac:dyDescent="0.3">
      <c r="A578" t="s">
        <v>1604</v>
      </c>
      <c r="B578" s="3" t="s">
        <v>2836</v>
      </c>
      <c r="C578" t="s">
        <v>1603</v>
      </c>
      <c r="D578" s="9">
        <f>VLOOKUP(A578,[2]Sheet1!$A:$C,3,0)</f>
        <v>264</v>
      </c>
      <c r="J578" s="1"/>
      <c r="K578" s="1">
        <v>48</v>
      </c>
      <c r="L578" s="1">
        <v>50</v>
      </c>
      <c r="M578" s="1">
        <v>53</v>
      </c>
      <c r="N578" s="1">
        <v>55</v>
      </c>
      <c r="O578" s="1">
        <v>60</v>
      </c>
    </row>
    <row r="579" spans="1:16" x14ac:dyDescent="0.3">
      <c r="A579" s="9" t="s">
        <v>1602</v>
      </c>
      <c r="B579" s="10" t="s">
        <v>2837</v>
      </c>
      <c r="C579" s="9" t="s">
        <v>1601</v>
      </c>
      <c r="D579" s="9">
        <f>VLOOKUP(A579,[2]Sheet1!$A:$C,3,0)</f>
        <v>1</v>
      </c>
      <c r="E579" s="10">
        <v>0</v>
      </c>
      <c r="F579" s="10"/>
      <c r="G579" s="28">
        <v>0</v>
      </c>
      <c r="H579" s="10">
        <v>0</v>
      </c>
      <c r="I579" s="13">
        <v>0</v>
      </c>
      <c r="J579" s="10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9"/>
    </row>
    <row r="580" spans="1:16" x14ac:dyDescent="0.3">
      <c r="A580" t="s">
        <v>1540</v>
      </c>
      <c r="B580" s="3" t="s">
        <v>2837</v>
      </c>
      <c r="C580" t="s">
        <v>1539</v>
      </c>
      <c r="D580" s="9">
        <f>VLOOKUP(A580,[2]Sheet1!$A:$C,3,0)</f>
        <v>2</v>
      </c>
      <c r="J580" s="1"/>
      <c r="K580" s="1">
        <v>1025</v>
      </c>
      <c r="L580" s="1">
        <v>1050</v>
      </c>
      <c r="M580" s="1">
        <v>1090</v>
      </c>
      <c r="N580" s="1">
        <v>1150</v>
      </c>
      <c r="O580" s="1">
        <v>1200</v>
      </c>
    </row>
    <row r="581" spans="1:16" x14ac:dyDescent="0.3">
      <c r="A581" t="s">
        <v>1538</v>
      </c>
      <c r="B581" s="3" t="s">
        <v>2837</v>
      </c>
      <c r="C581" t="s">
        <v>1537</v>
      </c>
      <c r="D581" s="9">
        <f>VLOOKUP(A581,[2]Sheet1!$A:$C,3,0)</f>
        <v>8</v>
      </c>
      <c r="J581" s="1"/>
      <c r="K581" s="1">
        <v>1325</v>
      </c>
      <c r="L581" s="1">
        <v>1365</v>
      </c>
      <c r="M581" s="1">
        <v>1415</v>
      </c>
      <c r="N581" s="1">
        <v>1500</v>
      </c>
      <c r="O581" s="1">
        <v>1550</v>
      </c>
    </row>
    <row r="582" spans="1:16" x14ac:dyDescent="0.3">
      <c r="A582" t="s">
        <v>2813</v>
      </c>
      <c r="B582" s="3" t="s">
        <v>2837</v>
      </c>
      <c r="C582" t="s">
        <v>2814</v>
      </c>
      <c r="D582" s="9">
        <f>VLOOKUP(A582,[2]Sheet1!$A:$C,3,0)</f>
        <v>0</v>
      </c>
      <c r="J582" s="1"/>
      <c r="K582" s="1">
        <v>1670</v>
      </c>
      <c r="L582" s="1">
        <v>1725</v>
      </c>
      <c r="M582" s="1">
        <v>1780</v>
      </c>
      <c r="N582" s="1">
        <v>1900</v>
      </c>
      <c r="O582" s="1">
        <v>1950</v>
      </c>
      <c r="P582" t="e">
        <v>#N/A</v>
      </c>
    </row>
    <row r="583" spans="1:16" x14ac:dyDescent="0.3">
      <c r="A583" t="s">
        <v>1502</v>
      </c>
      <c r="B583" s="3" t="s">
        <v>2837</v>
      </c>
      <c r="C583" t="s">
        <v>1501</v>
      </c>
      <c r="D583" s="9">
        <f>VLOOKUP(A583,[2]Sheet1!$A:$C,3,0)</f>
        <v>4</v>
      </c>
      <c r="J583" s="1"/>
      <c r="K583" s="1">
        <v>1050</v>
      </c>
      <c r="L583" s="1">
        <v>1075</v>
      </c>
      <c r="M583" s="1">
        <v>1115</v>
      </c>
      <c r="N583" s="1">
        <v>1180</v>
      </c>
      <c r="O583" s="1">
        <v>1230</v>
      </c>
    </row>
    <row r="584" spans="1:16" x14ac:dyDescent="0.3">
      <c r="A584" t="s">
        <v>1500</v>
      </c>
      <c r="B584" s="3" t="s">
        <v>2837</v>
      </c>
      <c r="C584" t="s">
        <v>1499</v>
      </c>
      <c r="D584" s="9">
        <f>VLOOKUP(A584,[2]Sheet1!$A:$C,3,0)</f>
        <v>0</v>
      </c>
      <c r="J584" s="1"/>
      <c r="K584" s="1">
        <v>1350</v>
      </c>
      <c r="L584" s="1">
        <v>1390</v>
      </c>
      <c r="M584" s="1">
        <v>1450</v>
      </c>
      <c r="N584" s="1">
        <v>1550</v>
      </c>
      <c r="O584" s="1">
        <v>1600</v>
      </c>
    </row>
    <row r="585" spans="1:16" x14ac:dyDescent="0.3">
      <c r="A585" t="s">
        <v>1600</v>
      </c>
      <c r="B585" s="3" t="s">
        <v>2837</v>
      </c>
      <c r="C585" t="s">
        <v>1599</v>
      </c>
      <c r="D585" s="9">
        <f>VLOOKUP(A585,[2]Sheet1!$A:$C,3,0)</f>
        <v>915</v>
      </c>
      <c r="J585" s="1"/>
      <c r="K585" s="1">
        <v>7</v>
      </c>
      <c r="L585" s="1">
        <v>7.25</v>
      </c>
      <c r="M585" s="1">
        <v>7.5</v>
      </c>
      <c r="N585" s="1">
        <v>8</v>
      </c>
      <c r="O585" s="1">
        <v>9</v>
      </c>
    </row>
    <row r="586" spans="1:16" x14ac:dyDescent="0.3">
      <c r="A586" t="s">
        <v>1454</v>
      </c>
      <c r="B586" s="3" t="s">
        <v>2837</v>
      </c>
      <c r="C586" t="s">
        <v>1453</v>
      </c>
      <c r="D586" s="9">
        <f>VLOOKUP(A586,[2]Sheet1!$A:$C,3,0)</f>
        <v>12</v>
      </c>
      <c r="J586" s="1"/>
      <c r="K586" s="1">
        <v>97</v>
      </c>
      <c r="L586" s="1">
        <v>100</v>
      </c>
      <c r="M586" s="1">
        <v>105</v>
      </c>
      <c r="N586" s="1">
        <v>110</v>
      </c>
      <c r="O586" s="1">
        <v>115</v>
      </c>
    </row>
    <row r="587" spans="1:16" x14ac:dyDescent="0.3">
      <c r="A587" t="s">
        <v>1622</v>
      </c>
      <c r="B587" s="3" t="s">
        <v>2837</v>
      </c>
      <c r="C587" t="s">
        <v>1621</v>
      </c>
      <c r="D587" s="9">
        <f>VLOOKUP(A587,[2]Sheet1!$A:$C,3,0)</f>
        <v>17</v>
      </c>
      <c r="J587" s="1"/>
      <c r="K587" s="1">
        <v>93</v>
      </c>
      <c r="L587" s="1">
        <v>95</v>
      </c>
      <c r="M587" s="1">
        <v>100</v>
      </c>
      <c r="N587" s="1">
        <v>105</v>
      </c>
      <c r="O587" s="1">
        <v>110</v>
      </c>
    </row>
    <row r="588" spans="1:16" x14ac:dyDescent="0.3">
      <c r="A588" t="s">
        <v>1536</v>
      </c>
      <c r="B588" s="3" t="s">
        <v>2837</v>
      </c>
      <c r="C588" t="s">
        <v>1535</v>
      </c>
      <c r="D588" s="9">
        <f>VLOOKUP(A588,[2]Sheet1!$A:$C,3,0)</f>
        <v>114</v>
      </c>
      <c r="J588" s="1"/>
      <c r="K588" s="1">
        <v>93</v>
      </c>
      <c r="L588" s="1">
        <v>95</v>
      </c>
      <c r="M588" s="1">
        <v>100</v>
      </c>
      <c r="N588" s="1">
        <v>105</v>
      </c>
      <c r="O588" s="1">
        <v>110</v>
      </c>
      <c r="P588" t="s">
        <v>2786</v>
      </c>
    </row>
    <row r="589" spans="1:16" x14ac:dyDescent="0.3">
      <c r="A589" t="s">
        <v>1498</v>
      </c>
      <c r="B589" s="3" t="s">
        <v>2837</v>
      </c>
      <c r="C589" t="s">
        <v>1497</v>
      </c>
      <c r="D589" s="9">
        <f>VLOOKUP(A589,[2]Sheet1!$A:$C,3,0)</f>
        <v>31</v>
      </c>
      <c r="J589" s="1"/>
      <c r="K589" s="1">
        <v>93</v>
      </c>
      <c r="L589" s="1">
        <v>95</v>
      </c>
      <c r="M589" s="1">
        <v>100</v>
      </c>
      <c r="N589" s="1">
        <v>105</v>
      </c>
      <c r="O589" s="1">
        <v>110</v>
      </c>
      <c r="P589" t="s">
        <v>2786</v>
      </c>
    </row>
    <row r="590" spans="1:16" x14ac:dyDescent="0.3">
      <c r="A590" t="s">
        <v>1452</v>
      </c>
      <c r="B590" s="3" t="s">
        <v>2837</v>
      </c>
      <c r="C590" t="s">
        <v>1451</v>
      </c>
      <c r="D590" s="9">
        <f>VLOOKUP(A590,[2]Sheet1!$A:$C,3,0)</f>
        <v>281</v>
      </c>
      <c r="J590" s="1"/>
      <c r="K590" s="1">
        <v>97</v>
      </c>
      <c r="L590" s="1">
        <v>100</v>
      </c>
      <c r="M590" s="1">
        <v>105</v>
      </c>
      <c r="N590" s="1">
        <v>110</v>
      </c>
      <c r="O590" s="1">
        <v>115</v>
      </c>
      <c r="P590" t="s">
        <v>2786</v>
      </c>
    </row>
    <row r="591" spans="1:16" x14ac:dyDescent="0.3">
      <c r="A591" t="s">
        <v>1390</v>
      </c>
      <c r="B591" s="3" t="s">
        <v>2837</v>
      </c>
      <c r="C591" t="s">
        <v>1389</v>
      </c>
      <c r="D591" s="9">
        <f>VLOOKUP(A591,[2]Sheet1!$A:$C,3,0)</f>
        <v>314</v>
      </c>
      <c r="J591" s="1"/>
      <c r="K591" s="1">
        <v>97</v>
      </c>
      <c r="L591" s="1">
        <v>100</v>
      </c>
      <c r="M591" s="1">
        <v>105</v>
      </c>
      <c r="N591" s="1">
        <v>110</v>
      </c>
      <c r="O591" s="1">
        <v>115</v>
      </c>
      <c r="P591" t="s">
        <v>2786</v>
      </c>
    </row>
    <row r="592" spans="1:16" x14ac:dyDescent="0.3">
      <c r="A592" t="s">
        <v>2692</v>
      </c>
      <c r="B592" s="3" t="s">
        <v>2837</v>
      </c>
      <c r="C592" t="s">
        <v>2693</v>
      </c>
      <c r="D592" s="9">
        <f>VLOOKUP(A592,[2]Sheet1!$A:$C,3,0)</f>
        <v>9</v>
      </c>
      <c r="J592" s="1"/>
      <c r="K592" s="1">
        <v>140</v>
      </c>
      <c r="L592" s="1">
        <v>150</v>
      </c>
      <c r="M592" s="1">
        <v>155</v>
      </c>
      <c r="N592" s="1">
        <v>160</v>
      </c>
      <c r="O592" s="1">
        <v>170</v>
      </c>
      <c r="P592" t="s">
        <v>2782</v>
      </c>
    </row>
    <row r="593" spans="1:16" x14ac:dyDescent="0.3">
      <c r="A593" t="s">
        <v>2694</v>
      </c>
      <c r="B593" s="3" t="s">
        <v>2837</v>
      </c>
      <c r="C593" t="s">
        <v>2695</v>
      </c>
      <c r="D593" s="9">
        <f>VLOOKUP(A593,[2]Sheet1!$A:$C,3,0)</f>
        <v>20</v>
      </c>
      <c r="J593" s="1"/>
      <c r="K593" s="1">
        <v>140</v>
      </c>
      <c r="L593" s="1">
        <v>150</v>
      </c>
      <c r="M593" s="1">
        <v>155</v>
      </c>
      <c r="N593" s="1">
        <v>160</v>
      </c>
      <c r="O593" s="1">
        <v>170</v>
      </c>
      <c r="P593" t="s">
        <v>2782</v>
      </c>
    </row>
    <row r="594" spans="1:16" x14ac:dyDescent="0.3">
      <c r="A594" t="s">
        <v>1450</v>
      </c>
      <c r="B594" s="3" t="s">
        <v>2837</v>
      </c>
      <c r="C594" t="s">
        <v>1449</v>
      </c>
      <c r="D594" s="9">
        <f>VLOOKUP(A594,[2]Sheet1!$A:$C,3,0)</f>
        <v>200</v>
      </c>
      <c r="J594" s="1"/>
      <c r="K594" s="1">
        <v>140</v>
      </c>
      <c r="L594" s="1">
        <v>150</v>
      </c>
      <c r="M594" s="1">
        <v>155</v>
      </c>
      <c r="N594" s="1">
        <v>160</v>
      </c>
      <c r="O594" s="1">
        <v>170</v>
      </c>
      <c r="P594" t="s">
        <v>2782</v>
      </c>
    </row>
    <row r="595" spans="1:16" x14ac:dyDescent="0.3">
      <c r="A595" t="s">
        <v>1388</v>
      </c>
      <c r="B595" s="3" t="s">
        <v>2837</v>
      </c>
      <c r="C595" t="s">
        <v>1387</v>
      </c>
      <c r="D595" s="9">
        <f>VLOOKUP(A595,[2]Sheet1!$A:$C,3,0)</f>
        <v>94</v>
      </c>
      <c r="J595" s="1"/>
      <c r="K595" s="1">
        <v>140</v>
      </c>
      <c r="L595" s="1">
        <v>150</v>
      </c>
      <c r="M595" s="1">
        <v>155</v>
      </c>
      <c r="N595" s="1">
        <v>160</v>
      </c>
      <c r="O595" s="1">
        <v>170</v>
      </c>
      <c r="P595" t="s">
        <v>2782</v>
      </c>
    </row>
    <row r="596" spans="1:16" x14ac:dyDescent="0.3">
      <c r="A596" t="s">
        <v>2696</v>
      </c>
      <c r="B596" s="3" t="s">
        <v>2837</v>
      </c>
      <c r="C596" t="s">
        <v>2697</v>
      </c>
      <c r="D596" s="9">
        <f>VLOOKUP(A596,[2]Sheet1!$A:$C,3,0)</f>
        <v>20</v>
      </c>
      <c r="J596" s="1"/>
      <c r="K596" s="1">
        <v>140</v>
      </c>
      <c r="L596" s="1">
        <v>150</v>
      </c>
      <c r="M596" s="1">
        <v>155</v>
      </c>
      <c r="N596" s="1">
        <v>160</v>
      </c>
      <c r="O596" s="1">
        <v>170</v>
      </c>
      <c r="P596" t="s">
        <v>2783</v>
      </c>
    </row>
    <row r="597" spans="1:16" x14ac:dyDescent="0.3">
      <c r="A597" t="s">
        <v>2698</v>
      </c>
      <c r="B597" s="3" t="s">
        <v>2837</v>
      </c>
      <c r="C597" t="s">
        <v>2699</v>
      </c>
      <c r="D597" s="9">
        <f>VLOOKUP(A597,[2]Sheet1!$A:$C,3,0)</f>
        <v>0</v>
      </c>
      <c r="J597" s="1"/>
      <c r="K597" s="1">
        <v>140</v>
      </c>
      <c r="L597" s="1">
        <v>150</v>
      </c>
      <c r="M597" s="1">
        <v>155</v>
      </c>
      <c r="N597" s="1">
        <v>160</v>
      </c>
      <c r="O597" s="1">
        <v>170</v>
      </c>
      <c r="P597" t="s">
        <v>2783</v>
      </c>
    </row>
    <row r="598" spans="1:16" x14ac:dyDescent="0.3">
      <c r="A598" t="s">
        <v>1448</v>
      </c>
      <c r="B598" s="3" t="s">
        <v>2837</v>
      </c>
      <c r="C598" t="s">
        <v>1447</v>
      </c>
      <c r="D598" s="9">
        <f>VLOOKUP(A598,[2]Sheet1!$A:$C,3,0)</f>
        <v>169</v>
      </c>
      <c r="J598" s="1"/>
      <c r="K598" s="1">
        <v>140</v>
      </c>
      <c r="L598" s="1">
        <v>150</v>
      </c>
      <c r="M598" s="1">
        <v>155</v>
      </c>
      <c r="N598" s="1">
        <v>160</v>
      </c>
      <c r="O598" s="1">
        <v>170</v>
      </c>
      <c r="P598" t="s">
        <v>2783</v>
      </c>
    </row>
    <row r="599" spans="1:16" x14ac:dyDescent="0.3">
      <c r="A599" t="s">
        <v>1386</v>
      </c>
      <c r="B599" s="3" t="s">
        <v>2837</v>
      </c>
      <c r="C599" t="s">
        <v>1385</v>
      </c>
      <c r="D599" s="9">
        <f>VLOOKUP(A599,[2]Sheet1!$A:$C,3,0)</f>
        <v>189</v>
      </c>
      <c r="J599" s="1"/>
      <c r="K599" s="1">
        <v>140</v>
      </c>
      <c r="L599" s="1">
        <v>150</v>
      </c>
      <c r="M599" s="1">
        <v>155</v>
      </c>
      <c r="N599" s="1">
        <v>160</v>
      </c>
      <c r="O599" s="1">
        <v>170</v>
      </c>
      <c r="P599" t="s">
        <v>2783</v>
      </c>
    </row>
    <row r="600" spans="1:16" x14ac:dyDescent="0.3">
      <c r="A600" t="s">
        <v>1446</v>
      </c>
      <c r="B600" s="3" t="s">
        <v>2837</v>
      </c>
      <c r="C600" t="s">
        <v>1445</v>
      </c>
      <c r="D600" s="9">
        <f>VLOOKUP(A600,[2]Sheet1!$A:$C,3,0)</f>
        <v>1927</v>
      </c>
      <c r="J600" s="1"/>
      <c r="K600" s="2">
        <v>0</v>
      </c>
      <c r="L600" s="1">
        <v>7</v>
      </c>
      <c r="M600" s="1">
        <v>7.5</v>
      </c>
      <c r="N600" s="1">
        <v>9.5</v>
      </c>
      <c r="O600" s="1">
        <v>10</v>
      </c>
    </row>
    <row r="601" spans="1:16" x14ac:dyDescent="0.3">
      <c r="A601" s="9" t="s">
        <v>1598</v>
      </c>
      <c r="B601" s="10" t="s">
        <v>2837</v>
      </c>
      <c r="C601" s="9" t="s">
        <v>1597</v>
      </c>
      <c r="D601" s="9">
        <f>VLOOKUP(A601,[2]Sheet1!$A:$C,3,0)</f>
        <v>74</v>
      </c>
      <c r="E601" s="10">
        <v>0</v>
      </c>
      <c r="F601" s="10"/>
      <c r="G601" s="28">
        <v>0</v>
      </c>
      <c r="H601" s="10">
        <v>0</v>
      </c>
      <c r="I601" s="13">
        <v>0</v>
      </c>
      <c r="J601" s="10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9"/>
    </row>
    <row r="602" spans="1:16" x14ac:dyDescent="0.3">
      <c r="A602" t="s">
        <v>1534</v>
      </c>
      <c r="B602" s="3" t="s">
        <v>2837</v>
      </c>
      <c r="C602" t="s">
        <v>1533</v>
      </c>
      <c r="D602" s="9">
        <f>VLOOKUP(A602,[2]Sheet1!$A:$C,3,0)</f>
        <v>81</v>
      </c>
      <c r="J602" s="1"/>
      <c r="K602" s="2">
        <v>12</v>
      </c>
      <c r="L602" s="1">
        <v>12.5</v>
      </c>
      <c r="M602" s="1">
        <v>13</v>
      </c>
      <c r="N602" s="1">
        <v>15</v>
      </c>
      <c r="O602" s="1">
        <v>18</v>
      </c>
      <c r="P602" t="s">
        <v>2776</v>
      </c>
    </row>
    <row r="603" spans="1:16" x14ac:dyDescent="0.3">
      <c r="A603" t="s">
        <v>1532</v>
      </c>
      <c r="B603" s="3" t="s">
        <v>2837</v>
      </c>
      <c r="C603" t="s">
        <v>1531</v>
      </c>
      <c r="D603" s="9">
        <f>VLOOKUP(A603,[2]Sheet1!$A:$C,3,0)</f>
        <v>0</v>
      </c>
      <c r="J603" s="1"/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6" x14ac:dyDescent="0.3">
      <c r="A604" t="s">
        <v>1530</v>
      </c>
      <c r="B604" s="3" t="s">
        <v>2837</v>
      </c>
      <c r="C604" t="s">
        <v>1529</v>
      </c>
      <c r="D604" s="9">
        <f>VLOOKUP(A604,[2]Sheet1!$A:$C,3,0)</f>
        <v>1373</v>
      </c>
      <c r="J604" s="1"/>
      <c r="K604" s="2">
        <v>0</v>
      </c>
      <c r="L604" s="1">
        <v>9</v>
      </c>
      <c r="M604" s="1">
        <v>9.25</v>
      </c>
      <c r="N604" s="1">
        <v>9.5</v>
      </c>
      <c r="O604" s="1">
        <v>10</v>
      </c>
      <c r="P604" t="s">
        <v>2791</v>
      </c>
    </row>
    <row r="605" spans="1:16" x14ac:dyDescent="0.3">
      <c r="A605" t="s">
        <v>1496</v>
      </c>
      <c r="B605" s="3" t="s">
        <v>2837</v>
      </c>
      <c r="C605" t="s">
        <v>1495</v>
      </c>
      <c r="D605" s="9">
        <f>VLOOKUP(A605,[2]Sheet1!$A:$C,3,0)</f>
        <v>0</v>
      </c>
      <c r="J605" s="1"/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t="s">
        <v>2776</v>
      </c>
    </row>
    <row r="606" spans="1:16" x14ac:dyDescent="0.3">
      <c r="A606" t="s">
        <v>1494</v>
      </c>
      <c r="B606" s="3" t="s">
        <v>2837</v>
      </c>
      <c r="C606" t="s">
        <v>1493</v>
      </c>
      <c r="D606" s="9">
        <f>VLOOKUP(A606,[2]Sheet1!$A:$C,3,0)</f>
        <v>0</v>
      </c>
      <c r="J606" s="1"/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6" x14ac:dyDescent="0.3">
      <c r="A607" t="s">
        <v>1492</v>
      </c>
      <c r="B607" s="3" t="s">
        <v>2837</v>
      </c>
      <c r="C607" t="s">
        <v>1491</v>
      </c>
      <c r="D607" s="9">
        <f>VLOOKUP(A607,[2]Sheet1!$A:$C,3,0)</f>
        <v>710</v>
      </c>
      <c r="J607" s="1"/>
      <c r="K607" s="2">
        <v>0</v>
      </c>
      <c r="L607" s="1">
        <v>9</v>
      </c>
      <c r="M607" s="1">
        <v>9.25</v>
      </c>
      <c r="N607" s="1">
        <v>9.5</v>
      </c>
      <c r="O607" s="1">
        <v>10</v>
      </c>
      <c r="P607" t="s">
        <v>2791</v>
      </c>
    </row>
    <row r="608" spans="1:16" x14ac:dyDescent="0.3">
      <c r="A608" t="s">
        <v>1444</v>
      </c>
      <c r="B608" s="3" t="s">
        <v>2837</v>
      </c>
      <c r="C608" t="s">
        <v>1443</v>
      </c>
      <c r="D608" s="9">
        <f>VLOOKUP(A608,[2]Sheet1!$A:$C,3,0)</f>
        <v>1046</v>
      </c>
      <c r="J608" s="1"/>
      <c r="K608" s="2">
        <v>0</v>
      </c>
      <c r="L608" s="1">
        <v>13.25</v>
      </c>
      <c r="M608" s="1">
        <v>13.75</v>
      </c>
      <c r="N608" s="1">
        <v>14</v>
      </c>
      <c r="O608" s="1">
        <v>15</v>
      </c>
      <c r="P608" t="s">
        <v>2792</v>
      </c>
    </row>
    <row r="609" spans="1:16" x14ac:dyDescent="0.3">
      <c r="A609" t="s">
        <v>1442</v>
      </c>
      <c r="B609" s="3" t="s">
        <v>2837</v>
      </c>
      <c r="C609" t="s">
        <v>1441</v>
      </c>
      <c r="D609" s="9">
        <f>VLOOKUP(A609,[2]Sheet1!$A:$C,3,0)</f>
        <v>787</v>
      </c>
      <c r="J609" s="1"/>
      <c r="K609" s="2">
        <v>0</v>
      </c>
      <c r="L609" s="1">
        <v>17</v>
      </c>
      <c r="M609" s="1">
        <v>17.5</v>
      </c>
      <c r="N609" s="1">
        <v>18</v>
      </c>
      <c r="O609" s="1">
        <v>19.5</v>
      </c>
      <c r="P609" t="s">
        <v>2792</v>
      </c>
    </row>
    <row r="610" spans="1:16" x14ac:dyDescent="0.3">
      <c r="A610" t="s">
        <v>1440</v>
      </c>
      <c r="B610" s="3" t="s">
        <v>2837</v>
      </c>
      <c r="C610" t="s">
        <v>1439</v>
      </c>
      <c r="D610" s="9">
        <f>VLOOKUP(A610,[2]Sheet1!$A:$C,3,0)</f>
        <v>2256</v>
      </c>
      <c r="J610" s="1"/>
      <c r="K610" s="2">
        <v>0</v>
      </c>
      <c r="L610" s="1">
        <v>2.4</v>
      </c>
      <c r="M610" s="1">
        <v>2.4500000000000002</v>
      </c>
      <c r="N610" s="1">
        <v>2.5</v>
      </c>
      <c r="O610" s="1">
        <v>2.75</v>
      </c>
    </row>
    <row r="611" spans="1:16" x14ac:dyDescent="0.3">
      <c r="A611" t="s">
        <v>1438</v>
      </c>
      <c r="B611" s="3" t="s">
        <v>2837</v>
      </c>
      <c r="C611" t="s">
        <v>1437</v>
      </c>
      <c r="D611" s="9">
        <f>VLOOKUP(A611,[2]Sheet1!$A:$C,3,0)</f>
        <v>503</v>
      </c>
      <c r="J611" s="1"/>
      <c r="K611" s="2">
        <v>0</v>
      </c>
      <c r="L611" s="1">
        <v>9</v>
      </c>
      <c r="M611" s="1">
        <v>9.25</v>
      </c>
      <c r="N611" s="1">
        <v>9.5</v>
      </c>
      <c r="O611" s="1">
        <v>10</v>
      </c>
      <c r="P611" t="s">
        <v>2791</v>
      </c>
    </row>
    <row r="612" spans="1:16" x14ac:dyDescent="0.3">
      <c r="A612" t="s">
        <v>1384</v>
      </c>
      <c r="B612" s="3" t="s">
        <v>2837</v>
      </c>
      <c r="C612" t="s">
        <v>1383</v>
      </c>
      <c r="D612" s="9">
        <f>VLOOKUP(A612,[2]Sheet1!$A:$C,3,0)</f>
        <v>0</v>
      </c>
      <c r="J612" s="1"/>
      <c r="K612" s="2">
        <v>12</v>
      </c>
      <c r="L612" s="1">
        <v>12.5</v>
      </c>
      <c r="M612" s="1">
        <v>13</v>
      </c>
      <c r="N612" s="1">
        <v>15</v>
      </c>
      <c r="O612" s="1">
        <v>18</v>
      </c>
      <c r="P612" t="s">
        <v>2776</v>
      </c>
    </row>
    <row r="613" spans="1:16" x14ac:dyDescent="0.3">
      <c r="A613" t="s">
        <v>1382</v>
      </c>
      <c r="B613" s="3" t="s">
        <v>2837</v>
      </c>
      <c r="C613" t="s">
        <v>1381</v>
      </c>
      <c r="D613" s="9">
        <f>VLOOKUP(A613,[2]Sheet1!$A:$C,3,0)</f>
        <v>13</v>
      </c>
      <c r="J613" s="1"/>
      <c r="K613" s="2">
        <v>0</v>
      </c>
      <c r="L613" s="1">
        <v>11</v>
      </c>
      <c r="M613" s="1">
        <v>12</v>
      </c>
      <c r="N613" s="1">
        <v>13</v>
      </c>
      <c r="O613" s="1">
        <v>15</v>
      </c>
    </row>
    <row r="614" spans="1:16" x14ac:dyDescent="0.3">
      <c r="A614" t="s">
        <v>1380</v>
      </c>
      <c r="B614" s="3" t="s">
        <v>2837</v>
      </c>
      <c r="C614" t="s">
        <v>1379</v>
      </c>
      <c r="D614" s="9">
        <f>VLOOKUP(A614,[2]Sheet1!$A:$C,3,0)</f>
        <v>1171</v>
      </c>
      <c r="J614" s="1"/>
      <c r="K614" s="2">
        <v>0</v>
      </c>
      <c r="L614" s="1">
        <v>14.25</v>
      </c>
      <c r="M614" s="1">
        <v>14.75</v>
      </c>
      <c r="N614" s="1">
        <v>15</v>
      </c>
      <c r="O614" s="1">
        <v>16</v>
      </c>
      <c r="P614" t="s">
        <v>2792</v>
      </c>
    </row>
    <row r="615" spans="1:16" x14ac:dyDescent="0.3">
      <c r="A615" t="s">
        <v>1378</v>
      </c>
      <c r="B615" s="3" t="s">
        <v>2837</v>
      </c>
      <c r="C615" t="s">
        <v>1377</v>
      </c>
      <c r="D615" s="9">
        <f>VLOOKUP(A615,[2]Sheet1!$A:$C,3,0)</f>
        <v>1169</v>
      </c>
      <c r="J615" s="1"/>
      <c r="K615" s="2">
        <v>0</v>
      </c>
      <c r="L615" s="1">
        <v>18</v>
      </c>
      <c r="M615" s="1">
        <v>18.5</v>
      </c>
      <c r="N615" s="1">
        <v>19</v>
      </c>
      <c r="O615" s="1">
        <v>20.5</v>
      </c>
      <c r="P615" t="s">
        <v>2792</v>
      </c>
    </row>
    <row r="616" spans="1:16" x14ac:dyDescent="0.3">
      <c r="A616" t="s">
        <v>1376</v>
      </c>
      <c r="B616" s="3" t="s">
        <v>2837</v>
      </c>
      <c r="C616" t="s">
        <v>1375</v>
      </c>
      <c r="D616" s="9">
        <f>VLOOKUP(A616,[2]Sheet1!$A:$C,3,0)</f>
        <v>1091</v>
      </c>
      <c r="J616" s="1"/>
      <c r="K616" s="2">
        <v>0</v>
      </c>
      <c r="L616" s="1">
        <v>3.1</v>
      </c>
      <c r="M616" s="1">
        <v>3.15</v>
      </c>
      <c r="N616" s="1">
        <v>3.25</v>
      </c>
      <c r="O616" s="1">
        <v>3.5</v>
      </c>
    </row>
    <row r="617" spans="1:16" x14ac:dyDescent="0.3">
      <c r="A617" t="s">
        <v>1374</v>
      </c>
      <c r="B617" s="3" t="s">
        <v>2837</v>
      </c>
      <c r="C617" t="s">
        <v>1373</v>
      </c>
      <c r="D617" s="9">
        <f>VLOOKUP(A617,[2]Sheet1!$A:$C,3,0)</f>
        <v>476</v>
      </c>
      <c r="J617" s="1"/>
      <c r="K617" s="2">
        <v>0</v>
      </c>
      <c r="L617" s="1">
        <v>9</v>
      </c>
      <c r="M617" s="1">
        <v>9.25</v>
      </c>
      <c r="N617" s="1">
        <v>9.5</v>
      </c>
      <c r="O617" s="1">
        <v>10</v>
      </c>
      <c r="P617" t="s">
        <v>2791</v>
      </c>
    </row>
    <row r="618" spans="1:16" x14ac:dyDescent="0.3">
      <c r="A618" t="s">
        <v>1596</v>
      </c>
      <c r="B618" s="3" t="s">
        <v>2837</v>
      </c>
      <c r="C618" t="s">
        <v>1595</v>
      </c>
      <c r="D618" s="9">
        <f>VLOOKUP(A618,[2]Sheet1!$A:$C,3,0)</f>
        <v>8</v>
      </c>
      <c r="J618" s="1"/>
      <c r="K618" s="2">
        <v>0</v>
      </c>
      <c r="L618" s="1">
        <v>45</v>
      </c>
      <c r="M618" s="1">
        <v>50</v>
      </c>
      <c r="N618" s="1">
        <v>55</v>
      </c>
      <c r="O618" s="1">
        <v>69</v>
      </c>
    </row>
    <row r="619" spans="1:16" x14ac:dyDescent="0.3">
      <c r="A619" s="9" t="s">
        <v>1594</v>
      </c>
      <c r="B619" s="10" t="s">
        <v>2838</v>
      </c>
      <c r="C619" s="9" t="s">
        <v>1593</v>
      </c>
      <c r="D619" s="9">
        <f>VLOOKUP(A619,[2]Sheet1!$A:$C,3,0)</f>
        <v>2</v>
      </c>
      <c r="E619" s="10">
        <v>0</v>
      </c>
      <c r="F619" s="10"/>
      <c r="G619" s="28">
        <v>0</v>
      </c>
      <c r="H619" s="10">
        <v>0</v>
      </c>
      <c r="I619" s="13">
        <v>0</v>
      </c>
      <c r="J619" s="10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9"/>
    </row>
    <row r="620" spans="1:16" x14ac:dyDescent="0.3">
      <c r="A620" t="s">
        <v>1436</v>
      </c>
      <c r="B620" s="3" t="s">
        <v>2838</v>
      </c>
      <c r="C620" t="s">
        <v>1435</v>
      </c>
      <c r="D620" s="9">
        <f>VLOOKUP(A620,[2]Sheet1!$A:$C,3,0)</f>
        <v>33</v>
      </c>
      <c r="E620" s="3" t="s">
        <v>2933</v>
      </c>
      <c r="G620" s="21">
        <v>390</v>
      </c>
      <c r="H620" s="1">
        <f>G620/1.07</f>
        <v>364.48598130841117</v>
      </c>
      <c r="J620" s="1">
        <f>H620</f>
        <v>364.48598130841117</v>
      </c>
      <c r="K620" s="35">
        <v>0</v>
      </c>
      <c r="L620" s="1">
        <v>415</v>
      </c>
      <c r="M620" s="1">
        <v>425</v>
      </c>
      <c r="N620" s="1">
        <v>435</v>
      </c>
      <c r="O620" s="1">
        <v>460</v>
      </c>
    </row>
    <row r="621" spans="1:16" x14ac:dyDescent="0.3">
      <c r="A621" s="17" t="s">
        <v>1436</v>
      </c>
      <c r="B621" s="18" t="s">
        <v>2838</v>
      </c>
      <c r="C621" s="17" t="s">
        <v>1435</v>
      </c>
      <c r="D621" s="17"/>
      <c r="E621" s="18" t="s">
        <v>2916</v>
      </c>
      <c r="F621" s="18"/>
      <c r="G621" s="30">
        <v>420</v>
      </c>
      <c r="H621" s="19">
        <f>G621/1.07</f>
        <v>392.52336448598129</v>
      </c>
      <c r="I621" s="15"/>
      <c r="J621" s="19">
        <f>H621</f>
        <v>392.52336448598129</v>
      </c>
      <c r="K621" s="36">
        <v>0</v>
      </c>
      <c r="L621" s="19">
        <v>450</v>
      </c>
      <c r="M621" s="19">
        <v>466.67044222256004</v>
      </c>
      <c r="N621" s="19">
        <v>494.13844470776002</v>
      </c>
      <c r="O621" s="19">
        <v>525.00004750000005</v>
      </c>
      <c r="P621" s="17"/>
    </row>
    <row r="622" spans="1:16" x14ac:dyDescent="0.3">
      <c r="A622" t="s">
        <v>1592</v>
      </c>
      <c r="B622" s="3" t="s">
        <v>2838</v>
      </c>
      <c r="C622" t="s">
        <v>1591</v>
      </c>
      <c r="D622" s="9">
        <f>VLOOKUP(A622,[2]Sheet1!$A:$C,3,0)</f>
        <v>20</v>
      </c>
      <c r="E622" s="3" t="s">
        <v>2932</v>
      </c>
      <c r="G622" s="21">
        <v>780</v>
      </c>
      <c r="H622" s="1">
        <f>G622/1.07</f>
        <v>728.97196261682234</v>
      </c>
      <c r="I622" s="37">
        <v>0.108331</v>
      </c>
      <c r="J622" s="1">
        <f>H622-(H622*10.8331/100)</f>
        <v>650.00170093457939</v>
      </c>
      <c r="K622" s="1">
        <v>680</v>
      </c>
      <c r="L622" s="1">
        <v>685</v>
      </c>
      <c r="M622" s="1">
        <v>700</v>
      </c>
      <c r="N622" s="1">
        <v>750</v>
      </c>
      <c r="O622" s="1">
        <v>780</v>
      </c>
    </row>
    <row r="623" spans="1:16" x14ac:dyDescent="0.3">
      <c r="A623" s="17" t="s">
        <v>1592</v>
      </c>
      <c r="B623" s="18" t="s">
        <v>2838</v>
      </c>
      <c r="C623" s="17" t="s">
        <v>1591</v>
      </c>
      <c r="D623" s="17"/>
      <c r="E623" s="18" t="s">
        <v>2916</v>
      </c>
      <c r="F623" s="18"/>
      <c r="G623" s="30">
        <v>800</v>
      </c>
      <c r="H623" s="19">
        <f t="shared" ref="H623:H625" si="0">G623/1.07</f>
        <v>747.66355140186909</v>
      </c>
      <c r="I623" s="15"/>
      <c r="J623" s="19">
        <f>H623</f>
        <v>747.66355140186909</v>
      </c>
      <c r="K623" s="19">
        <v>880</v>
      </c>
      <c r="L623" s="19">
        <v>890</v>
      </c>
      <c r="M623" s="19">
        <v>900</v>
      </c>
      <c r="N623" s="19">
        <v>950</v>
      </c>
      <c r="O623" s="19">
        <v>990</v>
      </c>
      <c r="P623" s="17"/>
    </row>
    <row r="624" spans="1:16" x14ac:dyDescent="0.3">
      <c r="A624" t="s">
        <v>1590</v>
      </c>
      <c r="B624" s="3" t="s">
        <v>2838</v>
      </c>
      <c r="C624" t="s">
        <v>1589</v>
      </c>
      <c r="D624" s="9">
        <f>VLOOKUP(A624,[2]Sheet1!$A:$C,3,0)</f>
        <v>1</v>
      </c>
      <c r="E624" s="3" t="s">
        <v>2932</v>
      </c>
      <c r="G624" s="21">
        <v>780</v>
      </c>
      <c r="H624" s="1">
        <f>G624/1.07</f>
        <v>728.97196261682234</v>
      </c>
      <c r="I624" s="37">
        <v>0.108331</v>
      </c>
      <c r="J624" s="1">
        <f>H624-(H624*10.8331/100)</f>
        <v>650.00170093457939</v>
      </c>
      <c r="K624" s="1">
        <v>680</v>
      </c>
      <c r="L624" s="1">
        <v>685</v>
      </c>
      <c r="M624" s="1">
        <v>700</v>
      </c>
      <c r="N624" s="1">
        <v>750</v>
      </c>
      <c r="O624" s="1">
        <v>780</v>
      </c>
    </row>
    <row r="625" spans="1:16" x14ac:dyDescent="0.3">
      <c r="A625" s="17" t="s">
        <v>1590</v>
      </c>
      <c r="B625" s="18" t="s">
        <v>2838</v>
      </c>
      <c r="C625" s="17" t="s">
        <v>1589</v>
      </c>
      <c r="D625" s="17"/>
      <c r="E625" s="18" t="s">
        <v>2916</v>
      </c>
      <c r="F625" s="18"/>
      <c r="G625" s="30">
        <v>800</v>
      </c>
      <c r="H625" s="19">
        <f t="shared" si="0"/>
        <v>747.66355140186909</v>
      </c>
      <c r="I625" s="15"/>
      <c r="J625" s="19">
        <f>H625</f>
        <v>747.66355140186909</v>
      </c>
      <c r="K625" s="19">
        <v>880</v>
      </c>
      <c r="L625" s="19">
        <v>890</v>
      </c>
      <c r="M625" s="19">
        <v>900</v>
      </c>
      <c r="N625" s="19">
        <v>950</v>
      </c>
      <c r="O625" s="19">
        <v>990</v>
      </c>
      <c r="P625" s="17"/>
    </row>
    <row r="626" spans="1:16" x14ac:dyDescent="0.3">
      <c r="A626" s="9" t="s">
        <v>1588</v>
      </c>
      <c r="B626" s="10" t="s">
        <v>2838</v>
      </c>
      <c r="C626" s="9" t="s">
        <v>1587</v>
      </c>
      <c r="D626" s="9">
        <f>VLOOKUP(A626,[2]Sheet1!$A:$C,3,0)</f>
        <v>111</v>
      </c>
      <c r="E626" s="10">
        <v>0</v>
      </c>
      <c r="F626" s="10"/>
      <c r="G626" s="28">
        <v>0</v>
      </c>
      <c r="H626" s="10">
        <v>0</v>
      </c>
      <c r="I626" s="13">
        <v>0</v>
      </c>
      <c r="J626" s="10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9"/>
    </row>
    <row r="627" spans="1:16" x14ac:dyDescent="0.3">
      <c r="A627" t="s">
        <v>1586</v>
      </c>
      <c r="B627" s="3" t="s">
        <v>2838</v>
      </c>
      <c r="C627" t="s">
        <v>1585</v>
      </c>
      <c r="D627" s="9">
        <f>VLOOKUP(A627,[2]Sheet1!$A:$C,3,0)</f>
        <v>259</v>
      </c>
      <c r="E627" s="3" t="s">
        <v>2934</v>
      </c>
      <c r="G627" s="21">
        <v>27</v>
      </c>
      <c r="H627" s="1">
        <f>G627/1.07</f>
        <v>25.233644859813083</v>
      </c>
      <c r="J627" s="1"/>
      <c r="K627" s="2">
        <v>0</v>
      </c>
      <c r="L627" s="1">
        <v>29</v>
      </c>
      <c r="M627" s="1">
        <v>30</v>
      </c>
      <c r="N627" s="1">
        <v>32</v>
      </c>
      <c r="O627" s="1">
        <v>34</v>
      </c>
    </row>
    <row r="628" spans="1:16" x14ac:dyDescent="0.3">
      <c r="A628" s="17" t="s">
        <v>1586</v>
      </c>
      <c r="B628" s="18" t="s">
        <v>2838</v>
      </c>
      <c r="C628" s="17" t="s">
        <v>1585</v>
      </c>
      <c r="D628" s="17"/>
      <c r="E628" s="18" t="s">
        <v>2916</v>
      </c>
      <c r="F628" s="18"/>
      <c r="G628" s="30"/>
      <c r="H628" s="19">
        <f t="shared" ref="H628:H643" si="1">G628/1.07</f>
        <v>0</v>
      </c>
      <c r="I628" s="15"/>
      <c r="J628" s="19"/>
      <c r="K628" s="33"/>
      <c r="L628" s="19"/>
      <c r="M628" s="19"/>
      <c r="N628" s="19"/>
      <c r="O628" s="19"/>
      <c r="P628" s="17"/>
    </row>
    <row r="629" spans="1:16" x14ac:dyDescent="0.3">
      <c r="A629" t="s">
        <v>1584</v>
      </c>
      <c r="B629" s="3" t="s">
        <v>2838</v>
      </c>
      <c r="C629" t="s">
        <v>1583</v>
      </c>
      <c r="D629" s="9">
        <f>VLOOKUP(A629,[2]Sheet1!$A:$C,3,0)</f>
        <v>184</v>
      </c>
      <c r="H629" s="1">
        <f t="shared" si="1"/>
        <v>0</v>
      </c>
      <c r="J629" s="1"/>
      <c r="K629" s="2">
        <v>0</v>
      </c>
      <c r="L629" s="1">
        <v>57</v>
      </c>
      <c r="M629" s="1">
        <v>58</v>
      </c>
      <c r="N629" s="1">
        <v>60</v>
      </c>
      <c r="O629" s="1">
        <v>65</v>
      </c>
    </row>
    <row r="630" spans="1:16" x14ac:dyDescent="0.3">
      <c r="A630" s="17" t="s">
        <v>1584</v>
      </c>
      <c r="B630" s="18" t="s">
        <v>2838</v>
      </c>
      <c r="C630" s="17" t="s">
        <v>1583</v>
      </c>
      <c r="D630" s="17"/>
      <c r="E630" s="18"/>
      <c r="F630" s="18"/>
      <c r="G630" s="30"/>
      <c r="H630" s="19">
        <f t="shared" si="1"/>
        <v>0</v>
      </c>
      <c r="I630" s="15"/>
      <c r="J630" s="19"/>
      <c r="K630" s="33"/>
      <c r="L630" s="19"/>
      <c r="M630" s="19"/>
      <c r="N630" s="19"/>
      <c r="O630" s="19"/>
      <c r="P630" s="17"/>
    </row>
    <row r="631" spans="1:16" x14ac:dyDescent="0.3">
      <c r="A631" t="s">
        <v>1640</v>
      </c>
      <c r="B631" s="3" t="s">
        <v>2838</v>
      </c>
      <c r="C631" t="s">
        <v>1639</v>
      </c>
      <c r="D631" s="9">
        <f>VLOOKUP(A631,[2]Sheet1!$A:$C,3,0)</f>
        <v>28905</v>
      </c>
      <c r="H631" s="1">
        <f t="shared" si="1"/>
        <v>0</v>
      </c>
      <c r="J631" s="1"/>
      <c r="K631" s="2">
        <v>0</v>
      </c>
      <c r="L631" s="1">
        <v>10.25</v>
      </c>
      <c r="M631" s="1">
        <v>10.75</v>
      </c>
      <c r="N631" s="1">
        <v>11</v>
      </c>
      <c r="O631" s="1">
        <v>12</v>
      </c>
    </row>
    <row r="632" spans="1:16" x14ac:dyDescent="0.3">
      <c r="A632" s="17" t="s">
        <v>1640</v>
      </c>
      <c r="B632" s="18" t="s">
        <v>2838</v>
      </c>
      <c r="C632" s="17" t="s">
        <v>1639</v>
      </c>
      <c r="D632" s="17"/>
      <c r="E632" s="18"/>
      <c r="F632" s="18"/>
      <c r="G632" s="30"/>
      <c r="H632" s="19">
        <f t="shared" si="1"/>
        <v>0</v>
      </c>
      <c r="I632" s="15"/>
      <c r="J632" s="19"/>
      <c r="K632" s="33"/>
      <c r="L632" s="19"/>
      <c r="M632" s="19"/>
      <c r="N632" s="19"/>
      <c r="O632" s="19"/>
      <c r="P632" s="17"/>
    </row>
    <row r="633" spans="1:16" x14ac:dyDescent="0.3">
      <c r="A633" t="s">
        <v>1632</v>
      </c>
      <c r="B633" s="3" t="s">
        <v>2838</v>
      </c>
      <c r="C633" t="s">
        <v>1631</v>
      </c>
      <c r="D633" s="9">
        <f>VLOOKUP(A633,[2]Sheet1!$A:$C,3,0)</f>
        <v>2102</v>
      </c>
      <c r="H633" s="1">
        <f t="shared" si="1"/>
        <v>0</v>
      </c>
      <c r="J633" s="1"/>
      <c r="K633" s="2">
        <v>0</v>
      </c>
      <c r="L633" s="1">
        <v>16.75</v>
      </c>
      <c r="M633" s="1">
        <v>17.25</v>
      </c>
      <c r="N633" s="1">
        <v>18</v>
      </c>
      <c r="O633" s="1">
        <v>19</v>
      </c>
    </row>
    <row r="634" spans="1:16" x14ac:dyDescent="0.3">
      <c r="A634" s="17" t="s">
        <v>1632</v>
      </c>
      <c r="B634" s="18" t="s">
        <v>2838</v>
      </c>
      <c r="C634" s="17" t="s">
        <v>1631</v>
      </c>
      <c r="D634" s="17"/>
      <c r="E634" s="18"/>
      <c r="F634" s="18"/>
      <c r="G634" s="30"/>
      <c r="H634" s="19">
        <f t="shared" si="1"/>
        <v>0</v>
      </c>
      <c r="I634" s="15"/>
      <c r="J634" s="19"/>
      <c r="K634" s="33"/>
      <c r="L634" s="19"/>
      <c r="M634" s="19"/>
      <c r="N634" s="19"/>
      <c r="O634" s="19"/>
      <c r="P634" s="17"/>
    </row>
    <row r="635" spans="1:16" x14ac:dyDescent="0.3">
      <c r="A635" t="s">
        <v>1630</v>
      </c>
      <c r="B635" s="3" t="s">
        <v>2838</v>
      </c>
      <c r="C635" t="s">
        <v>1629</v>
      </c>
      <c r="D635" s="9">
        <f>VLOOKUP(A635,[2]Sheet1!$A:$C,3,0)</f>
        <v>1042</v>
      </c>
      <c r="H635" s="1">
        <f t="shared" si="1"/>
        <v>0</v>
      </c>
      <c r="J635" s="1"/>
      <c r="K635" s="1">
        <v>31</v>
      </c>
      <c r="L635" s="1">
        <v>31.5</v>
      </c>
      <c r="M635" s="1">
        <v>32</v>
      </c>
      <c r="N635" s="1">
        <v>33.5</v>
      </c>
      <c r="O635" s="1">
        <v>34</v>
      </c>
    </row>
    <row r="636" spans="1:16" x14ac:dyDescent="0.3">
      <c r="A636" s="17" t="s">
        <v>1630</v>
      </c>
      <c r="B636" s="18" t="s">
        <v>2838</v>
      </c>
      <c r="C636" s="17" t="s">
        <v>1629</v>
      </c>
      <c r="D636" s="17"/>
      <c r="E636" s="18"/>
      <c r="F636" s="18"/>
      <c r="G636" s="30"/>
      <c r="H636" s="19">
        <f t="shared" si="1"/>
        <v>0</v>
      </c>
      <c r="I636" s="15"/>
      <c r="J636" s="19"/>
      <c r="K636" s="33"/>
      <c r="L636" s="19"/>
      <c r="M636" s="19"/>
      <c r="N636" s="19"/>
      <c r="O636" s="19"/>
      <c r="P636" s="17"/>
    </row>
    <row r="637" spans="1:16" x14ac:dyDescent="0.3">
      <c r="A637" t="s">
        <v>1582</v>
      </c>
      <c r="B637" s="3" t="s">
        <v>2838</v>
      </c>
      <c r="C637" t="s">
        <v>1581</v>
      </c>
      <c r="D637" s="9">
        <f>VLOOKUP(A637,[2]Sheet1!$A:$C,3,0)</f>
        <v>2</v>
      </c>
      <c r="H637" s="1">
        <f t="shared" si="1"/>
        <v>0</v>
      </c>
      <c r="J637" s="1"/>
      <c r="K637" s="2">
        <v>0</v>
      </c>
      <c r="L637" s="1">
        <v>100</v>
      </c>
      <c r="M637" s="1">
        <v>105</v>
      </c>
      <c r="N637" s="1">
        <v>110</v>
      </c>
      <c r="O637" s="1">
        <v>125</v>
      </c>
    </row>
    <row r="638" spans="1:16" x14ac:dyDescent="0.3">
      <c r="A638" s="17" t="s">
        <v>1582</v>
      </c>
      <c r="B638" s="18" t="s">
        <v>2838</v>
      </c>
      <c r="C638" s="17" t="s">
        <v>1581</v>
      </c>
      <c r="D638" s="17"/>
      <c r="E638" s="18"/>
      <c r="F638" s="18"/>
      <c r="G638" s="30"/>
      <c r="H638" s="19">
        <f t="shared" si="1"/>
        <v>0</v>
      </c>
      <c r="I638" s="15"/>
      <c r="J638" s="19"/>
      <c r="K638" s="33"/>
      <c r="L638" s="19"/>
      <c r="M638" s="19"/>
      <c r="N638" s="19"/>
      <c r="O638" s="19"/>
      <c r="P638" s="17"/>
    </row>
    <row r="639" spans="1:16" x14ac:dyDescent="0.3">
      <c r="A639" t="s">
        <v>1580</v>
      </c>
      <c r="B639" s="3" t="s">
        <v>2838</v>
      </c>
      <c r="C639" t="s">
        <v>1579</v>
      </c>
      <c r="D639" s="9">
        <f>VLOOKUP(A639,[2]Sheet1!$A:$C,3,0)</f>
        <v>1030</v>
      </c>
      <c r="H639" s="1">
        <f t="shared" si="1"/>
        <v>0</v>
      </c>
      <c r="J639" s="1"/>
      <c r="K639" s="2">
        <v>0</v>
      </c>
      <c r="L639" s="1">
        <v>100</v>
      </c>
      <c r="M639" s="1">
        <v>105</v>
      </c>
      <c r="N639" s="1">
        <v>110</v>
      </c>
      <c r="O639" s="1">
        <v>125</v>
      </c>
    </row>
    <row r="640" spans="1:16" x14ac:dyDescent="0.3">
      <c r="A640" s="17" t="s">
        <v>1580</v>
      </c>
      <c r="B640" s="18" t="s">
        <v>2838</v>
      </c>
      <c r="C640" s="17" t="s">
        <v>1579</v>
      </c>
      <c r="D640" s="17"/>
      <c r="E640" s="18"/>
      <c r="F640" s="18"/>
      <c r="G640" s="30"/>
      <c r="H640" s="19">
        <f t="shared" si="1"/>
        <v>0</v>
      </c>
      <c r="I640" s="15"/>
      <c r="J640" s="19"/>
      <c r="K640" s="33"/>
      <c r="L640" s="19"/>
      <c r="M640" s="19"/>
      <c r="N640" s="19"/>
      <c r="O640" s="19"/>
      <c r="P640" s="17"/>
    </row>
    <row r="641" spans="1:16" x14ac:dyDescent="0.3">
      <c r="A641" t="s">
        <v>2700</v>
      </c>
      <c r="B641" s="3" t="s">
        <v>2838</v>
      </c>
      <c r="C641" t="s">
        <v>2701</v>
      </c>
      <c r="D641" s="9">
        <f>VLOOKUP(A641,[2]Sheet1!$A:$C,3,0)</f>
        <v>0</v>
      </c>
      <c r="H641" s="1">
        <f t="shared" si="1"/>
        <v>0</v>
      </c>
      <c r="J641" s="1"/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spans="1:16" x14ac:dyDescent="0.3">
      <c r="A642" t="s">
        <v>1578</v>
      </c>
      <c r="B642" s="3" t="s">
        <v>2838</v>
      </c>
      <c r="C642" t="s">
        <v>1577</v>
      </c>
      <c r="D642" s="9">
        <f>VLOOKUP(A642,[2]Sheet1!$A:$C,3,0)</f>
        <v>138</v>
      </c>
      <c r="H642" s="1">
        <f t="shared" si="1"/>
        <v>0</v>
      </c>
      <c r="J642" s="1"/>
      <c r="K642" s="2">
        <v>0</v>
      </c>
      <c r="L642" s="1">
        <v>6.85</v>
      </c>
      <c r="M642" s="1">
        <v>7</v>
      </c>
      <c r="N642" s="1">
        <v>7.5</v>
      </c>
      <c r="O642" s="1">
        <v>8</v>
      </c>
    </row>
    <row r="643" spans="1:16" x14ac:dyDescent="0.3">
      <c r="A643" s="17" t="s">
        <v>1578</v>
      </c>
      <c r="B643" s="18" t="s">
        <v>2838</v>
      </c>
      <c r="C643" s="17" t="s">
        <v>1577</v>
      </c>
      <c r="D643" s="17"/>
      <c r="E643" s="18"/>
      <c r="F643" s="18"/>
      <c r="G643" s="30"/>
      <c r="H643" s="19">
        <f t="shared" si="1"/>
        <v>0</v>
      </c>
      <c r="I643" s="15"/>
      <c r="J643" s="19"/>
      <c r="K643" s="33"/>
      <c r="L643" s="19"/>
      <c r="M643" s="19"/>
      <c r="N643" s="19"/>
      <c r="O643" s="19"/>
      <c r="P643" s="17"/>
    </row>
    <row r="644" spans="1:16" x14ac:dyDescent="0.3">
      <c r="A644" s="9" t="s">
        <v>1576</v>
      </c>
      <c r="B644" s="10" t="s">
        <v>2838</v>
      </c>
      <c r="C644" s="9" t="s">
        <v>1575</v>
      </c>
      <c r="D644" s="9">
        <f>VLOOKUP(A644,[2]Sheet1!$A:$C,3,0)</f>
        <v>100</v>
      </c>
      <c r="E644" s="10">
        <v>0</v>
      </c>
      <c r="F644" s="10"/>
      <c r="G644" s="28">
        <v>0</v>
      </c>
      <c r="H644" s="10">
        <v>0</v>
      </c>
      <c r="I644" s="13">
        <v>0</v>
      </c>
      <c r="J644" s="10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9"/>
    </row>
    <row r="645" spans="1:16" x14ac:dyDescent="0.3">
      <c r="A645" t="s">
        <v>1528</v>
      </c>
      <c r="B645" s="3" t="s">
        <v>2838</v>
      </c>
      <c r="C645" t="s">
        <v>1527</v>
      </c>
      <c r="D645" s="9">
        <f>VLOOKUP(A645,[2]Sheet1!$A:$C,3,0)</f>
        <v>66</v>
      </c>
      <c r="H645" s="1">
        <f t="shared" ref="H645:H708" si="2">G645/1.07</f>
        <v>0</v>
      </c>
      <c r="J645" s="1"/>
      <c r="K645" s="2">
        <v>0</v>
      </c>
      <c r="L645" s="1">
        <v>44</v>
      </c>
      <c r="M645" s="1">
        <v>46</v>
      </c>
      <c r="N645" s="1">
        <v>48</v>
      </c>
      <c r="O645" s="1">
        <v>50</v>
      </c>
    </row>
    <row r="646" spans="1:16" x14ac:dyDescent="0.3">
      <c r="A646" s="17" t="s">
        <v>1528</v>
      </c>
      <c r="B646" s="18" t="s">
        <v>2838</v>
      </c>
      <c r="C646" s="17" t="s">
        <v>1527</v>
      </c>
      <c r="D646" s="17"/>
      <c r="E646" s="18"/>
      <c r="F646" s="18"/>
      <c r="G646" s="30"/>
      <c r="H646" s="19">
        <f t="shared" si="2"/>
        <v>0</v>
      </c>
      <c r="I646" s="15"/>
      <c r="J646" s="19"/>
      <c r="K646" s="33"/>
      <c r="L646" s="19"/>
      <c r="M646" s="19"/>
      <c r="N646" s="19"/>
      <c r="O646" s="19"/>
      <c r="P646" s="17"/>
    </row>
    <row r="647" spans="1:16" x14ac:dyDescent="0.3">
      <c r="A647" t="s">
        <v>1526</v>
      </c>
      <c r="B647" s="3" t="s">
        <v>2838</v>
      </c>
      <c r="C647" t="s">
        <v>1525</v>
      </c>
      <c r="D647" s="9">
        <f>VLOOKUP(A647,[2]Sheet1!$A:$C,3,0)</f>
        <v>89</v>
      </c>
      <c r="H647" s="1">
        <f t="shared" si="2"/>
        <v>0</v>
      </c>
      <c r="J647" s="1"/>
      <c r="K647" s="2">
        <v>0</v>
      </c>
      <c r="L647" s="1">
        <v>44</v>
      </c>
      <c r="M647" s="1">
        <v>46</v>
      </c>
      <c r="N647" s="1">
        <v>48</v>
      </c>
      <c r="O647" s="1">
        <v>50</v>
      </c>
    </row>
    <row r="648" spans="1:16" x14ac:dyDescent="0.3">
      <c r="A648" s="17" t="s">
        <v>1526</v>
      </c>
      <c r="B648" s="18" t="s">
        <v>2838</v>
      </c>
      <c r="C648" s="17" t="s">
        <v>1525</v>
      </c>
      <c r="D648" s="17"/>
      <c r="E648" s="18"/>
      <c r="F648" s="18"/>
      <c r="G648" s="30"/>
      <c r="H648" s="19">
        <f t="shared" si="2"/>
        <v>0</v>
      </c>
      <c r="I648" s="15"/>
      <c r="J648" s="19"/>
      <c r="K648" s="33"/>
      <c r="L648" s="19"/>
      <c r="M648" s="19"/>
      <c r="N648" s="19"/>
      <c r="O648" s="19"/>
      <c r="P648" s="17"/>
    </row>
    <row r="649" spans="1:16" x14ac:dyDescent="0.3">
      <c r="A649" t="s">
        <v>1524</v>
      </c>
      <c r="B649" s="3" t="s">
        <v>2838</v>
      </c>
      <c r="C649" t="s">
        <v>1523</v>
      </c>
      <c r="D649" s="9">
        <f>VLOOKUP(A649,[2]Sheet1!$A:$C,3,0)</f>
        <v>43</v>
      </c>
      <c r="H649" s="1">
        <f t="shared" si="2"/>
        <v>0</v>
      </c>
      <c r="J649" s="1"/>
      <c r="K649" s="2">
        <v>0</v>
      </c>
      <c r="L649" s="1">
        <v>54.5</v>
      </c>
      <c r="M649" s="1">
        <v>56</v>
      </c>
      <c r="N649" s="1">
        <v>58</v>
      </c>
      <c r="O649" s="1">
        <v>62</v>
      </c>
    </row>
    <row r="650" spans="1:16" x14ac:dyDescent="0.3">
      <c r="A650" s="17" t="s">
        <v>1524</v>
      </c>
      <c r="B650" s="18" t="s">
        <v>2838</v>
      </c>
      <c r="C650" s="17" t="s">
        <v>1523</v>
      </c>
      <c r="D650" s="17"/>
      <c r="E650" s="18"/>
      <c r="F650" s="18"/>
      <c r="G650" s="30"/>
      <c r="H650" s="19">
        <f t="shared" si="2"/>
        <v>0</v>
      </c>
      <c r="I650" s="15"/>
      <c r="J650" s="19"/>
      <c r="K650" s="33"/>
      <c r="L650" s="19"/>
      <c r="M650" s="19"/>
      <c r="N650" s="19"/>
      <c r="O650" s="19"/>
      <c r="P650" s="17"/>
    </row>
    <row r="651" spans="1:16" x14ac:dyDescent="0.3">
      <c r="A651" t="s">
        <v>1522</v>
      </c>
      <c r="B651" s="3" t="s">
        <v>2838</v>
      </c>
      <c r="C651" t="s">
        <v>1521</v>
      </c>
      <c r="D651" s="9">
        <f>VLOOKUP(A651,[2]Sheet1!$A:$C,3,0)</f>
        <v>59</v>
      </c>
      <c r="H651" s="1">
        <f t="shared" si="2"/>
        <v>0</v>
      </c>
      <c r="J651" s="1"/>
      <c r="K651" s="2">
        <v>0</v>
      </c>
      <c r="L651" s="1">
        <v>54.5</v>
      </c>
      <c r="M651" s="1">
        <v>56</v>
      </c>
      <c r="N651" s="1">
        <v>58</v>
      </c>
      <c r="O651" s="1">
        <v>59</v>
      </c>
    </row>
    <row r="652" spans="1:16" x14ac:dyDescent="0.3">
      <c r="A652" s="17" t="s">
        <v>1522</v>
      </c>
      <c r="B652" s="18" t="s">
        <v>2838</v>
      </c>
      <c r="C652" s="17" t="s">
        <v>1521</v>
      </c>
      <c r="D652" s="17"/>
      <c r="E652" s="18"/>
      <c r="F652" s="18"/>
      <c r="G652" s="30"/>
      <c r="H652" s="19">
        <f t="shared" si="2"/>
        <v>0</v>
      </c>
      <c r="I652" s="15"/>
      <c r="J652" s="19"/>
      <c r="K652" s="33"/>
      <c r="L652" s="19"/>
      <c r="M652" s="19"/>
      <c r="N652" s="19"/>
      <c r="O652" s="19"/>
      <c r="P652" s="17"/>
    </row>
    <row r="653" spans="1:16" x14ac:dyDescent="0.3">
      <c r="A653" t="s">
        <v>1520</v>
      </c>
      <c r="B653" s="3" t="s">
        <v>2838</v>
      </c>
      <c r="C653" t="s">
        <v>1519</v>
      </c>
      <c r="D653" s="9">
        <f>VLOOKUP(A653,[2]Sheet1!$A:$C,3,0)</f>
        <v>0</v>
      </c>
      <c r="H653" s="1">
        <f t="shared" si="2"/>
        <v>0</v>
      </c>
      <c r="J653" s="1"/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6" x14ac:dyDescent="0.3">
      <c r="A654" s="17" t="s">
        <v>1520</v>
      </c>
      <c r="B654" s="18" t="s">
        <v>2838</v>
      </c>
      <c r="C654" s="17" t="s">
        <v>1519</v>
      </c>
      <c r="D654" s="17"/>
      <c r="E654" s="18"/>
      <c r="F654" s="18"/>
      <c r="G654" s="30"/>
      <c r="H654" s="19">
        <f t="shared" si="2"/>
        <v>0</v>
      </c>
      <c r="I654" s="15"/>
      <c r="J654" s="19"/>
      <c r="K654" s="33"/>
      <c r="L654" s="19"/>
      <c r="M654" s="19"/>
      <c r="N654" s="19"/>
      <c r="O654" s="19"/>
      <c r="P654" s="17"/>
    </row>
    <row r="655" spans="1:16" x14ac:dyDescent="0.3">
      <c r="A655" t="s">
        <v>1518</v>
      </c>
      <c r="B655" s="3" t="s">
        <v>2838</v>
      </c>
      <c r="C655" t="s">
        <v>1517</v>
      </c>
      <c r="D655" s="9">
        <f>VLOOKUP(A655,[2]Sheet1!$A:$C,3,0)</f>
        <v>0</v>
      </c>
      <c r="H655" s="1">
        <f t="shared" si="2"/>
        <v>0</v>
      </c>
      <c r="J655" s="1"/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6" x14ac:dyDescent="0.3">
      <c r="A656" s="17" t="s">
        <v>1518</v>
      </c>
      <c r="B656" s="18" t="s">
        <v>2838</v>
      </c>
      <c r="C656" s="17" t="s">
        <v>1517</v>
      </c>
      <c r="D656" s="17"/>
      <c r="E656" s="18"/>
      <c r="F656" s="18"/>
      <c r="G656" s="30"/>
      <c r="H656" s="19">
        <f t="shared" si="2"/>
        <v>0</v>
      </c>
      <c r="I656" s="15"/>
      <c r="J656" s="19"/>
      <c r="K656" s="33"/>
      <c r="L656" s="19"/>
      <c r="M656" s="19"/>
      <c r="N656" s="19"/>
      <c r="O656" s="19"/>
      <c r="P656" s="17"/>
    </row>
    <row r="657" spans="1:16" x14ac:dyDescent="0.3">
      <c r="A657" t="s">
        <v>1434</v>
      </c>
      <c r="B657" s="3" t="s">
        <v>2838</v>
      </c>
      <c r="C657" t="s">
        <v>1433</v>
      </c>
      <c r="D657" s="9">
        <f>VLOOKUP(A657,[2]Sheet1!$A:$C,3,0)</f>
        <v>107</v>
      </c>
      <c r="H657" s="1">
        <f t="shared" si="2"/>
        <v>0</v>
      </c>
      <c r="J657" s="1"/>
      <c r="K657" s="2">
        <v>0</v>
      </c>
      <c r="L657" s="1">
        <v>44</v>
      </c>
      <c r="M657" s="1">
        <v>46</v>
      </c>
      <c r="N657" s="1">
        <v>48</v>
      </c>
      <c r="O657" s="1">
        <v>50</v>
      </c>
    </row>
    <row r="658" spans="1:16" x14ac:dyDescent="0.3">
      <c r="A658" s="17" t="s">
        <v>1434</v>
      </c>
      <c r="B658" s="18" t="s">
        <v>2838</v>
      </c>
      <c r="C658" s="17" t="s">
        <v>1433</v>
      </c>
      <c r="D658" s="17"/>
      <c r="E658" s="18"/>
      <c r="F658" s="18"/>
      <c r="G658" s="30"/>
      <c r="H658" s="19">
        <f t="shared" si="2"/>
        <v>0</v>
      </c>
      <c r="I658" s="15"/>
      <c r="J658" s="19"/>
      <c r="K658" s="33"/>
      <c r="L658" s="19"/>
      <c r="M658" s="19"/>
      <c r="N658" s="19"/>
      <c r="O658" s="19"/>
      <c r="P658" s="17"/>
    </row>
    <row r="659" spans="1:16" x14ac:dyDescent="0.3">
      <c r="A659" t="s">
        <v>1432</v>
      </c>
      <c r="B659" s="3" t="s">
        <v>2838</v>
      </c>
      <c r="C659" t="s">
        <v>1431</v>
      </c>
      <c r="D659" s="9">
        <f>VLOOKUP(A659,[2]Sheet1!$A:$C,3,0)</f>
        <v>296</v>
      </c>
      <c r="H659" s="1">
        <f t="shared" si="2"/>
        <v>0</v>
      </c>
      <c r="J659" s="1"/>
      <c r="K659" s="2">
        <v>0</v>
      </c>
      <c r="L659" s="1">
        <v>44</v>
      </c>
      <c r="M659" s="1">
        <v>46</v>
      </c>
      <c r="N659" s="1">
        <v>48</v>
      </c>
      <c r="O659" s="1">
        <v>50</v>
      </c>
    </row>
    <row r="660" spans="1:16" x14ac:dyDescent="0.3">
      <c r="A660" s="17" t="s">
        <v>1432</v>
      </c>
      <c r="B660" s="18" t="s">
        <v>2838</v>
      </c>
      <c r="C660" s="17" t="s">
        <v>1431</v>
      </c>
      <c r="D660" s="17"/>
      <c r="E660" s="18"/>
      <c r="F660" s="18"/>
      <c r="G660" s="30"/>
      <c r="H660" s="19">
        <f t="shared" si="2"/>
        <v>0</v>
      </c>
      <c r="I660" s="15"/>
      <c r="J660" s="19"/>
      <c r="K660" s="33"/>
      <c r="L660" s="19"/>
      <c r="M660" s="19"/>
      <c r="N660" s="19"/>
      <c r="O660" s="19"/>
      <c r="P660" s="17"/>
    </row>
    <row r="661" spans="1:16" x14ac:dyDescent="0.3">
      <c r="A661" t="s">
        <v>1430</v>
      </c>
      <c r="B661" s="3" t="s">
        <v>2838</v>
      </c>
      <c r="C661" t="s">
        <v>1429</v>
      </c>
      <c r="D661" s="9">
        <f>VLOOKUP(A661,[2]Sheet1!$A:$C,3,0)</f>
        <v>237</v>
      </c>
      <c r="H661" s="1">
        <f t="shared" si="2"/>
        <v>0</v>
      </c>
      <c r="J661" s="1"/>
      <c r="K661" s="2">
        <v>0</v>
      </c>
      <c r="L661" s="1">
        <v>44</v>
      </c>
      <c r="M661" s="1">
        <v>46</v>
      </c>
      <c r="N661" s="1">
        <v>48</v>
      </c>
      <c r="O661" s="1">
        <v>50</v>
      </c>
    </row>
    <row r="662" spans="1:16" x14ac:dyDescent="0.3">
      <c r="A662" s="17" t="s">
        <v>1430</v>
      </c>
      <c r="B662" s="18" t="s">
        <v>2838</v>
      </c>
      <c r="C662" s="17" t="s">
        <v>1429</v>
      </c>
      <c r="D662" s="17"/>
      <c r="E662" s="18"/>
      <c r="F662" s="18"/>
      <c r="G662" s="30"/>
      <c r="H662" s="19">
        <f t="shared" si="2"/>
        <v>0</v>
      </c>
      <c r="I662" s="15"/>
      <c r="J662" s="19"/>
      <c r="K662" s="33"/>
      <c r="L662" s="19"/>
      <c r="M662" s="19"/>
      <c r="N662" s="19"/>
      <c r="O662" s="19"/>
      <c r="P662" s="17"/>
    </row>
    <row r="663" spans="1:16" x14ac:dyDescent="0.3">
      <c r="A663" t="s">
        <v>1428</v>
      </c>
      <c r="B663" s="3" t="s">
        <v>2838</v>
      </c>
      <c r="C663" t="s">
        <v>1427</v>
      </c>
      <c r="D663" s="9">
        <f>VLOOKUP(A663,[2]Sheet1!$A:$C,3,0)</f>
        <v>442</v>
      </c>
      <c r="H663" s="1">
        <f t="shared" si="2"/>
        <v>0</v>
      </c>
      <c r="J663" s="1"/>
      <c r="K663" s="2">
        <v>0</v>
      </c>
      <c r="L663" s="1">
        <v>44</v>
      </c>
      <c r="M663" s="1">
        <v>46</v>
      </c>
      <c r="N663" s="1">
        <v>48</v>
      </c>
      <c r="O663" s="1">
        <v>50</v>
      </c>
    </row>
    <row r="664" spans="1:16" x14ac:dyDescent="0.3">
      <c r="A664" s="17" t="s">
        <v>1428</v>
      </c>
      <c r="B664" s="18" t="s">
        <v>2838</v>
      </c>
      <c r="C664" s="17" t="s">
        <v>1427</v>
      </c>
      <c r="D664" s="17"/>
      <c r="E664" s="18"/>
      <c r="F664" s="18"/>
      <c r="G664" s="30"/>
      <c r="H664" s="19">
        <f t="shared" si="2"/>
        <v>0</v>
      </c>
      <c r="I664" s="15"/>
      <c r="J664" s="19"/>
      <c r="K664" s="33"/>
      <c r="L664" s="19"/>
      <c r="M664" s="19"/>
      <c r="N664" s="19"/>
      <c r="O664" s="19"/>
      <c r="P664" s="17"/>
    </row>
    <row r="665" spans="1:16" x14ac:dyDescent="0.3">
      <c r="A665" t="s">
        <v>1426</v>
      </c>
      <c r="B665" s="3" t="s">
        <v>2838</v>
      </c>
      <c r="C665" t="s">
        <v>1425</v>
      </c>
      <c r="D665" s="9">
        <f>VLOOKUP(A665,[2]Sheet1!$A:$C,3,0)</f>
        <v>4</v>
      </c>
      <c r="H665" s="1">
        <f t="shared" si="2"/>
        <v>0</v>
      </c>
      <c r="J665" s="1"/>
      <c r="K665" s="1">
        <v>50</v>
      </c>
      <c r="L665" s="1">
        <v>53</v>
      </c>
      <c r="M665" s="1">
        <v>55</v>
      </c>
      <c r="N665" s="1">
        <v>57</v>
      </c>
      <c r="O665" s="1">
        <v>59</v>
      </c>
    </row>
    <row r="666" spans="1:16" x14ac:dyDescent="0.3">
      <c r="A666" s="17" t="s">
        <v>1426</v>
      </c>
      <c r="B666" s="18" t="s">
        <v>2838</v>
      </c>
      <c r="C666" s="17" t="s">
        <v>1425</v>
      </c>
      <c r="D666" s="17"/>
      <c r="E666" s="18"/>
      <c r="F666" s="18"/>
      <c r="G666" s="30"/>
      <c r="H666" s="19">
        <f t="shared" si="2"/>
        <v>0</v>
      </c>
      <c r="I666" s="15"/>
      <c r="J666" s="19"/>
      <c r="K666" s="33"/>
      <c r="L666" s="19"/>
      <c r="M666" s="19"/>
      <c r="N666" s="19"/>
      <c r="O666" s="19"/>
      <c r="P666" s="17"/>
    </row>
    <row r="667" spans="1:16" x14ac:dyDescent="0.3">
      <c r="A667" t="s">
        <v>1424</v>
      </c>
      <c r="B667" s="3" t="s">
        <v>2838</v>
      </c>
      <c r="C667" t="s">
        <v>1423</v>
      </c>
      <c r="D667" s="9">
        <f>VLOOKUP(A667,[2]Sheet1!$A:$C,3,0)</f>
        <v>39</v>
      </c>
      <c r="H667" s="1">
        <f t="shared" si="2"/>
        <v>0</v>
      </c>
      <c r="J667" s="1"/>
      <c r="K667" s="1">
        <v>50</v>
      </c>
      <c r="L667" s="1">
        <v>53</v>
      </c>
      <c r="M667" s="1">
        <v>55</v>
      </c>
      <c r="N667" s="1">
        <v>57</v>
      </c>
      <c r="O667" s="1">
        <v>59</v>
      </c>
    </row>
    <row r="668" spans="1:16" x14ac:dyDescent="0.3">
      <c r="A668" s="17" t="s">
        <v>1424</v>
      </c>
      <c r="B668" s="18" t="s">
        <v>2838</v>
      </c>
      <c r="C668" s="17" t="s">
        <v>1423</v>
      </c>
      <c r="D668" s="17"/>
      <c r="E668" s="18"/>
      <c r="F668" s="18"/>
      <c r="G668" s="30"/>
      <c r="H668" s="19">
        <f t="shared" si="2"/>
        <v>0</v>
      </c>
      <c r="I668" s="15"/>
      <c r="J668" s="19"/>
      <c r="K668" s="33"/>
      <c r="L668" s="19"/>
      <c r="M668" s="19"/>
      <c r="N668" s="19"/>
      <c r="O668" s="19"/>
      <c r="P668" s="17"/>
    </row>
    <row r="669" spans="1:16" x14ac:dyDescent="0.3">
      <c r="A669" t="s">
        <v>1422</v>
      </c>
      <c r="B669" s="3" t="s">
        <v>2838</v>
      </c>
      <c r="C669" t="s">
        <v>1421</v>
      </c>
      <c r="D669" s="9">
        <f>VLOOKUP(A669,[2]Sheet1!$A:$C,3,0)</f>
        <v>378</v>
      </c>
      <c r="H669" s="1">
        <f t="shared" si="2"/>
        <v>0</v>
      </c>
      <c r="J669" s="1"/>
      <c r="K669" s="2">
        <v>0</v>
      </c>
      <c r="L669" s="1">
        <v>50</v>
      </c>
      <c r="M669" s="1">
        <v>52.5</v>
      </c>
      <c r="N669" s="1">
        <v>53.5</v>
      </c>
      <c r="O669" s="1">
        <v>55.5</v>
      </c>
    </row>
    <row r="670" spans="1:16" x14ac:dyDescent="0.3">
      <c r="A670" s="17" t="s">
        <v>1422</v>
      </c>
      <c r="B670" s="18" t="s">
        <v>2838</v>
      </c>
      <c r="C670" s="17" t="s">
        <v>1421</v>
      </c>
      <c r="D670" s="17"/>
      <c r="E670" s="18"/>
      <c r="F670" s="18"/>
      <c r="G670" s="30"/>
      <c r="H670" s="19">
        <f t="shared" si="2"/>
        <v>0</v>
      </c>
      <c r="I670" s="15"/>
      <c r="J670" s="19"/>
      <c r="K670" s="33"/>
      <c r="L670" s="19"/>
      <c r="M670" s="19"/>
      <c r="N670" s="19"/>
      <c r="O670" s="19"/>
      <c r="P670" s="17"/>
    </row>
    <row r="671" spans="1:16" x14ac:dyDescent="0.3">
      <c r="A671" t="s">
        <v>1420</v>
      </c>
      <c r="B671" s="3" t="s">
        <v>2838</v>
      </c>
      <c r="C671" t="s">
        <v>1419</v>
      </c>
      <c r="D671" s="9">
        <f>VLOOKUP(A671,[2]Sheet1!$A:$C,3,0)</f>
        <v>802</v>
      </c>
      <c r="H671" s="1">
        <f t="shared" si="2"/>
        <v>0</v>
      </c>
      <c r="J671" s="1"/>
      <c r="K671" s="2">
        <v>0</v>
      </c>
      <c r="L671" s="1">
        <v>50</v>
      </c>
      <c r="M671" s="1">
        <v>52.5</v>
      </c>
      <c r="N671" s="1">
        <v>53.5</v>
      </c>
      <c r="O671" s="1">
        <v>55.5</v>
      </c>
    </row>
    <row r="672" spans="1:16" x14ac:dyDescent="0.3">
      <c r="A672" s="17" t="s">
        <v>1420</v>
      </c>
      <c r="B672" s="18" t="s">
        <v>2838</v>
      </c>
      <c r="C672" s="17" t="s">
        <v>1419</v>
      </c>
      <c r="D672" s="17"/>
      <c r="E672" s="18"/>
      <c r="F672" s="18"/>
      <c r="G672" s="30"/>
      <c r="H672" s="19">
        <f t="shared" si="2"/>
        <v>0</v>
      </c>
      <c r="I672" s="15"/>
      <c r="J672" s="19"/>
      <c r="K672" s="33"/>
      <c r="L672" s="19"/>
      <c r="M672" s="19"/>
      <c r="N672" s="19"/>
      <c r="O672" s="19"/>
      <c r="P672" s="17"/>
    </row>
    <row r="673" spans="1:16" x14ac:dyDescent="0.3">
      <c r="A673" t="s">
        <v>1418</v>
      </c>
      <c r="B673" s="3" t="s">
        <v>2838</v>
      </c>
      <c r="C673" t="s">
        <v>1417</v>
      </c>
      <c r="D673" s="9">
        <f>VLOOKUP(A673,[2]Sheet1!$A:$C,3,0)</f>
        <v>45</v>
      </c>
      <c r="H673" s="1">
        <f t="shared" si="2"/>
        <v>0</v>
      </c>
      <c r="J673" s="1"/>
      <c r="K673" s="1">
        <v>220</v>
      </c>
      <c r="L673" s="1">
        <v>230</v>
      </c>
      <c r="M673" s="1">
        <v>235</v>
      </c>
      <c r="N673" s="1">
        <v>250</v>
      </c>
      <c r="O673" s="1">
        <v>270</v>
      </c>
    </row>
    <row r="674" spans="1:16" x14ac:dyDescent="0.3">
      <c r="A674" s="17" t="s">
        <v>1418</v>
      </c>
      <c r="B674" s="18" t="s">
        <v>2838</v>
      </c>
      <c r="C674" s="17" t="s">
        <v>1417</v>
      </c>
      <c r="D674" s="17"/>
      <c r="E674" s="18"/>
      <c r="F674" s="18"/>
      <c r="G674" s="30"/>
      <c r="H674" s="19">
        <f t="shared" si="2"/>
        <v>0</v>
      </c>
      <c r="I674" s="15"/>
      <c r="J674" s="19"/>
      <c r="K674" s="33"/>
      <c r="L674" s="19"/>
      <c r="M674" s="19"/>
      <c r="N674" s="19"/>
      <c r="O674" s="19"/>
      <c r="P674" s="17"/>
    </row>
    <row r="675" spans="1:16" x14ac:dyDescent="0.3">
      <c r="A675" t="s">
        <v>1416</v>
      </c>
      <c r="B675" s="3" t="s">
        <v>2838</v>
      </c>
      <c r="C675" t="s">
        <v>1415</v>
      </c>
      <c r="D675" s="9">
        <f>VLOOKUP(A675,[2]Sheet1!$A:$C,3,0)</f>
        <v>56</v>
      </c>
      <c r="H675" s="1">
        <f t="shared" si="2"/>
        <v>0</v>
      </c>
      <c r="J675" s="1"/>
      <c r="K675" s="1">
        <v>220</v>
      </c>
      <c r="L675" s="1">
        <v>230</v>
      </c>
      <c r="M675" s="1">
        <v>235</v>
      </c>
      <c r="N675" s="1">
        <v>250</v>
      </c>
      <c r="O675" s="1">
        <v>270</v>
      </c>
    </row>
    <row r="676" spans="1:16" x14ac:dyDescent="0.3">
      <c r="A676" s="17" t="s">
        <v>1416</v>
      </c>
      <c r="B676" s="18" t="s">
        <v>2838</v>
      </c>
      <c r="C676" s="17" t="s">
        <v>1415</v>
      </c>
      <c r="D676" s="17"/>
      <c r="E676" s="18"/>
      <c r="F676" s="18"/>
      <c r="G676" s="30"/>
      <c r="H676" s="19">
        <f t="shared" si="2"/>
        <v>0</v>
      </c>
      <c r="I676" s="15"/>
      <c r="J676" s="19"/>
      <c r="K676" s="33"/>
      <c r="L676" s="19"/>
      <c r="M676" s="19"/>
      <c r="N676" s="19"/>
      <c r="O676" s="19"/>
      <c r="P676" s="17"/>
    </row>
    <row r="677" spans="1:16" x14ac:dyDescent="0.3">
      <c r="A677" t="s">
        <v>1372</v>
      </c>
      <c r="B677" s="3" t="s">
        <v>2838</v>
      </c>
      <c r="C677" t="s">
        <v>1371</v>
      </c>
      <c r="D677" s="9">
        <f>VLOOKUP(A677,[2]Sheet1!$A:$C,3,0)</f>
        <v>213</v>
      </c>
      <c r="H677" s="1">
        <f t="shared" si="2"/>
        <v>0</v>
      </c>
      <c r="J677" s="1"/>
      <c r="K677" s="1">
        <v>34</v>
      </c>
      <c r="L677" s="1">
        <v>35</v>
      </c>
      <c r="M677" s="1">
        <v>40</v>
      </c>
      <c r="N677" s="1">
        <v>42</v>
      </c>
      <c r="O677" s="1">
        <v>44</v>
      </c>
    </row>
    <row r="678" spans="1:16" x14ac:dyDescent="0.3">
      <c r="A678" s="17" t="s">
        <v>1372</v>
      </c>
      <c r="B678" s="18" t="s">
        <v>2838</v>
      </c>
      <c r="C678" s="17" t="s">
        <v>1371</v>
      </c>
      <c r="D678" s="17"/>
      <c r="E678" s="18"/>
      <c r="F678" s="18"/>
      <c r="G678" s="30"/>
      <c r="H678" s="19">
        <f t="shared" si="2"/>
        <v>0</v>
      </c>
      <c r="I678" s="15"/>
      <c r="J678" s="19"/>
      <c r="K678" s="33"/>
      <c r="L678" s="19"/>
      <c r="M678" s="19"/>
      <c r="N678" s="19"/>
      <c r="O678" s="19"/>
      <c r="P678" s="17"/>
    </row>
    <row r="679" spans="1:16" x14ac:dyDescent="0.3">
      <c r="A679" t="s">
        <v>1370</v>
      </c>
      <c r="B679" s="3" t="s">
        <v>2838</v>
      </c>
      <c r="C679" t="s">
        <v>1369</v>
      </c>
      <c r="D679" s="9">
        <f>VLOOKUP(A679,[2]Sheet1!$A:$C,3,0)</f>
        <v>0</v>
      </c>
      <c r="H679" s="1">
        <f t="shared" si="2"/>
        <v>0</v>
      </c>
      <c r="J679" s="1"/>
      <c r="K679" s="1">
        <v>34</v>
      </c>
      <c r="L679" s="1">
        <v>35</v>
      </c>
      <c r="M679" s="1">
        <v>40</v>
      </c>
      <c r="N679" s="1">
        <v>42</v>
      </c>
      <c r="O679" s="1">
        <v>44</v>
      </c>
    </row>
    <row r="680" spans="1:16" x14ac:dyDescent="0.3">
      <c r="A680" s="17" t="s">
        <v>1370</v>
      </c>
      <c r="B680" s="18" t="s">
        <v>2838</v>
      </c>
      <c r="C680" s="17" t="s">
        <v>1369</v>
      </c>
      <c r="D680" s="17"/>
      <c r="E680" s="18"/>
      <c r="F680" s="18"/>
      <c r="G680" s="30"/>
      <c r="H680" s="19">
        <f t="shared" si="2"/>
        <v>0</v>
      </c>
      <c r="I680" s="15"/>
      <c r="J680" s="19"/>
      <c r="K680" s="33"/>
      <c r="L680" s="19"/>
      <c r="M680" s="19"/>
      <c r="N680" s="19"/>
      <c r="O680" s="19"/>
      <c r="P680" s="17"/>
    </row>
    <row r="681" spans="1:16" x14ac:dyDescent="0.3">
      <c r="A681" t="s">
        <v>1368</v>
      </c>
      <c r="B681" s="3" t="s">
        <v>2838</v>
      </c>
      <c r="C681" t="s">
        <v>1367</v>
      </c>
      <c r="D681" s="9">
        <f>VLOOKUP(A681,[2]Sheet1!$A:$C,3,0)</f>
        <v>443</v>
      </c>
      <c r="H681" s="1">
        <f t="shared" si="2"/>
        <v>0</v>
      </c>
      <c r="J681" s="1"/>
      <c r="K681" s="1">
        <v>34</v>
      </c>
      <c r="L681" s="1">
        <v>35</v>
      </c>
      <c r="M681" s="1">
        <v>40</v>
      </c>
      <c r="N681" s="1">
        <v>42</v>
      </c>
      <c r="O681" s="1">
        <v>44</v>
      </c>
    </row>
    <row r="682" spans="1:16" x14ac:dyDescent="0.3">
      <c r="A682" s="17" t="s">
        <v>1368</v>
      </c>
      <c r="B682" s="18" t="s">
        <v>2838</v>
      </c>
      <c r="C682" s="17" t="s">
        <v>1367</v>
      </c>
      <c r="D682" s="17"/>
      <c r="E682" s="18"/>
      <c r="F682" s="18"/>
      <c r="G682" s="30"/>
      <c r="H682" s="19">
        <f t="shared" si="2"/>
        <v>0</v>
      </c>
      <c r="I682" s="15"/>
      <c r="J682" s="19"/>
      <c r="K682" s="33"/>
      <c r="L682" s="19"/>
      <c r="M682" s="19"/>
      <c r="N682" s="19"/>
      <c r="O682" s="19"/>
      <c r="P682" s="17"/>
    </row>
    <row r="683" spans="1:16" x14ac:dyDescent="0.3">
      <c r="A683" t="s">
        <v>1366</v>
      </c>
      <c r="B683" s="3" t="s">
        <v>2838</v>
      </c>
      <c r="C683" t="s">
        <v>1365</v>
      </c>
      <c r="D683" s="9">
        <f>VLOOKUP(A683,[2]Sheet1!$A:$C,3,0)</f>
        <v>0</v>
      </c>
      <c r="H683" s="1">
        <f t="shared" si="2"/>
        <v>0</v>
      </c>
      <c r="J683" s="1"/>
      <c r="K683" s="1">
        <v>34</v>
      </c>
      <c r="L683" s="1">
        <v>35</v>
      </c>
      <c r="M683" s="1">
        <v>40</v>
      </c>
      <c r="N683" s="1">
        <v>42</v>
      </c>
      <c r="O683" s="1">
        <v>44</v>
      </c>
    </row>
    <row r="684" spans="1:16" x14ac:dyDescent="0.3">
      <c r="A684" s="17" t="s">
        <v>1366</v>
      </c>
      <c r="B684" s="18" t="s">
        <v>2838</v>
      </c>
      <c r="C684" s="17" t="s">
        <v>1365</v>
      </c>
      <c r="D684" s="17"/>
      <c r="E684" s="18"/>
      <c r="F684" s="18"/>
      <c r="G684" s="30"/>
      <c r="H684" s="19">
        <f t="shared" si="2"/>
        <v>0</v>
      </c>
      <c r="I684" s="15"/>
      <c r="J684" s="19"/>
      <c r="K684" s="33"/>
      <c r="L684" s="19"/>
      <c r="M684" s="19"/>
      <c r="N684" s="19"/>
      <c r="O684" s="19"/>
      <c r="P684" s="17"/>
    </row>
    <row r="685" spans="1:16" x14ac:dyDescent="0.3">
      <c r="A685" t="s">
        <v>1364</v>
      </c>
      <c r="B685" s="3" t="s">
        <v>2838</v>
      </c>
      <c r="C685" t="s">
        <v>1363</v>
      </c>
      <c r="D685" s="9">
        <f>VLOOKUP(A685,[2]Sheet1!$A:$C,3,0)</f>
        <v>410</v>
      </c>
      <c r="H685" s="1">
        <f t="shared" si="2"/>
        <v>0</v>
      </c>
      <c r="J685" s="1"/>
      <c r="K685" s="2">
        <v>0</v>
      </c>
      <c r="L685" s="1">
        <v>50</v>
      </c>
      <c r="M685" s="1">
        <v>52.5</v>
      </c>
      <c r="N685" s="1">
        <v>53.5</v>
      </c>
      <c r="O685" s="1">
        <v>57</v>
      </c>
    </row>
    <row r="686" spans="1:16" x14ac:dyDescent="0.3">
      <c r="A686" s="17" t="s">
        <v>1364</v>
      </c>
      <c r="B686" s="18" t="s">
        <v>2838</v>
      </c>
      <c r="C686" s="17" t="s">
        <v>1363</v>
      </c>
      <c r="D686" s="17"/>
      <c r="E686" s="18"/>
      <c r="F686" s="18"/>
      <c r="G686" s="30"/>
      <c r="H686" s="19">
        <f t="shared" si="2"/>
        <v>0</v>
      </c>
      <c r="I686" s="15"/>
      <c r="J686" s="19"/>
      <c r="K686" s="33"/>
      <c r="L686" s="19"/>
      <c r="M686" s="19"/>
      <c r="N686" s="19"/>
      <c r="O686" s="19"/>
      <c r="P686" s="17"/>
    </row>
    <row r="687" spans="1:16" x14ac:dyDescent="0.3">
      <c r="A687" t="s">
        <v>1362</v>
      </c>
      <c r="B687" s="3" t="s">
        <v>2838</v>
      </c>
      <c r="C687" t="s">
        <v>1361</v>
      </c>
      <c r="D687" s="9">
        <f>VLOOKUP(A687,[2]Sheet1!$A:$C,3,0)</f>
        <v>499</v>
      </c>
      <c r="H687" s="1">
        <f t="shared" si="2"/>
        <v>0</v>
      </c>
      <c r="J687" s="1"/>
      <c r="K687" s="2">
        <v>0</v>
      </c>
      <c r="L687" s="1">
        <v>50</v>
      </c>
      <c r="M687" s="1">
        <v>52.5</v>
      </c>
      <c r="N687" s="1">
        <v>53.5</v>
      </c>
      <c r="O687" s="1">
        <v>57</v>
      </c>
    </row>
    <row r="688" spans="1:16" x14ac:dyDescent="0.3">
      <c r="A688" s="17" t="s">
        <v>1362</v>
      </c>
      <c r="B688" s="18" t="s">
        <v>2838</v>
      </c>
      <c r="C688" s="17" t="s">
        <v>1361</v>
      </c>
      <c r="D688" s="17"/>
      <c r="E688" s="18"/>
      <c r="F688" s="18"/>
      <c r="G688" s="30"/>
      <c r="H688" s="19">
        <f t="shared" si="2"/>
        <v>0</v>
      </c>
      <c r="I688" s="15"/>
      <c r="J688" s="19"/>
      <c r="K688" s="33"/>
      <c r="L688" s="19"/>
      <c r="M688" s="19"/>
      <c r="N688" s="19"/>
      <c r="O688" s="19"/>
      <c r="P688" s="17"/>
    </row>
    <row r="689" spans="1:16" x14ac:dyDescent="0.3">
      <c r="A689" t="s">
        <v>1360</v>
      </c>
      <c r="B689" s="3" t="s">
        <v>2838</v>
      </c>
      <c r="C689" t="s">
        <v>1359</v>
      </c>
      <c r="D689" s="9">
        <f>VLOOKUP(A689,[2]Sheet1!$A:$C,3,0)</f>
        <v>33</v>
      </c>
      <c r="H689" s="1">
        <f t="shared" si="2"/>
        <v>0</v>
      </c>
      <c r="J689" s="1"/>
      <c r="K689" s="1">
        <v>220</v>
      </c>
      <c r="L689" s="1">
        <v>230</v>
      </c>
      <c r="M689" s="1">
        <v>235</v>
      </c>
      <c r="N689" s="1">
        <v>250</v>
      </c>
      <c r="O689" s="1">
        <v>270</v>
      </c>
    </row>
    <row r="690" spans="1:16" x14ac:dyDescent="0.3">
      <c r="A690" s="17" t="s">
        <v>1360</v>
      </c>
      <c r="B690" s="18" t="s">
        <v>2838</v>
      </c>
      <c r="C690" s="17" t="s">
        <v>1359</v>
      </c>
      <c r="D690" s="17"/>
      <c r="E690" s="18"/>
      <c r="F690" s="18"/>
      <c r="G690" s="30"/>
      <c r="H690" s="19">
        <f t="shared" si="2"/>
        <v>0</v>
      </c>
      <c r="I690" s="15"/>
      <c r="J690" s="19"/>
      <c r="K690" s="33"/>
      <c r="L690" s="19"/>
      <c r="M690" s="19"/>
      <c r="N690" s="19"/>
      <c r="O690" s="19"/>
      <c r="P690" s="17"/>
    </row>
    <row r="691" spans="1:16" x14ac:dyDescent="0.3">
      <c r="A691" t="s">
        <v>1358</v>
      </c>
      <c r="B691" s="3" t="s">
        <v>2838</v>
      </c>
      <c r="C691" t="s">
        <v>1357</v>
      </c>
      <c r="D691" s="9">
        <f>VLOOKUP(A691,[2]Sheet1!$A:$C,3,0)</f>
        <v>63</v>
      </c>
      <c r="H691" s="1">
        <f t="shared" si="2"/>
        <v>0</v>
      </c>
      <c r="J691" s="1"/>
      <c r="K691" s="1">
        <v>220</v>
      </c>
      <c r="L691" s="1">
        <v>230</v>
      </c>
      <c r="M691" s="1">
        <v>235</v>
      </c>
      <c r="N691" s="1">
        <v>250</v>
      </c>
      <c r="O691" s="1">
        <v>270</v>
      </c>
    </row>
    <row r="692" spans="1:16" x14ac:dyDescent="0.3">
      <c r="A692" s="17" t="s">
        <v>1358</v>
      </c>
      <c r="B692" s="18" t="s">
        <v>2838</v>
      </c>
      <c r="C692" s="17" t="s">
        <v>1357</v>
      </c>
      <c r="D692" s="17"/>
      <c r="E692" s="18"/>
      <c r="F692" s="18"/>
      <c r="G692" s="30"/>
      <c r="H692" s="19">
        <f t="shared" si="2"/>
        <v>0</v>
      </c>
      <c r="I692" s="15"/>
      <c r="J692" s="19"/>
      <c r="K692" s="33"/>
      <c r="L692" s="19"/>
      <c r="M692" s="19"/>
      <c r="N692" s="19"/>
      <c r="O692" s="19"/>
      <c r="P692" s="17"/>
    </row>
    <row r="693" spans="1:16" x14ac:dyDescent="0.3">
      <c r="A693" t="s">
        <v>1490</v>
      </c>
      <c r="B693" s="3" t="s">
        <v>2838</v>
      </c>
      <c r="C693" t="s">
        <v>1489</v>
      </c>
      <c r="D693" s="9">
        <f>VLOOKUP(A693,[2]Sheet1!$A:$C,3,0)</f>
        <v>40</v>
      </c>
      <c r="H693" s="1">
        <f t="shared" si="2"/>
        <v>0</v>
      </c>
      <c r="J693" s="1"/>
      <c r="K693" s="1">
        <v>30</v>
      </c>
      <c r="L693" s="1">
        <v>31</v>
      </c>
      <c r="M693" s="1">
        <v>33</v>
      </c>
      <c r="N693" s="1">
        <v>35</v>
      </c>
      <c r="O693" s="1">
        <v>37</v>
      </c>
    </row>
    <row r="694" spans="1:16" x14ac:dyDescent="0.3">
      <c r="A694" s="17" t="s">
        <v>1490</v>
      </c>
      <c r="B694" s="18" t="s">
        <v>2838</v>
      </c>
      <c r="C694" s="17" t="s">
        <v>1489</v>
      </c>
      <c r="D694" s="17"/>
      <c r="E694" s="18"/>
      <c r="F694" s="18"/>
      <c r="G694" s="30"/>
      <c r="H694" s="19">
        <f t="shared" si="2"/>
        <v>0</v>
      </c>
      <c r="I694" s="15"/>
      <c r="J694" s="19"/>
      <c r="K694" s="33"/>
      <c r="L694" s="19"/>
      <c r="M694" s="19"/>
      <c r="N694" s="19"/>
      <c r="O694" s="19"/>
      <c r="P694" s="17"/>
    </row>
    <row r="695" spans="1:16" x14ac:dyDescent="0.3">
      <c r="A695" t="s">
        <v>1356</v>
      </c>
      <c r="B695" s="3" t="s">
        <v>2838</v>
      </c>
      <c r="C695" t="s">
        <v>1355</v>
      </c>
      <c r="D695" s="9">
        <f>VLOOKUP(A695,[2]Sheet1!$A:$C,3,0)</f>
        <v>0</v>
      </c>
      <c r="H695" s="1">
        <f t="shared" si="2"/>
        <v>0</v>
      </c>
      <c r="J695" s="1"/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6" x14ac:dyDescent="0.3">
      <c r="A696" s="17" t="s">
        <v>1356</v>
      </c>
      <c r="B696" s="18" t="s">
        <v>2838</v>
      </c>
      <c r="C696" s="17" t="s">
        <v>1355</v>
      </c>
      <c r="D696" s="17"/>
      <c r="E696" s="18"/>
      <c r="F696" s="18"/>
      <c r="G696" s="30"/>
      <c r="H696" s="19">
        <f t="shared" si="2"/>
        <v>0</v>
      </c>
      <c r="I696" s="15"/>
      <c r="J696" s="19"/>
      <c r="K696" s="33"/>
      <c r="L696" s="19"/>
      <c r="M696" s="19"/>
      <c r="N696" s="19"/>
      <c r="O696" s="19"/>
      <c r="P696" s="17"/>
    </row>
    <row r="697" spans="1:16" x14ac:dyDescent="0.3">
      <c r="A697" t="s">
        <v>1354</v>
      </c>
      <c r="B697" s="3" t="s">
        <v>2838</v>
      </c>
      <c r="C697" t="s">
        <v>1353</v>
      </c>
      <c r="D697" s="9">
        <f>VLOOKUP(A697,[2]Sheet1!$A:$C,3,0)</f>
        <v>1</v>
      </c>
      <c r="H697" s="1">
        <f t="shared" si="2"/>
        <v>0</v>
      </c>
      <c r="J697" s="1"/>
      <c r="K697" s="1">
        <v>30</v>
      </c>
      <c r="L697" s="1">
        <v>31</v>
      </c>
      <c r="M697" s="1">
        <v>33</v>
      </c>
      <c r="N697" s="1">
        <v>35</v>
      </c>
      <c r="O697" s="1">
        <v>37</v>
      </c>
    </row>
    <row r="698" spans="1:16" x14ac:dyDescent="0.3">
      <c r="A698" s="17" t="s">
        <v>1354</v>
      </c>
      <c r="B698" s="18" t="s">
        <v>2838</v>
      </c>
      <c r="C698" s="17" t="s">
        <v>1353</v>
      </c>
      <c r="D698" s="17"/>
      <c r="E698" s="18"/>
      <c r="F698" s="18"/>
      <c r="G698" s="30"/>
      <c r="H698" s="19">
        <f t="shared" si="2"/>
        <v>0</v>
      </c>
      <c r="I698" s="15"/>
      <c r="J698" s="19"/>
      <c r="K698" s="33"/>
      <c r="L698" s="19"/>
      <c r="M698" s="19"/>
      <c r="N698" s="19"/>
      <c r="O698" s="19"/>
      <c r="P698" s="17"/>
    </row>
    <row r="699" spans="1:16" x14ac:dyDescent="0.3">
      <c r="A699" t="s">
        <v>1352</v>
      </c>
      <c r="B699" s="3" t="s">
        <v>2838</v>
      </c>
      <c r="C699" t="s">
        <v>1351</v>
      </c>
      <c r="D699" s="9">
        <f>VLOOKUP(A699,[2]Sheet1!$A:$C,3,0)</f>
        <v>0</v>
      </c>
      <c r="H699" s="1">
        <f t="shared" si="2"/>
        <v>0</v>
      </c>
      <c r="J699" s="1"/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6" x14ac:dyDescent="0.3">
      <c r="A700" s="17" t="s">
        <v>1352</v>
      </c>
      <c r="B700" s="18" t="s">
        <v>2838</v>
      </c>
      <c r="C700" s="17" t="s">
        <v>1351</v>
      </c>
      <c r="D700" s="17"/>
      <c r="E700" s="18"/>
      <c r="F700" s="18"/>
      <c r="G700" s="30"/>
      <c r="H700" s="19">
        <f t="shared" si="2"/>
        <v>0</v>
      </c>
      <c r="I700" s="15"/>
      <c r="J700" s="19"/>
      <c r="K700" s="33"/>
      <c r="L700" s="19"/>
      <c r="M700" s="19"/>
      <c r="N700" s="19"/>
      <c r="O700" s="19"/>
      <c r="P700" s="17"/>
    </row>
    <row r="701" spans="1:16" x14ac:dyDescent="0.3">
      <c r="A701" s="9" t="s">
        <v>1574</v>
      </c>
      <c r="B701" s="10" t="s">
        <v>2838</v>
      </c>
      <c r="C701" s="9" t="s">
        <v>1573</v>
      </c>
      <c r="D701" s="9">
        <f>VLOOKUP(A701,[2]Sheet1!$A:$C,3,0)</f>
        <v>1</v>
      </c>
      <c r="E701" s="10">
        <v>0</v>
      </c>
      <c r="F701" s="10"/>
      <c r="G701" s="28">
        <v>0</v>
      </c>
      <c r="H701" s="10">
        <v>0</v>
      </c>
      <c r="I701" s="13">
        <v>0</v>
      </c>
      <c r="J701" s="10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9"/>
    </row>
    <row r="702" spans="1:16" x14ac:dyDescent="0.3">
      <c r="A702" t="s">
        <v>1572</v>
      </c>
      <c r="B702" s="3" t="s">
        <v>2838</v>
      </c>
      <c r="C702" t="s">
        <v>1571</v>
      </c>
      <c r="D702" s="9">
        <f>VLOOKUP(A702,[2]Sheet1!$A:$C,3,0)</f>
        <v>68</v>
      </c>
      <c r="H702" s="1">
        <f t="shared" si="2"/>
        <v>0</v>
      </c>
      <c r="J702" s="1"/>
      <c r="K702" s="2">
        <v>0</v>
      </c>
      <c r="L702" s="1">
        <v>285</v>
      </c>
      <c r="M702" s="1">
        <v>295</v>
      </c>
      <c r="N702" s="1">
        <v>305</v>
      </c>
      <c r="O702" s="1">
        <v>325</v>
      </c>
    </row>
    <row r="703" spans="1:16" x14ac:dyDescent="0.3">
      <c r="A703" s="17" t="s">
        <v>1572</v>
      </c>
      <c r="B703" s="18" t="s">
        <v>2838</v>
      </c>
      <c r="C703" s="17" t="s">
        <v>1571</v>
      </c>
      <c r="D703" s="17"/>
      <c r="E703" s="18"/>
      <c r="F703" s="18"/>
      <c r="G703" s="30"/>
      <c r="H703" s="19">
        <f t="shared" si="2"/>
        <v>0</v>
      </c>
      <c r="I703" s="15"/>
      <c r="J703" s="19"/>
      <c r="K703" s="33"/>
      <c r="L703" s="19"/>
      <c r="M703" s="19"/>
      <c r="N703" s="19"/>
      <c r="O703" s="19"/>
      <c r="P703" s="17"/>
    </row>
    <row r="704" spans="1:16" x14ac:dyDescent="0.3">
      <c r="A704" t="s">
        <v>1570</v>
      </c>
      <c r="B704" s="3" t="s">
        <v>2838</v>
      </c>
      <c r="C704" t="s">
        <v>1569</v>
      </c>
      <c r="D704" s="9">
        <f>VLOOKUP(A704,[2]Sheet1!$A:$C,3,0)</f>
        <v>34</v>
      </c>
      <c r="H704" s="1">
        <f t="shared" si="2"/>
        <v>0</v>
      </c>
      <c r="J704" s="1"/>
      <c r="K704" s="2">
        <v>0</v>
      </c>
      <c r="L704" s="1">
        <v>285</v>
      </c>
      <c r="M704" s="1">
        <v>295</v>
      </c>
      <c r="N704" s="1">
        <v>305</v>
      </c>
      <c r="O704" s="1">
        <v>325</v>
      </c>
    </row>
    <row r="705" spans="1:16" x14ac:dyDescent="0.3">
      <c r="A705" s="17" t="s">
        <v>1570</v>
      </c>
      <c r="B705" s="18" t="s">
        <v>2838</v>
      </c>
      <c r="C705" s="17" t="s">
        <v>1569</v>
      </c>
      <c r="D705" s="17"/>
      <c r="E705" s="18"/>
      <c r="F705" s="18"/>
      <c r="G705" s="30"/>
      <c r="H705" s="19">
        <f t="shared" si="2"/>
        <v>0</v>
      </c>
      <c r="I705" s="15"/>
      <c r="J705" s="19"/>
      <c r="K705" s="33"/>
      <c r="L705" s="19"/>
      <c r="M705" s="19"/>
      <c r="N705" s="19"/>
      <c r="O705" s="19"/>
      <c r="P705" s="17"/>
    </row>
    <row r="706" spans="1:16" x14ac:dyDescent="0.3">
      <c r="A706" t="s">
        <v>1414</v>
      </c>
      <c r="B706" s="3" t="s">
        <v>2838</v>
      </c>
      <c r="C706" t="s">
        <v>1413</v>
      </c>
      <c r="D706" s="9">
        <f>VLOOKUP(A706,[2]Sheet1!$A:$C,3,0)</f>
        <v>97</v>
      </c>
      <c r="H706" s="1">
        <f t="shared" si="2"/>
        <v>0</v>
      </c>
      <c r="J706" s="1"/>
      <c r="K706" s="2">
        <v>0</v>
      </c>
      <c r="L706" s="1">
        <v>146</v>
      </c>
      <c r="M706" s="1">
        <v>152</v>
      </c>
      <c r="N706" s="1">
        <v>156</v>
      </c>
      <c r="O706" s="1">
        <v>165</v>
      </c>
      <c r="P706" t="s">
        <v>2782</v>
      </c>
    </row>
    <row r="707" spans="1:16" x14ac:dyDescent="0.3">
      <c r="A707" s="17" t="s">
        <v>1414</v>
      </c>
      <c r="B707" s="18" t="s">
        <v>2838</v>
      </c>
      <c r="C707" s="17" t="s">
        <v>1413</v>
      </c>
      <c r="D707" s="17"/>
      <c r="E707" s="18"/>
      <c r="F707" s="18"/>
      <c r="G707" s="30"/>
      <c r="H707" s="19">
        <f t="shared" si="2"/>
        <v>0</v>
      </c>
      <c r="I707" s="15"/>
      <c r="J707" s="19"/>
      <c r="K707" s="33"/>
      <c r="L707" s="19"/>
      <c r="M707" s="19"/>
      <c r="N707" s="19"/>
      <c r="O707" s="19"/>
      <c r="P707" s="17"/>
    </row>
    <row r="708" spans="1:16" x14ac:dyDescent="0.3">
      <c r="A708" t="s">
        <v>1350</v>
      </c>
      <c r="B708" s="3" t="s">
        <v>2838</v>
      </c>
      <c r="C708" t="s">
        <v>1349</v>
      </c>
      <c r="D708" s="9">
        <f>VLOOKUP(A708,[2]Sheet1!$A:$C,3,0)</f>
        <v>62</v>
      </c>
      <c r="H708" s="1">
        <f t="shared" si="2"/>
        <v>0</v>
      </c>
      <c r="J708" s="1"/>
      <c r="K708" s="2">
        <v>0</v>
      </c>
      <c r="L708" s="1">
        <v>146</v>
      </c>
      <c r="M708" s="1">
        <v>152</v>
      </c>
      <c r="N708" s="1">
        <v>156</v>
      </c>
      <c r="O708" s="1">
        <v>165</v>
      </c>
      <c r="P708" t="s">
        <v>2782</v>
      </c>
    </row>
    <row r="709" spans="1:16" x14ac:dyDescent="0.3">
      <c r="A709" s="17" t="s">
        <v>1350</v>
      </c>
      <c r="B709" s="18" t="s">
        <v>2838</v>
      </c>
      <c r="C709" s="17" t="s">
        <v>1349</v>
      </c>
      <c r="D709" s="17"/>
      <c r="E709" s="18"/>
      <c r="F709" s="18"/>
      <c r="G709" s="30"/>
      <c r="H709" s="19">
        <f t="shared" ref="H709:H717" si="3">G709/1.07</f>
        <v>0</v>
      </c>
      <c r="I709" s="15"/>
      <c r="J709" s="19"/>
      <c r="K709" s="33"/>
      <c r="L709" s="19"/>
      <c r="M709" s="19"/>
      <c r="N709" s="19"/>
      <c r="O709" s="19"/>
      <c r="P709" s="17"/>
    </row>
    <row r="710" spans="1:16" x14ac:dyDescent="0.3">
      <c r="A710" t="s">
        <v>1516</v>
      </c>
      <c r="B710" s="3" t="s">
        <v>2838</v>
      </c>
      <c r="C710" t="s">
        <v>1515</v>
      </c>
      <c r="D710" s="9">
        <f>VLOOKUP(A710,[2]Sheet1!$A:$C,3,0)</f>
        <v>0</v>
      </c>
      <c r="H710" s="1">
        <f t="shared" si="3"/>
        <v>0</v>
      </c>
      <c r="J710" s="1"/>
      <c r="K710" s="2">
        <v>0</v>
      </c>
      <c r="L710" s="1">
        <v>175</v>
      </c>
      <c r="M710" s="1">
        <v>185</v>
      </c>
      <c r="N710" s="1">
        <v>190</v>
      </c>
      <c r="O710" s="1">
        <v>200</v>
      </c>
      <c r="P710" t="s">
        <v>2783</v>
      </c>
    </row>
    <row r="711" spans="1:16" x14ac:dyDescent="0.3">
      <c r="A711" s="17" t="s">
        <v>1516</v>
      </c>
      <c r="B711" s="18" t="s">
        <v>2838</v>
      </c>
      <c r="C711" s="17" t="s">
        <v>1515</v>
      </c>
      <c r="D711" s="17"/>
      <c r="E711" s="18"/>
      <c r="F711" s="18"/>
      <c r="G711" s="30"/>
      <c r="H711" s="19">
        <f t="shared" si="3"/>
        <v>0</v>
      </c>
      <c r="I711" s="15"/>
      <c r="J711" s="19"/>
      <c r="K711" s="33"/>
      <c r="L711" s="19"/>
      <c r="M711" s="19"/>
      <c r="N711" s="19"/>
      <c r="O711" s="19"/>
      <c r="P711" s="17"/>
    </row>
    <row r="712" spans="1:16" x14ac:dyDescent="0.3">
      <c r="A712" t="s">
        <v>1488</v>
      </c>
      <c r="B712" s="3" t="s">
        <v>2838</v>
      </c>
      <c r="C712" t="s">
        <v>1487</v>
      </c>
      <c r="D712" s="9">
        <f>VLOOKUP(A712,[2]Sheet1!$A:$C,3,0)</f>
        <v>0</v>
      </c>
      <c r="H712" s="1">
        <f t="shared" si="3"/>
        <v>0</v>
      </c>
      <c r="J712" s="1"/>
      <c r="K712" s="2">
        <v>0</v>
      </c>
      <c r="L712" s="1">
        <v>175</v>
      </c>
      <c r="M712" s="1">
        <v>185</v>
      </c>
      <c r="N712" s="1">
        <v>190</v>
      </c>
      <c r="O712" s="1">
        <v>200</v>
      </c>
      <c r="P712" t="s">
        <v>2783</v>
      </c>
    </row>
    <row r="713" spans="1:16" x14ac:dyDescent="0.3">
      <c r="A713" s="17" t="s">
        <v>1488</v>
      </c>
      <c r="B713" s="18" t="s">
        <v>2838</v>
      </c>
      <c r="C713" s="17" t="s">
        <v>1487</v>
      </c>
      <c r="D713" s="17"/>
      <c r="E713" s="18"/>
      <c r="F713" s="18"/>
      <c r="G713" s="30"/>
      <c r="H713" s="19">
        <f t="shared" si="3"/>
        <v>0</v>
      </c>
      <c r="I713" s="15"/>
      <c r="J713" s="19"/>
      <c r="K713" s="33"/>
      <c r="L713" s="19"/>
      <c r="M713" s="19"/>
      <c r="N713" s="19"/>
      <c r="O713" s="19"/>
      <c r="P713" s="17"/>
    </row>
    <row r="714" spans="1:16" x14ac:dyDescent="0.3">
      <c r="A714" t="s">
        <v>1412</v>
      </c>
      <c r="B714" s="3" t="s">
        <v>2838</v>
      </c>
      <c r="C714" t="s">
        <v>1411</v>
      </c>
      <c r="D714" s="9">
        <f>VLOOKUP(A714,[2]Sheet1!$A:$C,3,0)</f>
        <v>47</v>
      </c>
      <c r="H714" s="1">
        <f t="shared" si="3"/>
        <v>0</v>
      </c>
      <c r="J714" s="1"/>
      <c r="K714" s="2">
        <v>0</v>
      </c>
      <c r="L714" s="1">
        <v>175</v>
      </c>
      <c r="M714" s="1">
        <v>185</v>
      </c>
      <c r="N714" s="1">
        <v>190</v>
      </c>
      <c r="O714" s="1">
        <v>200</v>
      </c>
      <c r="P714" t="s">
        <v>2783</v>
      </c>
    </row>
    <row r="715" spans="1:16" x14ac:dyDescent="0.3">
      <c r="A715" s="17" t="s">
        <v>1412</v>
      </c>
      <c r="B715" s="18" t="s">
        <v>2838</v>
      </c>
      <c r="C715" s="17" t="s">
        <v>1411</v>
      </c>
      <c r="D715" s="17"/>
      <c r="E715" s="18"/>
      <c r="F715" s="18"/>
      <c r="G715" s="30"/>
      <c r="H715" s="19">
        <f t="shared" si="3"/>
        <v>0</v>
      </c>
      <c r="I715" s="15"/>
      <c r="J715" s="19"/>
      <c r="K715" s="33"/>
      <c r="L715" s="19"/>
      <c r="M715" s="19"/>
      <c r="N715" s="19"/>
      <c r="O715" s="19"/>
      <c r="P715" s="17"/>
    </row>
    <row r="716" spans="1:16" x14ac:dyDescent="0.3">
      <c r="A716" t="s">
        <v>1348</v>
      </c>
      <c r="B716" s="3" t="s">
        <v>2838</v>
      </c>
      <c r="C716" t="s">
        <v>1347</v>
      </c>
      <c r="D716" s="9">
        <f>VLOOKUP(A716,[2]Sheet1!$A:$C,3,0)</f>
        <v>89</v>
      </c>
      <c r="H716" s="1">
        <f t="shared" si="3"/>
        <v>0</v>
      </c>
      <c r="J716" s="1"/>
      <c r="K716" s="2">
        <v>0</v>
      </c>
      <c r="L716" s="1">
        <v>175</v>
      </c>
      <c r="M716" s="1">
        <v>185</v>
      </c>
      <c r="N716" s="1">
        <v>190</v>
      </c>
      <c r="O716" s="1">
        <v>200</v>
      </c>
      <c r="P716" t="s">
        <v>2783</v>
      </c>
    </row>
    <row r="717" spans="1:16" x14ac:dyDescent="0.3">
      <c r="A717" s="17" t="s">
        <v>1348</v>
      </c>
      <c r="B717" s="18" t="s">
        <v>2838</v>
      </c>
      <c r="C717" s="17" t="s">
        <v>1347</v>
      </c>
      <c r="D717" s="17"/>
      <c r="E717" s="18"/>
      <c r="F717" s="18"/>
      <c r="G717" s="30"/>
      <c r="H717" s="19">
        <f t="shared" si="3"/>
        <v>0</v>
      </c>
      <c r="I717" s="15"/>
      <c r="J717" s="19"/>
      <c r="K717" s="33"/>
      <c r="L717" s="19"/>
      <c r="M717" s="19"/>
      <c r="N717" s="19"/>
      <c r="O717" s="19"/>
      <c r="P717" s="17"/>
    </row>
    <row r="718" spans="1:16" x14ac:dyDescent="0.3">
      <c r="A718" s="9" t="s">
        <v>1568</v>
      </c>
      <c r="B718" s="10" t="s">
        <v>2838</v>
      </c>
      <c r="C718" s="9" t="s">
        <v>1567</v>
      </c>
      <c r="D718" s="9">
        <f>VLOOKUP(A718,[2]Sheet1!$A:$C,3,0)</f>
        <v>101</v>
      </c>
      <c r="E718" s="10">
        <v>0</v>
      </c>
      <c r="F718" s="10"/>
      <c r="G718" s="28">
        <v>0</v>
      </c>
      <c r="H718" s="10">
        <v>0</v>
      </c>
      <c r="I718" s="13">
        <v>0</v>
      </c>
      <c r="J718" s="10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9"/>
    </row>
    <row r="719" spans="1:16" x14ac:dyDescent="0.3">
      <c r="A719" t="s">
        <v>1566</v>
      </c>
      <c r="B719" s="3" t="s">
        <v>2838</v>
      </c>
      <c r="C719" t="s">
        <v>1565</v>
      </c>
      <c r="D719" s="9">
        <f>VLOOKUP(A719,[2]Sheet1!$A:$C,3,0)</f>
        <v>37</v>
      </c>
      <c r="H719" s="1">
        <f t="shared" ref="H719:H750" si="4">G719/1.07</f>
        <v>0</v>
      </c>
      <c r="J719" s="1"/>
      <c r="K719" s="2">
        <v>0</v>
      </c>
      <c r="L719" s="1">
        <v>54.5</v>
      </c>
      <c r="M719" s="1">
        <v>56</v>
      </c>
      <c r="N719" s="1">
        <v>58</v>
      </c>
      <c r="O719" s="1">
        <v>62</v>
      </c>
      <c r="P719" t="s">
        <v>2787</v>
      </c>
    </row>
    <row r="720" spans="1:16" x14ac:dyDescent="0.3">
      <c r="A720" s="17" t="s">
        <v>1566</v>
      </c>
      <c r="B720" s="18" t="s">
        <v>2838</v>
      </c>
      <c r="C720" s="17" t="s">
        <v>1565</v>
      </c>
      <c r="D720" s="17"/>
      <c r="E720" s="18"/>
      <c r="F720" s="18"/>
      <c r="G720" s="30"/>
      <c r="H720" s="19">
        <f t="shared" si="4"/>
        <v>0</v>
      </c>
      <c r="I720" s="15"/>
      <c r="J720" s="19"/>
      <c r="K720" s="33"/>
      <c r="L720" s="19"/>
      <c r="M720" s="19"/>
      <c r="N720" s="19"/>
      <c r="O720" s="19"/>
      <c r="P720" s="17"/>
    </row>
    <row r="721" spans="1:16" x14ac:dyDescent="0.3">
      <c r="A721" t="s">
        <v>1564</v>
      </c>
      <c r="B721" s="3" t="s">
        <v>2838</v>
      </c>
      <c r="C721" t="s">
        <v>1563</v>
      </c>
      <c r="D721" s="9">
        <f>VLOOKUP(A721,[2]Sheet1!$A:$C,3,0)</f>
        <v>45</v>
      </c>
      <c r="H721" s="1">
        <f t="shared" si="4"/>
        <v>0</v>
      </c>
      <c r="J721" s="1"/>
      <c r="K721" s="2">
        <v>0</v>
      </c>
      <c r="L721" s="1">
        <v>68</v>
      </c>
      <c r="M721" s="1">
        <v>70</v>
      </c>
      <c r="N721" s="1">
        <v>73</v>
      </c>
      <c r="O721" s="1">
        <v>78</v>
      </c>
      <c r="P721" t="s">
        <v>2787</v>
      </c>
    </row>
    <row r="722" spans="1:16" x14ac:dyDescent="0.3">
      <c r="A722" s="17" t="s">
        <v>1564</v>
      </c>
      <c r="B722" s="18" t="s">
        <v>2838</v>
      </c>
      <c r="C722" s="17" t="s">
        <v>1563</v>
      </c>
      <c r="D722" s="17"/>
      <c r="E722" s="18"/>
      <c r="F722" s="18"/>
      <c r="G722" s="30"/>
      <c r="H722" s="19">
        <f t="shared" si="4"/>
        <v>0</v>
      </c>
      <c r="I722" s="15"/>
      <c r="J722" s="19"/>
      <c r="K722" s="33"/>
      <c r="L722" s="19"/>
      <c r="M722" s="19"/>
      <c r="N722" s="19"/>
      <c r="O722" s="19"/>
      <c r="P722" s="17"/>
    </row>
    <row r="723" spans="1:16" x14ac:dyDescent="0.3">
      <c r="A723" t="s">
        <v>1562</v>
      </c>
      <c r="B723" s="3" t="s">
        <v>2838</v>
      </c>
      <c r="C723" t="s">
        <v>1561</v>
      </c>
      <c r="D723" s="9">
        <f>VLOOKUP(A723,[2]Sheet1!$A:$C,3,0)</f>
        <v>39</v>
      </c>
      <c r="H723" s="1">
        <f t="shared" si="4"/>
        <v>0</v>
      </c>
      <c r="J723" s="1"/>
      <c r="K723" s="2">
        <v>0</v>
      </c>
      <c r="L723" s="1">
        <v>81.5</v>
      </c>
      <c r="M723" s="1">
        <v>84</v>
      </c>
      <c r="N723" s="1">
        <v>88</v>
      </c>
      <c r="O723" s="1">
        <v>92</v>
      </c>
      <c r="P723" t="s">
        <v>2787</v>
      </c>
    </row>
    <row r="724" spans="1:16" x14ac:dyDescent="0.3">
      <c r="A724" s="17" t="s">
        <v>1562</v>
      </c>
      <c r="B724" s="18" t="s">
        <v>2838</v>
      </c>
      <c r="C724" s="17" t="s">
        <v>1561</v>
      </c>
      <c r="D724" s="17"/>
      <c r="E724" s="18"/>
      <c r="F724" s="18"/>
      <c r="G724" s="30"/>
      <c r="H724" s="19">
        <f t="shared" si="4"/>
        <v>0</v>
      </c>
      <c r="I724" s="15"/>
      <c r="J724" s="19"/>
      <c r="K724" s="33"/>
      <c r="L724" s="19"/>
      <c r="M724" s="19"/>
      <c r="N724" s="19"/>
      <c r="O724" s="19"/>
      <c r="P724" s="17"/>
    </row>
    <row r="725" spans="1:16" x14ac:dyDescent="0.3">
      <c r="A725" t="s">
        <v>1560</v>
      </c>
      <c r="B725" s="3" t="s">
        <v>2838</v>
      </c>
      <c r="C725" t="s">
        <v>1559</v>
      </c>
      <c r="D725" s="9">
        <f>VLOOKUP(A725,[2]Sheet1!$A:$C,3,0)</f>
        <v>23</v>
      </c>
      <c r="H725" s="1">
        <f t="shared" si="4"/>
        <v>0</v>
      </c>
      <c r="J725" s="1"/>
      <c r="K725" s="2">
        <v>0</v>
      </c>
      <c r="L725" s="1">
        <v>95</v>
      </c>
      <c r="M725" s="1">
        <v>98</v>
      </c>
      <c r="N725" s="1">
        <v>102</v>
      </c>
      <c r="O725" s="1">
        <v>108</v>
      </c>
      <c r="P725" t="s">
        <v>2787</v>
      </c>
    </row>
    <row r="726" spans="1:16" x14ac:dyDescent="0.3">
      <c r="A726" s="17" t="s">
        <v>1560</v>
      </c>
      <c r="B726" s="18" t="s">
        <v>2838</v>
      </c>
      <c r="C726" s="17" t="s">
        <v>1559</v>
      </c>
      <c r="D726" s="17"/>
      <c r="E726" s="18"/>
      <c r="F726" s="18"/>
      <c r="G726" s="30"/>
      <c r="H726" s="19">
        <f t="shared" si="4"/>
        <v>0</v>
      </c>
      <c r="I726" s="15"/>
      <c r="J726" s="19"/>
      <c r="K726" s="33"/>
      <c r="L726" s="19"/>
      <c r="M726" s="19"/>
      <c r="N726" s="19"/>
      <c r="O726" s="19"/>
      <c r="P726" s="17"/>
    </row>
    <row r="727" spans="1:16" x14ac:dyDescent="0.3">
      <c r="A727" t="s">
        <v>1558</v>
      </c>
      <c r="B727" s="3" t="s">
        <v>2838</v>
      </c>
      <c r="C727" t="s">
        <v>1557</v>
      </c>
      <c r="D727" s="9">
        <f>VLOOKUP(A727,[2]Sheet1!$A:$C,3,0)</f>
        <v>32</v>
      </c>
      <c r="H727" s="1">
        <f t="shared" si="4"/>
        <v>0</v>
      </c>
      <c r="J727" s="1"/>
      <c r="K727" s="2">
        <v>0</v>
      </c>
      <c r="L727" s="1">
        <v>109</v>
      </c>
      <c r="M727" s="1">
        <v>112</v>
      </c>
      <c r="N727" s="1">
        <v>116</v>
      </c>
      <c r="O727" s="1">
        <v>123</v>
      </c>
      <c r="P727" t="s">
        <v>2787</v>
      </c>
    </row>
    <row r="728" spans="1:16" x14ac:dyDescent="0.3">
      <c r="A728" s="17" t="s">
        <v>1558</v>
      </c>
      <c r="B728" s="18" t="s">
        <v>2838</v>
      </c>
      <c r="C728" s="17" t="s">
        <v>1557</v>
      </c>
      <c r="D728" s="17"/>
      <c r="E728" s="18"/>
      <c r="F728" s="18"/>
      <c r="G728" s="30"/>
      <c r="H728" s="19">
        <f t="shared" si="4"/>
        <v>0</v>
      </c>
      <c r="I728" s="15"/>
      <c r="J728" s="19"/>
      <c r="K728" s="33"/>
      <c r="L728" s="19"/>
      <c r="M728" s="19"/>
      <c r="N728" s="19"/>
      <c r="O728" s="19"/>
      <c r="P728" s="17"/>
    </row>
    <row r="729" spans="1:16" x14ac:dyDescent="0.3">
      <c r="A729" t="s">
        <v>1556</v>
      </c>
      <c r="B729" s="3" t="s">
        <v>2838</v>
      </c>
      <c r="C729" t="s">
        <v>1555</v>
      </c>
      <c r="D729" s="9">
        <f>VLOOKUP(A729,[2]Sheet1!$A:$C,3,0)</f>
        <v>6</v>
      </c>
      <c r="H729" s="1">
        <f t="shared" si="4"/>
        <v>0</v>
      </c>
      <c r="J729" s="1"/>
      <c r="K729" s="2">
        <v>0</v>
      </c>
      <c r="L729" s="1">
        <v>138</v>
      </c>
      <c r="M729" s="1">
        <v>140</v>
      </c>
      <c r="N729" s="1">
        <v>145</v>
      </c>
      <c r="O729" s="1">
        <v>155</v>
      </c>
    </row>
    <row r="730" spans="1:16" x14ac:dyDescent="0.3">
      <c r="A730" s="17" t="s">
        <v>1558</v>
      </c>
      <c r="B730" s="18" t="s">
        <v>2838</v>
      </c>
      <c r="C730" s="17" t="s">
        <v>1557</v>
      </c>
      <c r="D730" s="17"/>
      <c r="E730" s="18"/>
      <c r="F730" s="18"/>
      <c r="G730" s="30"/>
      <c r="H730" s="19">
        <f t="shared" si="4"/>
        <v>0</v>
      </c>
      <c r="I730" s="15"/>
      <c r="J730" s="19"/>
      <c r="K730" s="33"/>
      <c r="L730" s="19"/>
      <c r="M730" s="19"/>
      <c r="N730" s="19"/>
      <c r="O730" s="19"/>
      <c r="P730" s="17"/>
    </row>
    <row r="731" spans="1:16" x14ac:dyDescent="0.3">
      <c r="A731" t="s">
        <v>1514</v>
      </c>
      <c r="B731" s="3" t="s">
        <v>2838</v>
      </c>
      <c r="C731" t="s">
        <v>1513</v>
      </c>
      <c r="D731" s="9">
        <f>VLOOKUP(A731,[2]Sheet1!$A:$C,3,0)</f>
        <v>0</v>
      </c>
      <c r="H731" s="1">
        <f t="shared" si="4"/>
        <v>0</v>
      </c>
      <c r="J731" s="1"/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6" x14ac:dyDescent="0.3">
      <c r="A732" t="s">
        <v>1512</v>
      </c>
      <c r="B732" s="3" t="s">
        <v>2838</v>
      </c>
      <c r="C732" t="s">
        <v>1511</v>
      </c>
      <c r="D732" s="9">
        <f>VLOOKUP(A732,[2]Sheet1!$A:$C,3,0)</f>
        <v>0</v>
      </c>
      <c r="H732" s="1">
        <f t="shared" si="4"/>
        <v>0</v>
      </c>
      <c r="J732" s="1"/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6" x14ac:dyDescent="0.3">
      <c r="A733" t="s">
        <v>2702</v>
      </c>
      <c r="B733" s="3" t="s">
        <v>2838</v>
      </c>
      <c r="C733" t="s">
        <v>2703</v>
      </c>
      <c r="D733" s="9">
        <f>VLOOKUP(A733,[2]Sheet1!$A:$C,3,0)</f>
        <v>0</v>
      </c>
      <c r="H733" s="1">
        <f t="shared" si="4"/>
        <v>0</v>
      </c>
      <c r="J733" s="1"/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6" x14ac:dyDescent="0.3">
      <c r="A734" t="s">
        <v>1410</v>
      </c>
      <c r="B734" s="3" t="s">
        <v>2838</v>
      </c>
      <c r="C734" t="s">
        <v>1409</v>
      </c>
      <c r="D734" s="9">
        <f>VLOOKUP(A734,[2]Sheet1!$A:$C,3,0)</f>
        <v>269</v>
      </c>
      <c r="H734" s="1">
        <f t="shared" si="4"/>
        <v>0</v>
      </c>
      <c r="J734" s="1"/>
      <c r="K734" s="1">
        <v>86</v>
      </c>
      <c r="L734" s="1">
        <v>90</v>
      </c>
      <c r="M734" s="1">
        <v>95</v>
      </c>
      <c r="N734" s="1">
        <v>100</v>
      </c>
      <c r="O734" s="1">
        <v>105</v>
      </c>
    </row>
    <row r="735" spans="1:16" x14ac:dyDescent="0.3">
      <c r="A735" s="17" t="s">
        <v>1410</v>
      </c>
      <c r="B735" s="18" t="s">
        <v>2838</v>
      </c>
      <c r="C735" s="17" t="s">
        <v>1409</v>
      </c>
      <c r="D735" s="17"/>
      <c r="E735" s="18"/>
      <c r="F735" s="18"/>
      <c r="G735" s="30"/>
      <c r="H735" s="19">
        <f t="shared" si="4"/>
        <v>0</v>
      </c>
      <c r="I735" s="15"/>
      <c r="J735" s="19"/>
      <c r="K735" s="33"/>
      <c r="L735" s="19"/>
      <c r="M735" s="19"/>
      <c r="N735" s="19"/>
      <c r="O735" s="19"/>
      <c r="P735" s="17"/>
    </row>
    <row r="736" spans="1:16" x14ac:dyDescent="0.3">
      <c r="A736" t="s">
        <v>1408</v>
      </c>
      <c r="B736" s="3" t="s">
        <v>2838</v>
      </c>
      <c r="C736" t="s">
        <v>1407</v>
      </c>
      <c r="D736" s="9">
        <f>VLOOKUP(A736,[2]Sheet1!$A:$C,3,0)</f>
        <v>15</v>
      </c>
      <c r="H736" s="1">
        <f t="shared" si="4"/>
        <v>0</v>
      </c>
      <c r="J736" s="1"/>
      <c r="K736" s="1">
        <v>195</v>
      </c>
      <c r="L736" s="1">
        <v>200</v>
      </c>
      <c r="M736" s="1">
        <v>210</v>
      </c>
      <c r="N736" s="1">
        <v>220</v>
      </c>
      <c r="O736" s="1">
        <v>230</v>
      </c>
    </row>
    <row r="737" spans="1:16" x14ac:dyDescent="0.3">
      <c r="A737" s="17" t="s">
        <v>1408</v>
      </c>
      <c r="B737" s="18" t="s">
        <v>2838</v>
      </c>
      <c r="C737" s="17" t="s">
        <v>1407</v>
      </c>
      <c r="D737" s="17"/>
      <c r="E737" s="18"/>
      <c r="F737" s="18"/>
      <c r="G737" s="30"/>
      <c r="H737" s="19">
        <f t="shared" si="4"/>
        <v>0</v>
      </c>
      <c r="I737" s="15"/>
      <c r="J737" s="19"/>
      <c r="K737" s="33"/>
      <c r="L737" s="19"/>
      <c r="M737" s="19"/>
      <c r="N737" s="19"/>
      <c r="O737" s="19"/>
      <c r="P737" s="17"/>
    </row>
    <row r="738" spans="1:16" x14ac:dyDescent="0.3">
      <c r="A738" t="s">
        <v>1406</v>
      </c>
      <c r="B738" s="3" t="s">
        <v>2838</v>
      </c>
      <c r="C738" t="s">
        <v>1405</v>
      </c>
      <c r="D738" s="9">
        <f>VLOOKUP(A738,[2]Sheet1!$A:$C,3,0)</f>
        <v>16</v>
      </c>
      <c r="H738" s="1">
        <f t="shared" si="4"/>
        <v>0</v>
      </c>
      <c r="J738" s="1"/>
      <c r="K738" s="1">
        <v>195</v>
      </c>
      <c r="L738" s="1">
        <v>200</v>
      </c>
      <c r="M738" s="1">
        <v>210</v>
      </c>
      <c r="N738" s="1">
        <v>220</v>
      </c>
      <c r="O738" s="1">
        <v>230</v>
      </c>
    </row>
    <row r="739" spans="1:16" x14ac:dyDescent="0.3">
      <c r="A739" s="17" t="s">
        <v>1406</v>
      </c>
      <c r="B739" s="18" t="s">
        <v>2838</v>
      </c>
      <c r="C739" s="17" t="s">
        <v>1405</v>
      </c>
      <c r="D739" s="17"/>
      <c r="E739" s="18"/>
      <c r="F739" s="18"/>
      <c r="G739" s="30"/>
      <c r="H739" s="19">
        <f t="shared" si="4"/>
        <v>0</v>
      </c>
      <c r="I739" s="15"/>
      <c r="J739" s="19"/>
      <c r="K739" s="33"/>
      <c r="L739" s="19"/>
      <c r="M739" s="19"/>
      <c r="N739" s="19"/>
      <c r="O739" s="19"/>
      <c r="P739" s="17"/>
    </row>
    <row r="740" spans="1:16" x14ac:dyDescent="0.3">
      <c r="A740" t="s">
        <v>1404</v>
      </c>
      <c r="B740" s="3" t="s">
        <v>2838</v>
      </c>
      <c r="C740" t="s">
        <v>1403</v>
      </c>
      <c r="D740" s="9">
        <f>VLOOKUP(A740,[2]Sheet1!$A:$C,3,0)</f>
        <v>305</v>
      </c>
      <c r="H740" s="1">
        <f t="shared" si="4"/>
        <v>0</v>
      </c>
      <c r="J740" s="1"/>
      <c r="K740" s="1">
        <v>86</v>
      </c>
      <c r="L740" s="1">
        <v>90</v>
      </c>
      <c r="M740" s="1">
        <v>95</v>
      </c>
      <c r="N740" s="1">
        <v>100</v>
      </c>
      <c r="O740" s="1">
        <v>105</v>
      </c>
    </row>
    <row r="741" spans="1:16" x14ac:dyDescent="0.3">
      <c r="A741" s="17" t="s">
        <v>1404</v>
      </c>
      <c r="B741" s="18" t="s">
        <v>2838</v>
      </c>
      <c r="C741" s="17" t="s">
        <v>1403</v>
      </c>
      <c r="D741" s="17"/>
      <c r="E741" s="18"/>
      <c r="F741" s="18"/>
      <c r="G741" s="30"/>
      <c r="H741" s="19">
        <f t="shared" si="4"/>
        <v>0</v>
      </c>
      <c r="I741" s="15"/>
      <c r="J741" s="19"/>
      <c r="K741" s="33"/>
      <c r="L741" s="19"/>
      <c r="M741" s="19"/>
      <c r="N741" s="19"/>
      <c r="O741" s="19"/>
      <c r="P741" s="17"/>
    </row>
    <row r="742" spans="1:16" x14ac:dyDescent="0.3">
      <c r="A742" t="s">
        <v>2704</v>
      </c>
      <c r="B742" s="3" t="s">
        <v>2838</v>
      </c>
      <c r="C742" t="s">
        <v>2705</v>
      </c>
      <c r="D742" s="9">
        <f>VLOOKUP(A742,[2]Sheet1!$A:$C,3,0)</f>
        <v>0</v>
      </c>
      <c r="H742" s="1">
        <f t="shared" si="4"/>
        <v>0</v>
      </c>
      <c r="J742" s="1"/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6" x14ac:dyDescent="0.3">
      <c r="A743" t="s">
        <v>1346</v>
      </c>
      <c r="B743" s="3" t="s">
        <v>2838</v>
      </c>
      <c r="C743" t="s">
        <v>1345</v>
      </c>
      <c r="D743" s="9">
        <f>VLOOKUP(A743,[2]Sheet1!$A:$C,3,0)</f>
        <v>199</v>
      </c>
      <c r="H743" s="1">
        <f t="shared" si="4"/>
        <v>0</v>
      </c>
      <c r="J743" s="1"/>
      <c r="K743" s="1">
        <v>86</v>
      </c>
      <c r="L743" s="1">
        <v>90</v>
      </c>
      <c r="M743" s="1">
        <v>95</v>
      </c>
      <c r="N743" s="1">
        <v>100</v>
      </c>
      <c r="O743" s="1">
        <v>105</v>
      </c>
    </row>
    <row r="744" spans="1:16" x14ac:dyDescent="0.3">
      <c r="A744" s="17" t="s">
        <v>1346</v>
      </c>
      <c r="B744" s="18" t="s">
        <v>2838</v>
      </c>
      <c r="C744" s="17" t="s">
        <v>1345</v>
      </c>
      <c r="D744" s="17"/>
      <c r="E744" s="18"/>
      <c r="F744" s="18"/>
      <c r="G744" s="30"/>
      <c r="H744" s="19">
        <f t="shared" si="4"/>
        <v>0</v>
      </c>
      <c r="I744" s="15"/>
      <c r="J744" s="19"/>
      <c r="K744" s="33"/>
      <c r="L744" s="19"/>
      <c r="M744" s="19"/>
      <c r="N744" s="19"/>
      <c r="O744" s="19"/>
      <c r="P744" s="17"/>
    </row>
    <row r="745" spans="1:16" x14ac:dyDescent="0.3">
      <c r="A745" t="s">
        <v>1344</v>
      </c>
      <c r="B745" s="3" t="s">
        <v>2838</v>
      </c>
      <c r="C745" t="s">
        <v>1343</v>
      </c>
      <c r="D745" s="9">
        <f>VLOOKUP(A745,[2]Sheet1!$A:$C,3,0)</f>
        <v>35</v>
      </c>
      <c r="H745" s="1">
        <f t="shared" si="4"/>
        <v>0</v>
      </c>
      <c r="J745" s="1"/>
      <c r="K745" s="1">
        <v>195</v>
      </c>
      <c r="L745" s="1">
        <v>200</v>
      </c>
      <c r="M745" s="1">
        <v>210</v>
      </c>
      <c r="N745" s="1">
        <v>220</v>
      </c>
      <c r="O745" s="1">
        <v>230</v>
      </c>
    </row>
    <row r="746" spans="1:16" x14ac:dyDescent="0.3">
      <c r="A746" s="17" t="s">
        <v>1344</v>
      </c>
      <c r="B746" s="18" t="s">
        <v>2838</v>
      </c>
      <c r="C746" s="17" t="s">
        <v>1343</v>
      </c>
      <c r="D746" s="17"/>
      <c r="E746" s="18"/>
      <c r="F746" s="18"/>
      <c r="G746" s="30"/>
      <c r="H746" s="19">
        <f t="shared" si="4"/>
        <v>0</v>
      </c>
      <c r="I746" s="15"/>
      <c r="J746" s="19"/>
      <c r="K746" s="33"/>
      <c r="L746" s="19"/>
      <c r="M746" s="19"/>
      <c r="N746" s="19"/>
      <c r="O746" s="19"/>
      <c r="P746" s="17"/>
    </row>
    <row r="747" spans="1:16" x14ac:dyDescent="0.3">
      <c r="A747" t="s">
        <v>1342</v>
      </c>
      <c r="B747" s="3" t="s">
        <v>2838</v>
      </c>
      <c r="C747" t="s">
        <v>1341</v>
      </c>
      <c r="D747" s="9">
        <f>VLOOKUP(A747,[2]Sheet1!$A:$C,3,0)</f>
        <v>23</v>
      </c>
      <c r="H747" s="1">
        <f t="shared" si="4"/>
        <v>0</v>
      </c>
      <c r="J747" s="1"/>
      <c r="K747" s="1">
        <v>195</v>
      </c>
      <c r="L747" s="1">
        <v>200</v>
      </c>
      <c r="M747" s="1">
        <v>210</v>
      </c>
      <c r="N747" s="1">
        <v>220</v>
      </c>
      <c r="O747" s="1">
        <v>230</v>
      </c>
    </row>
    <row r="748" spans="1:16" x14ac:dyDescent="0.3">
      <c r="A748" s="17" t="s">
        <v>1342</v>
      </c>
      <c r="B748" s="18" t="s">
        <v>2838</v>
      </c>
      <c r="C748" s="17" t="s">
        <v>1341</v>
      </c>
      <c r="D748" s="17"/>
      <c r="E748" s="18"/>
      <c r="F748" s="18"/>
      <c r="G748" s="30"/>
      <c r="H748" s="19">
        <f t="shared" si="4"/>
        <v>0</v>
      </c>
      <c r="I748" s="15"/>
      <c r="J748" s="19"/>
      <c r="K748" s="33"/>
      <c r="L748" s="19"/>
      <c r="M748" s="19"/>
      <c r="N748" s="19"/>
      <c r="O748" s="19"/>
      <c r="P748" s="17"/>
    </row>
    <row r="749" spans="1:16" x14ac:dyDescent="0.3">
      <c r="A749" t="s">
        <v>1340</v>
      </c>
      <c r="B749" s="3" t="s">
        <v>2838</v>
      </c>
      <c r="C749" t="s">
        <v>1339</v>
      </c>
      <c r="D749" s="9">
        <f>VLOOKUP(A749,[2]Sheet1!$A:$C,3,0)</f>
        <v>421</v>
      </c>
      <c r="H749" s="1">
        <f t="shared" si="4"/>
        <v>0</v>
      </c>
      <c r="J749" s="1"/>
      <c r="K749" s="1">
        <v>86</v>
      </c>
      <c r="L749" s="1">
        <v>90</v>
      </c>
      <c r="M749" s="1">
        <v>95</v>
      </c>
      <c r="N749" s="1">
        <v>100</v>
      </c>
      <c r="O749" s="1">
        <v>105</v>
      </c>
    </row>
    <row r="750" spans="1:16" x14ac:dyDescent="0.3">
      <c r="A750" s="17" t="s">
        <v>1340</v>
      </c>
      <c r="B750" s="18" t="s">
        <v>2838</v>
      </c>
      <c r="C750" s="17" t="s">
        <v>1339</v>
      </c>
      <c r="D750" s="17"/>
      <c r="E750" s="18"/>
      <c r="F750" s="18"/>
      <c r="G750" s="30"/>
      <c r="H750" s="19">
        <f t="shared" si="4"/>
        <v>0</v>
      </c>
      <c r="I750" s="15"/>
      <c r="J750" s="19"/>
      <c r="K750" s="33"/>
      <c r="L750" s="19"/>
      <c r="M750" s="19"/>
      <c r="N750" s="19"/>
      <c r="O750" s="19"/>
      <c r="P750" s="17"/>
    </row>
    <row r="751" spans="1:16" x14ac:dyDescent="0.3">
      <c r="A751" s="9" t="s">
        <v>1554</v>
      </c>
      <c r="B751" s="10" t="s">
        <v>2838</v>
      </c>
      <c r="C751" s="9" t="s">
        <v>1553</v>
      </c>
      <c r="D751" s="9">
        <f>VLOOKUP(A751,[2]Sheet1!$A:$C,3,0)</f>
        <v>0</v>
      </c>
      <c r="E751" s="10">
        <v>0</v>
      </c>
      <c r="F751" s="10"/>
      <c r="G751" s="28">
        <v>0</v>
      </c>
      <c r="H751" s="10">
        <v>0</v>
      </c>
      <c r="I751" s="13">
        <v>0</v>
      </c>
      <c r="J751" s="10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9"/>
    </row>
    <row r="752" spans="1:16" x14ac:dyDescent="0.3">
      <c r="A752" t="s">
        <v>2706</v>
      </c>
      <c r="B752" s="3" t="s">
        <v>2838</v>
      </c>
      <c r="C752" t="s">
        <v>2707</v>
      </c>
      <c r="D752" s="9">
        <f>VLOOKUP(A752,[2]Sheet1!$A:$C,3,0)</f>
        <v>2</v>
      </c>
      <c r="J752" s="1"/>
      <c r="K752" s="2">
        <v>0</v>
      </c>
      <c r="L752" s="1">
        <v>530</v>
      </c>
      <c r="M752" s="1">
        <v>550</v>
      </c>
      <c r="N752" s="1">
        <v>565</v>
      </c>
      <c r="O752" s="1">
        <v>600</v>
      </c>
    </row>
    <row r="753" spans="1:16" x14ac:dyDescent="0.3">
      <c r="A753" t="s">
        <v>1402</v>
      </c>
      <c r="B753" s="3" t="s">
        <v>2838</v>
      </c>
      <c r="C753" t="s">
        <v>1401</v>
      </c>
      <c r="D753" s="9">
        <f>VLOOKUP(A753,[2]Sheet1!$A:$C,3,0)</f>
        <v>2</v>
      </c>
      <c r="J753" s="1"/>
      <c r="K753" s="2">
        <v>0</v>
      </c>
      <c r="L753" s="1">
        <v>705</v>
      </c>
      <c r="M753" s="1">
        <v>730</v>
      </c>
      <c r="N753" s="1">
        <v>750</v>
      </c>
      <c r="O753" s="1">
        <v>800</v>
      </c>
    </row>
    <row r="754" spans="1:16" x14ac:dyDescent="0.3">
      <c r="A754" t="s">
        <v>1336</v>
      </c>
      <c r="B754" s="3" t="s">
        <v>2838</v>
      </c>
      <c r="C754" t="s">
        <v>1335</v>
      </c>
      <c r="D754" s="9">
        <f>VLOOKUP(A754,[2]Sheet1!$A:$C,3,0)</f>
        <v>0</v>
      </c>
      <c r="J754" s="1"/>
      <c r="K754" s="2">
        <v>0</v>
      </c>
      <c r="L754" s="1">
        <v>450</v>
      </c>
      <c r="M754" s="1">
        <v>460</v>
      </c>
      <c r="N754" s="1">
        <v>475</v>
      </c>
      <c r="O754" s="1">
        <v>500</v>
      </c>
    </row>
    <row r="755" spans="1:16" x14ac:dyDescent="0.3">
      <c r="A755" t="s">
        <v>1334</v>
      </c>
      <c r="B755" s="3" t="s">
        <v>2838</v>
      </c>
      <c r="C755" t="s">
        <v>1333</v>
      </c>
      <c r="D755" s="9">
        <f>VLOOKUP(A755,[2]Sheet1!$A:$C,3,0)</f>
        <v>0</v>
      </c>
      <c r="J755" s="1"/>
      <c r="K755" s="2">
        <v>0</v>
      </c>
      <c r="L755" s="1">
        <v>530</v>
      </c>
      <c r="M755" s="1">
        <v>550</v>
      </c>
      <c r="N755" s="1">
        <v>565</v>
      </c>
      <c r="O755" s="1">
        <v>600</v>
      </c>
    </row>
    <row r="756" spans="1:16" x14ac:dyDescent="0.3">
      <c r="A756" t="s">
        <v>1332</v>
      </c>
      <c r="B756" s="3" t="s">
        <v>2838</v>
      </c>
      <c r="C756" t="s">
        <v>1331</v>
      </c>
      <c r="D756" s="9">
        <f>VLOOKUP(A756,[2]Sheet1!$A:$C,3,0)</f>
        <v>2</v>
      </c>
      <c r="J756" s="1"/>
      <c r="K756" s="2">
        <v>0</v>
      </c>
      <c r="L756" s="1">
        <v>620</v>
      </c>
      <c r="M756" s="1">
        <v>640</v>
      </c>
      <c r="N756" s="1">
        <v>660</v>
      </c>
      <c r="O756" s="1">
        <v>700</v>
      </c>
    </row>
    <row r="757" spans="1:16" x14ac:dyDescent="0.3">
      <c r="A757" t="s">
        <v>1330</v>
      </c>
      <c r="B757" s="3" t="s">
        <v>2838</v>
      </c>
      <c r="C757" t="s">
        <v>1329</v>
      </c>
      <c r="D757" s="9">
        <f>VLOOKUP(A757,[2]Sheet1!$A:$C,3,0)</f>
        <v>2</v>
      </c>
      <c r="J757" s="1"/>
      <c r="K757" s="2">
        <v>0</v>
      </c>
      <c r="L757" s="1">
        <v>705</v>
      </c>
      <c r="M757" s="1">
        <v>730</v>
      </c>
      <c r="N757" s="1">
        <v>750</v>
      </c>
      <c r="O757" s="1">
        <v>800</v>
      </c>
    </row>
    <row r="758" spans="1:16" x14ac:dyDescent="0.3">
      <c r="A758" t="s">
        <v>1328</v>
      </c>
      <c r="B758" s="3" t="s">
        <v>2838</v>
      </c>
      <c r="C758" t="s">
        <v>1327</v>
      </c>
      <c r="D758" s="9">
        <f>VLOOKUP(A758,[2]Sheet1!$A:$C,3,0)</f>
        <v>0</v>
      </c>
      <c r="J758" s="1"/>
      <c r="K758" s="2">
        <v>0</v>
      </c>
      <c r="L758" s="1">
        <v>880</v>
      </c>
      <c r="M758" s="1">
        <v>915</v>
      </c>
      <c r="N758" s="1">
        <v>935</v>
      </c>
      <c r="O758" s="1">
        <v>1000</v>
      </c>
    </row>
    <row r="759" spans="1:16" x14ac:dyDescent="0.3">
      <c r="A759" s="9" t="s">
        <v>1552</v>
      </c>
      <c r="B759" s="10" t="s">
        <v>2838</v>
      </c>
      <c r="C759" s="9" t="s">
        <v>1551</v>
      </c>
      <c r="D759" s="9">
        <f>VLOOKUP(A759,[2]Sheet1!$A:$C,3,0)</f>
        <v>74</v>
      </c>
      <c r="E759" s="10">
        <v>0</v>
      </c>
      <c r="F759" s="10"/>
      <c r="G759" s="28">
        <v>0</v>
      </c>
      <c r="H759" s="10">
        <v>0</v>
      </c>
      <c r="I759" s="13">
        <v>0</v>
      </c>
      <c r="J759" s="10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9"/>
    </row>
    <row r="760" spans="1:16" x14ac:dyDescent="0.3">
      <c r="A760" t="s">
        <v>2708</v>
      </c>
      <c r="B760" s="3" t="s">
        <v>2838</v>
      </c>
      <c r="C760" t="s">
        <v>2709</v>
      </c>
      <c r="D760" s="9">
        <f>VLOOKUP(A760,[2]Sheet1!$A:$C,3,0)</f>
        <v>124</v>
      </c>
      <c r="H760" s="1">
        <f t="shared" ref="H760:H771" si="5">G760/1.07</f>
        <v>0</v>
      </c>
      <c r="J760" s="1"/>
      <c r="K760" s="2">
        <v>0</v>
      </c>
      <c r="L760" s="1">
        <v>11</v>
      </c>
      <c r="M760" s="1">
        <v>12</v>
      </c>
      <c r="N760" s="1">
        <v>13</v>
      </c>
      <c r="O760" s="1">
        <v>15</v>
      </c>
    </row>
    <row r="761" spans="1:16" x14ac:dyDescent="0.3">
      <c r="A761" s="17" t="s">
        <v>2708</v>
      </c>
      <c r="B761" s="18" t="s">
        <v>2838</v>
      </c>
      <c r="C761" s="17" t="s">
        <v>2709</v>
      </c>
      <c r="D761" s="17"/>
      <c r="E761" s="18"/>
      <c r="F761" s="18"/>
      <c r="G761" s="30"/>
      <c r="H761" s="19">
        <f t="shared" si="5"/>
        <v>0</v>
      </c>
      <c r="I761" s="15"/>
      <c r="J761" s="19"/>
      <c r="K761" s="33"/>
      <c r="L761" s="19"/>
      <c r="M761" s="19"/>
      <c r="N761" s="19"/>
      <c r="O761" s="19"/>
      <c r="P761" s="17"/>
    </row>
    <row r="762" spans="1:16" x14ac:dyDescent="0.3">
      <c r="A762" t="s">
        <v>1326</v>
      </c>
      <c r="B762" s="3" t="s">
        <v>2838</v>
      </c>
      <c r="C762" t="s">
        <v>1325</v>
      </c>
      <c r="D762" s="9">
        <f>VLOOKUP(A762,[2]Sheet1!$A:$C,3,0)</f>
        <v>6</v>
      </c>
      <c r="H762" s="1">
        <f t="shared" si="5"/>
        <v>0</v>
      </c>
      <c r="J762" s="1"/>
      <c r="K762" s="1">
        <v>365</v>
      </c>
      <c r="L762" s="1">
        <v>380</v>
      </c>
      <c r="M762" s="1">
        <v>390</v>
      </c>
      <c r="N762" s="1">
        <v>415</v>
      </c>
      <c r="O762" s="1">
        <v>455</v>
      </c>
    </row>
    <row r="763" spans="1:16" x14ac:dyDescent="0.3">
      <c r="A763" s="17" t="s">
        <v>1326</v>
      </c>
      <c r="B763" s="18" t="s">
        <v>2838</v>
      </c>
      <c r="C763" s="17" t="s">
        <v>1325</v>
      </c>
      <c r="D763" s="17"/>
      <c r="E763" s="18"/>
      <c r="F763" s="18"/>
      <c r="G763" s="30"/>
      <c r="H763" s="19">
        <f t="shared" si="5"/>
        <v>0</v>
      </c>
      <c r="I763" s="15"/>
      <c r="J763" s="19"/>
      <c r="K763" s="33"/>
      <c r="L763" s="19"/>
      <c r="M763" s="19"/>
      <c r="N763" s="19"/>
      <c r="O763" s="19"/>
      <c r="P763" s="17"/>
    </row>
    <row r="764" spans="1:16" x14ac:dyDescent="0.3">
      <c r="A764" t="s">
        <v>1324</v>
      </c>
      <c r="B764" s="3" t="s">
        <v>2838</v>
      </c>
      <c r="C764" t="s">
        <v>1323</v>
      </c>
      <c r="D764" s="9">
        <f>VLOOKUP(A764,[2]Sheet1!$A:$C,3,0)</f>
        <v>23</v>
      </c>
      <c r="H764" s="1">
        <f t="shared" si="5"/>
        <v>0</v>
      </c>
      <c r="J764" s="1"/>
      <c r="K764" s="2">
        <v>0</v>
      </c>
      <c r="L764" s="1">
        <v>86</v>
      </c>
      <c r="M764" s="1">
        <v>90</v>
      </c>
      <c r="N764" s="1">
        <v>95</v>
      </c>
      <c r="O764" s="1">
        <v>100</v>
      </c>
    </row>
    <row r="765" spans="1:16" x14ac:dyDescent="0.3">
      <c r="A765" s="17" t="s">
        <v>1324</v>
      </c>
      <c r="B765" s="18" t="s">
        <v>2838</v>
      </c>
      <c r="C765" s="17" t="s">
        <v>1323</v>
      </c>
      <c r="D765" s="17"/>
      <c r="E765" s="18"/>
      <c r="F765" s="18"/>
      <c r="G765" s="30"/>
      <c r="H765" s="19">
        <f t="shared" si="5"/>
        <v>0</v>
      </c>
      <c r="I765" s="15"/>
      <c r="J765" s="19"/>
      <c r="K765" s="33"/>
      <c r="L765" s="19"/>
      <c r="M765" s="19"/>
      <c r="N765" s="19"/>
      <c r="O765" s="19"/>
      <c r="P765" s="17"/>
    </row>
    <row r="766" spans="1:16" x14ac:dyDescent="0.3">
      <c r="A766" t="s">
        <v>1322</v>
      </c>
      <c r="B766" s="3" t="s">
        <v>2838</v>
      </c>
      <c r="C766" t="s">
        <v>1321</v>
      </c>
      <c r="D766" s="9">
        <f>VLOOKUP(A766,[2]Sheet1!$A:$C,3,0)</f>
        <v>4</v>
      </c>
      <c r="H766" s="1">
        <f t="shared" si="5"/>
        <v>0</v>
      </c>
      <c r="J766" s="1"/>
      <c r="K766" s="1">
        <v>69</v>
      </c>
      <c r="L766" s="1">
        <v>70</v>
      </c>
      <c r="M766" s="1">
        <v>71</v>
      </c>
      <c r="N766" s="1">
        <v>75</v>
      </c>
      <c r="O766" s="1">
        <v>78</v>
      </c>
    </row>
    <row r="767" spans="1:16" x14ac:dyDescent="0.3">
      <c r="A767" s="17" t="s">
        <v>1322</v>
      </c>
      <c r="B767" s="18" t="s">
        <v>2838</v>
      </c>
      <c r="C767" s="17" t="s">
        <v>1321</v>
      </c>
      <c r="D767" s="17"/>
      <c r="E767" s="18"/>
      <c r="F767" s="18"/>
      <c r="G767" s="30"/>
      <c r="H767" s="19">
        <f t="shared" si="5"/>
        <v>0</v>
      </c>
      <c r="I767" s="15"/>
      <c r="J767" s="19"/>
      <c r="K767" s="33"/>
      <c r="L767" s="19"/>
      <c r="M767" s="19"/>
      <c r="N767" s="19"/>
      <c r="O767" s="19"/>
      <c r="P767" s="17"/>
    </row>
    <row r="768" spans="1:16" x14ac:dyDescent="0.3">
      <c r="A768" t="s">
        <v>1510</v>
      </c>
      <c r="B768" s="3" t="s">
        <v>2838</v>
      </c>
      <c r="C768" t="s">
        <v>1509</v>
      </c>
      <c r="D768" s="9">
        <f>VLOOKUP(A768,[2]Sheet1!$A:$C,3,0)</f>
        <v>31</v>
      </c>
      <c r="H768" s="1">
        <f t="shared" si="5"/>
        <v>0</v>
      </c>
      <c r="J768" s="1"/>
      <c r="K768" s="2">
        <v>0</v>
      </c>
      <c r="L768" s="1">
        <v>53</v>
      </c>
      <c r="M768" s="1">
        <v>55</v>
      </c>
      <c r="N768" s="1">
        <v>58</v>
      </c>
      <c r="O768" s="1">
        <v>60</v>
      </c>
    </row>
    <row r="769" spans="1:16" x14ac:dyDescent="0.3">
      <c r="A769" s="17" t="s">
        <v>1510</v>
      </c>
      <c r="B769" s="18" t="s">
        <v>2838</v>
      </c>
      <c r="C769" s="17" t="s">
        <v>1509</v>
      </c>
      <c r="D769" s="17"/>
      <c r="E769" s="18"/>
      <c r="F769" s="18"/>
      <c r="G769" s="30"/>
      <c r="H769" s="19">
        <f t="shared" si="5"/>
        <v>0</v>
      </c>
      <c r="I769" s="15"/>
      <c r="J769" s="19"/>
      <c r="K769" s="33"/>
      <c r="L769" s="19"/>
      <c r="M769" s="19"/>
      <c r="N769" s="19"/>
      <c r="O769" s="19"/>
      <c r="P769" s="17"/>
    </row>
    <row r="770" spans="1:16" x14ac:dyDescent="0.3">
      <c r="A770" t="s">
        <v>1400</v>
      </c>
      <c r="B770" s="3" t="s">
        <v>2838</v>
      </c>
      <c r="C770" t="s">
        <v>1399</v>
      </c>
      <c r="D770" s="9">
        <f>VLOOKUP(A770,[2]Sheet1!$A:$C,3,0)</f>
        <v>63</v>
      </c>
      <c r="H770" s="1">
        <f t="shared" si="5"/>
        <v>0</v>
      </c>
      <c r="J770" s="1"/>
      <c r="K770" s="2">
        <v>0</v>
      </c>
      <c r="L770" s="1">
        <v>53</v>
      </c>
      <c r="M770" s="1">
        <v>55</v>
      </c>
      <c r="N770" s="1">
        <v>58</v>
      </c>
      <c r="O770" s="1">
        <v>60</v>
      </c>
    </row>
    <row r="771" spans="1:16" x14ac:dyDescent="0.3">
      <c r="A771" s="17" t="s">
        <v>1400</v>
      </c>
      <c r="B771" s="18" t="s">
        <v>2838</v>
      </c>
      <c r="C771" s="17" t="s">
        <v>1399</v>
      </c>
      <c r="D771" s="17"/>
      <c r="E771" s="18"/>
      <c r="F771" s="18"/>
      <c r="G771" s="30"/>
      <c r="H771" s="19">
        <f t="shared" si="5"/>
        <v>0</v>
      </c>
      <c r="I771" s="15"/>
      <c r="J771" s="19"/>
      <c r="K771" s="33"/>
      <c r="L771" s="19"/>
      <c r="M771" s="19"/>
      <c r="N771" s="19"/>
      <c r="O771" s="19"/>
      <c r="P771" s="17"/>
    </row>
    <row r="772" spans="1:16" x14ac:dyDescent="0.3">
      <c r="A772" t="s">
        <v>1398</v>
      </c>
      <c r="B772" s="3" t="s">
        <v>2838</v>
      </c>
      <c r="C772" t="s">
        <v>1397</v>
      </c>
      <c r="D772" s="9">
        <f>VLOOKUP(A772,[2]Sheet1!$A:$C,3,0)</f>
        <v>54300</v>
      </c>
      <c r="E772" s="3" t="s">
        <v>2919</v>
      </c>
      <c r="G772" s="21">
        <v>16</v>
      </c>
      <c r="H772" s="1">
        <f>G772/1.07</f>
        <v>14.953271028037383</v>
      </c>
      <c r="I772" s="4">
        <v>0</v>
      </c>
      <c r="J772" s="1">
        <f>H772</f>
        <v>14.953271028037383</v>
      </c>
      <c r="K772" s="2">
        <v>0</v>
      </c>
      <c r="L772" s="1">
        <v>17</v>
      </c>
      <c r="M772" s="1">
        <v>18</v>
      </c>
      <c r="N772" s="1">
        <v>19</v>
      </c>
      <c r="O772" s="1">
        <v>20</v>
      </c>
      <c r="P772" t="s">
        <v>2793</v>
      </c>
    </row>
    <row r="773" spans="1:16" x14ac:dyDescent="0.3">
      <c r="A773" t="s">
        <v>1338</v>
      </c>
      <c r="B773" s="3" t="s">
        <v>2838</v>
      </c>
      <c r="C773" t="s">
        <v>1337</v>
      </c>
      <c r="D773" s="9">
        <f>VLOOKUP(A773,[2]Sheet1!$A:$C,3,0)</f>
        <v>71100</v>
      </c>
      <c r="E773" s="3" t="s">
        <v>2919</v>
      </c>
      <c r="G773" s="21">
        <v>16</v>
      </c>
      <c r="H773" s="1">
        <f>G773/1.07</f>
        <v>14.953271028037383</v>
      </c>
      <c r="I773" s="4">
        <v>0</v>
      </c>
      <c r="J773" s="1">
        <f>H773</f>
        <v>14.953271028037383</v>
      </c>
      <c r="K773" s="2">
        <v>0</v>
      </c>
      <c r="L773" s="1">
        <v>17</v>
      </c>
      <c r="M773" s="1">
        <v>18</v>
      </c>
      <c r="N773" s="1">
        <v>19</v>
      </c>
      <c r="O773" s="1">
        <v>20</v>
      </c>
      <c r="P773" t="s">
        <v>2936</v>
      </c>
    </row>
    <row r="774" spans="1:16" x14ac:dyDescent="0.3">
      <c r="A774" t="s">
        <v>1320</v>
      </c>
      <c r="B774" s="3" t="s">
        <v>2838</v>
      </c>
      <c r="C774" t="s">
        <v>1319</v>
      </c>
      <c r="D774" s="9">
        <f>VLOOKUP(A774,[2]Sheet1!$A:$C,3,0)</f>
        <v>6000</v>
      </c>
      <c r="E774" s="3" t="s">
        <v>2919</v>
      </c>
      <c r="G774" s="21">
        <v>16</v>
      </c>
      <c r="H774" s="1">
        <f>G774/1.07</f>
        <v>14.953271028037383</v>
      </c>
      <c r="I774" s="4">
        <v>0</v>
      </c>
      <c r="J774" s="1">
        <f>H774</f>
        <v>14.953271028037383</v>
      </c>
      <c r="K774" s="2">
        <v>0</v>
      </c>
      <c r="L774" s="1">
        <v>17</v>
      </c>
      <c r="M774" s="1">
        <v>18</v>
      </c>
      <c r="N774" s="1">
        <v>19</v>
      </c>
      <c r="O774" s="1">
        <v>20</v>
      </c>
      <c r="P774" t="s">
        <v>2937</v>
      </c>
    </row>
    <row r="775" spans="1:16" x14ac:dyDescent="0.3">
      <c r="A775" t="s">
        <v>1638</v>
      </c>
      <c r="B775" s="3" t="s">
        <v>2839</v>
      </c>
      <c r="C775" t="s">
        <v>1637</v>
      </c>
      <c r="D775" s="9">
        <f>VLOOKUP(A775,[2]Sheet1!$A:$C,3,0)</f>
        <v>0</v>
      </c>
      <c r="J775" s="1"/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6" x14ac:dyDescent="0.3">
      <c r="A776" t="s">
        <v>1628</v>
      </c>
      <c r="B776" s="3" t="s">
        <v>2839</v>
      </c>
      <c r="C776" t="s">
        <v>1627</v>
      </c>
      <c r="D776" s="9">
        <f>VLOOKUP(A776,[2]Sheet1!$A:$C,3,0)</f>
        <v>580</v>
      </c>
      <c r="E776" s="3" t="s">
        <v>2934</v>
      </c>
      <c r="H776" s="1">
        <v>14.96551724</v>
      </c>
      <c r="I776" s="4">
        <v>0</v>
      </c>
      <c r="J776" s="1">
        <f>H776</f>
        <v>14.96551724</v>
      </c>
      <c r="K776" s="1">
        <v>18.5</v>
      </c>
      <c r="L776" s="1">
        <v>19</v>
      </c>
      <c r="M776" s="1">
        <v>20</v>
      </c>
      <c r="N776" s="1">
        <v>21</v>
      </c>
      <c r="O776" s="1">
        <v>22</v>
      </c>
    </row>
    <row r="777" spans="1:16" x14ac:dyDescent="0.3">
      <c r="A777" t="s">
        <v>1626</v>
      </c>
      <c r="B777" s="3" t="s">
        <v>2839</v>
      </c>
      <c r="C777" t="s">
        <v>1625</v>
      </c>
      <c r="D777" s="9">
        <f>VLOOKUP(A777,[2]Sheet1!$A:$C,3,0)</f>
        <v>0</v>
      </c>
      <c r="J777" s="1"/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6" x14ac:dyDescent="0.3">
      <c r="A778" t="s">
        <v>1550</v>
      </c>
      <c r="B778" s="3" t="s">
        <v>2839</v>
      </c>
      <c r="C778" t="s">
        <v>1549</v>
      </c>
      <c r="D778" s="9">
        <f>VLOOKUP(A778,[2]Sheet1!$A:$C,3,0)</f>
        <v>0</v>
      </c>
      <c r="J778" s="1"/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t="s">
        <v>2781</v>
      </c>
    </row>
    <row r="779" spans="1:16" x14ac:dyDescent="0.3">
      <c r="A779" t="s">
        <v>1548</v>
      </c>
      <c r="B779" s="3" t="s">
        <v>2839</v>
      </c>
      <c r="C779" t="s">
        <v>1547</v>
      </c>
      <c r="D779" s="9">
        <f>VLOOKUP(A779,[2]Sheet1!$A:$C,3,0)</f>
        <v>2</v>
      </c>
      <c r="E779" s="3" t="s">
        <v>2939</v>
      </c>
      <c r="H779" s="1">
        <v>5.33</v>
      </c>
      <c r="I779" s="4">
        <v>0</v>
      </c>
      <c r="J779" s="1">
        <f>H779</f>
        <v>5.33</v>
      </c>
      <c r="K779" s="1">
        <v>6.5</v>
      </c>
      <c r="L779" s="1">
        <v>6.75</v>
      </c>
      <c r="M779" s="1">
        <v>7</v>
      </c>
      <c r="N779" s="1">
        <v>7.5</v>
      </c>
      <c r="O779" s="1">
        <v>6</v>
      </c>
    </row>
    <row r="780" spans="1:16" x14ac:dyDescent="0.3">
      <c r="A780" t="s">
        <v>1620</v>
      </c>
      <c r="B780" s="3" t="s">
        <v>2840</v>
      </c>
      <c r="C780" t="s">
        <v>1619</v>
      </c>
      <c r="D780" s="9">
        <f>VLOOKUP(A780,[2]Sheet1!$A:$C,3,0)</f>
        <v>217</v>
      </c>
      <c r="E780" s="3" t="s">
        <v>2940</v>
      </c>
      <c r="H780" s="1">
        <v>160</v>
      </c>
      <c r="I780" s="4">
        <v>0</v>
      </c>
      <c r="J780" s="1">
        <f>H780</f>
        <v>160</v>
      </c>
      <c r="K780" s="1">
        <v>180</v>
      </c>
      <c r="L780" s="1">
        <v>185</v>
      </c>
      <c r="M780" s="1">
        <v>195</v>
      </c>
      <c r="N780" s="1">
        <v>220</v>
      </c>
      <c r="O780" s="1">
        <v>230</v>
      </c>
    </row>
    <row r="781" spans="1:16" x14ac:dyDescent="0.3">
      <c r="A781" s="9" t="s">
        <v>1302</v>
      </c>
      <c r="B781" s="10" t="s">
        <v>2841</v>
      </c>
      <c r="C781" s="9" t="s">
        <v>1301</v>
      </c>
      <c r="D781" s="9">
        <f>VLOOKUP(A781,[2]Sheet1!$A:$C,3,0)</f>
        <v>0</v>
      </c>
      <c r="E781" s="10" t="s">
        <v>2938</v>
      </c>
      <c r="F781" s="10"/>
      <c r="G781" s="28">
        <v>0</v>
      </c>
      <c r="H781" s="10">
        <v>0</v>
      </c>
      <c r="I781" s="13">
        <v>0</v>
      </c>
      <c r="J781" s="10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9"/>
    </row>
    <row r="782" spans="1:16" x14ac:dyDescent="0.3">
      <c r="A782" t="s">
        <v>1310</v>
      </c>
      <c r="B782" s="3" t="s">
        <v>2841</v>
      </c>
      <c r="C782" t="s">
        <v>1309</v>
      </c>
      <c r="D782" s="9">
        <f>VLOOKUP(A782,[2]Sheet1!$A:$C,3,0)</f>
        <v>591</v>
      </c>
      <c r="E782" s="3" t="s">
        <v>2918</v>
      </c>
      <c r="H782" s="1">
        <v>65</v>
      </c>
      <c r="I782" s="4">
        <v>0</v>
      </c>
      <c r="J782" s="1">
        <f>H782</f>
        <v>65</v>
      </c>
      <c r="K782" s="2">
        <v>0</v>
      </c>
      <c r="L782" s="1">
        <v>73</v>
      </c>
      <c r="M782" s="1">
        <v>75</v>
      </c>
      <c r="N782" s="1">
        <v>80</v>
      </c>
      <c r="O782" s="1">
        <v>85</v>
      </c>
    </row>
    <row r="783" spans="1:16" x14ac:dyDescent="0.3">
      <c r="A783" t="s">
        <v>1300</v>
      </c>
      <c r="B783" s="3" t="s">
        <v>2841</v>
      </c>
      <c r="C783" t="s">
        <v>1299</v>
      </c>
      <c r="D783" s="9">
        <f>VLOOKUP(A783,[2]Sheet1!$A:$C,3,0)</f>
        <v>307</v>
      </c>
      <c r="E783" s="3" t="s">
        <v>2935</v>
      </c>
      <c r="H783" s="1">
        <v>44</v>
      </c>
      <c r="I783" s="4">
        <v>0</v>
      </c>
      <c r="J783" s="1">
        <f>H783</f>
        <v>44</v>
      </c>
      <c r="K783" s="2">
        <v>0</v>
      </c>
      <c r="L783" s="1">
        <v>49.5</v>
      </c>
      <c r="M783" s="1">
        <v>51</v>
      </c>
      <c r="N783" s="1">
        <v>53</v>
      </c>
      <c r="O783" s="1">
        <v>58</v>
      </c>
      <c r="P783" t="s">
        <v>2787</v>
      </c>
    </row>
    <row r="784" spans="1:16" x14ac:dyDescent="0.3">
      <c r="A784" t="s">
        <v>1298</v>
      </c>
      <c r="B784" s="3" t="s">
        <v>2841</v>
      </c>
      <c r="C784" t="s">
        <v>1297</v>
      </c>
      <c r="D784" s="9">
        <f>VLOOKUP(A784,[2]Sheet1!$A:$C,3,0)</f>
        <v>471</v>
      </c>
      <c r="E784" s="3" t="s">
        <v>2935</v>
      </c>
      <c r="H784" s="1">
        <v>55</v>
      </c>
      <c r="I784" s="4">
        <v>0</v>
      </c>
      <c r="J784" s="1">
        <f t="shared" ref="J784:J787" si="6">H784</f>
        <v>55</v>
      </c>
      <c r="K784" s="2">
        <v>0</v>
      </c>
      <c r="L784" s="1">
        <v>62</v>
      </c>
      <c r="M784" s="1">
        <v>64</v>
      </c>
      <c r="N784" s="1">
        <v>68</v>
      </c>
      <c r="O784" s="1">
        <v>70</v>
      </c>
      <c r="P784" t="s">
        <v>2787</v>
      </c>
    </row>
    <row r="785" spans="1:16" x14ac:dyDescent="0.3">
      <c r="A785" t="s">
        <v>1296</v>
      </c>
      <c r="B785" s="3" t="s">
        <v>2841</v>
      </c>
      <c r="C785" t="s">
        <v>1295</v>
      </c>
      <c r="D785" s="9">
        <f>VLOOKUP(A785,[2]Sheet1!$A:$C,3,0)</f>
        <v>337</v>
      </c>
      <c r="E785" s="3" t="s">
        <v>2935</v>
      </c>
      <c r="H785" s="1">
        <v>66</v>
      </c>
      <c r="I785" s="4">
        <v>0</v>
      </c>
      <c r="J785" s="1">
        <f t="shared" si="6"/>
        <v>66</v>
      </c>
      <c r="K785" s="2">
        <v>0</v>
      </c>
      <c r="L785" s="1">
        <v>74</v>
      </c>
      <c r="M785" s="1">
        <v>76</v>
      </c>
      <c r="N785" s="1">
        <v>79</v>
      </c>
      <c r="O785" s="1">
        <v>85</v>
      </c>
      <c r="P785" t="s">
        <v>2787</v>
      </c>
    </row>
    <row r="786" spans="1:16" x14ac:dyDescent="0.3">
      <c r="A786" t="s">
        <v>1294</v>
      </c>
      <c r="B786" s="3" t="s">
        <v>2841</v>
      </c>
      <c r="C786" t="s">
        <v>1293</v>
      </c>
      <c r="D786" s="9">
        <f>VLOOKUP(A786,[2]Sheet1!$A:$C,3,0)</f>
        <v>158</v>
      </c>
      <c r="E786" s="3" t="s">
        <v>2935</v>
      </c>
      <c r="H786" s="1">
        <v>77</v>
      </c>
      <c r="I786" s="4">
        <v>0</v>
      </c>
      <c r="J786" s="1">
        <f t="shared" si="6"/>
        <v>77</v>
      </c>
      <c r="K786" s="2">
        <v>0</v>
      </c>
      <c r="L786" s="1">
        <v>86</v>
      </c>
      <c r="M786" s="1">
        <v>89</v>
      </c>
      <c r="N786" s="1">
        <v>92</v>
      </c>
      <c r="O786" s="1">
        <v>98</v>
      </c>
      <c r="P786" t="s">
        <v>2787</v>
      </c>
    </row>
    <row r="787" spans="1:16" x14ac:dyDescent="0.3">
      <c r="A787" t="s">
        <v>1292</v>
      </c>
      <c r="B787" s="3" t="s">
        <v>2841</v>
      </c>
      <c r="C787" t="s">
        <v>1291</v>
      </c>
      <c r="D787" s="9">
        <f>VLOOKUP(A787,[2]Sheet1!$A:$C,3,0)</f>
        <v>215</v>
      </c>
      <c r="E787" s="3" t="s">
        <v>2935</v>
      </c>
      <c r="H787" s="1">
        <v>88</v>
      </c>
      <c r="I787" s="4">
        <v>0</v>
      </c>
      <c r="J787" s="1">
        <f t="shared" si="6"/>
        <v>88</v>
      </c>
      <c r="K787" s="2">
        <v>0</v>
      </c>
      <c r="L787" s="1">
        <v>99</v>
      </c>
      <c r="M787" s="1">
        <v>102</v>
      </c>
      <c r="N787" s="1">
        <v>105</v>
      </c>
      <c r="O787" s="1">
        <v>112</v>
      </c>
      <c r="P787" t="s">
        <v>2787</v>
      </c>
    </row>
    <row r="788" spans="1:16" x14ac:dyDescent="0.3">
      <c r="A788" s="9" t="s">
        <v>1290</v>
      </c>
      <c r="B788" s="10" t="s">
        <v>2842</v>
      </c>
      <c r="C788" s="9" t="s">
        <v>1289</v>
      </c>
      <c r="D788" s="9">
        <f>VLOOKUP(A788,[2]Sheet1!$A:$C,3,0)</f>
        <v>0</v>
      </c>
      <c r="E788" s="10">
        <v>0</v>
      </c>
      <c r="F788" s="10"/>
      <c r="G788" s="28">
        <v>0</v>
      </c>
      <c r="H788" s="10">
        <v>0</v>
      </c>
      <c r="I788" s="13">
        <v>0</v>
      </c>
      <c r="J788" s="10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9"/>
    </row>
    <row r="789" spans="1:16" x14ac:dyDescent="0.3">
      <c r="A789" s="9" t="s">
        <v>1288</v>
      </c>
      <c r="B789" s="10" t="s">
        <v>2842</v>
      </c>
      <c r="C789" s="9" t="s">
        <v>1287</v>
      </c>
      <c r="D789" s="9">
        <f>VLOOKUP(A789,[2]Sheet1!$A:$C,3,0)</f>
        <v>1</v>
      </c>
      <c r="E789" s="10">
        <v>0</v>
      </c>
      <c r="F789" s="10"/>
      <c r="G789" s="28">
        <v>0</v>
      </c>
      <c r="H789" s="10">
        <v>0</v>
      </c>
      <c r="I789" s="13">
        <v>0</v>
      </c>
      <c r="J789" s="10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9"/>
    </row>
    <row r="790" spans="1:16" x14ac:dyDescent="0.3">
      <c r="A790" t="s">
        <v>945</v>
      </c>
      <c r="B790" s="3" t="s">
        <v>2842</v>
      </c>
      <c r="C790" t="s">
        <v>944</v>
      </c>
      <c r="D790" s="9">
        <f>VLOOKUP(A790,[2]Sheet1!$A:$C,3,0)</f>
        <v>15</v>
      </c>
      <c r="E790" s="3" t="s">
        <v>2941</v>
      </c>
      <c r="H790" s="1">
        <v>1500</v>
      </c>
      <c r="I790" s="4">
        <v>0.6</v>
      </c>
      <c r="J790" s="1">
        <f>H790-(H790*60/100)</f>
        <v>600</v>
      </c>
      <c r="K790" s="1">
        <v>675</v>
      </c>
      <c r="L790" s="1">
        <v>685</v>
      </c>
      <c r="M790" s="1">
        <v>715</v>
      </c>
      <c r="N790" s="1">
        <v>750</v>
      </c>
      <c r="O790" s="1">
        <v>800</v>
      </c>
    </row>
    <row r="791" spans="1:16" x14ac:dyDescent="0.3">
      <c r="A791" t="s">
        <v>868</v>
      </c>
      <c r="B791" s="3" t="s">
        <v>2842</v>
      </c>
      <c r="C791" t="s">
        <v>867</v>
      </c>
      <c r="D791" s="9">
        <f>VLOOKUP(A791,[2]Sheet1!$A:$C,3,0)</f>
        <v>7</v>
      </c>
      <c r="E791" s="3" t="s">
        <v>2941</v>
      </c>
      <c r="H791" s="1">
        <v>1500</v>
      </c>
      <c r="I791" s="4">
        <v>0.6</v>
      </c>
      <c r="J791" s="1">
        <f t="shared" ref="J791:J792" si="7">H791-(H791*60/100)</f>
        <v>600</v>
      </c>
      <c r="K791" s="1">
        <v>675</v>
      </c>
      <c r="L791" s="1">
        <v>685</v>
      </c>
      <c r="M791" s="1">
        <v>715</v>
      </c>
      <c r="N791" s="1">
        <v>750</v>
      </c>
      <c r="O791" s="1">
        <v>800</v>
      </c>
    </row>
    <row r="792" spans="1:16" x14ac:dyDescent="0.3">
      <c r="A792" t="s">
        <v>1306</v>
      </c>
      <c r="B792" s="3" t="s">
        <v>2842</v>
      </c>
      <c r="C792" t="s">
        <v>1305</v>
      </c>
      <c r="D792" s="9">
        <f>VLOOKUP(A792,[2]Sheet1!$A:$C,3,0)</f>
        <v>9</v>
      </c>
      <c r="E792" s="3" t="s">
        <v>2941</v>
      </c>
      <c r="H792" s="1">
        <v>1500</v>
      </c>
      <c r="I792" s="4">
        <v>0.6</v>
      </c>
      <c r="J792" s="1">
        <f t="shared" si="7"/>
        <v>600</v>
      </c>
      <c r="K792" s="1">
        <v>675</v>
      </c>
      <c r="L792" s="1">
        <v>685</v>
      </c>
      <c r="M792" s="1">
        <v>715</v>
      </c>
      <c r="N792" s="1">
        <v>750</v>
      </c>
      <c r="O792" s="1">
        <v>800</v>
      </c>
    </row>
    <row r="793" spans="1:16" x14ac:dyDescent="0.3">
      <c r="A793" s="9" t="s">
        <v>1286</v>
      </c>
      <c r="B793" s="10" t="s">
        <v>2842</v>
      </c>
      <c r="C793" s="9" t="s">
        <v>1285</v>
      </c>
      <c r="D793" s="9">
        <f>VLOOKUP(A793,[2]Sheet1!$A:$C,3,0)</f>
        <v>5</v>
      </c>
      <c r="E793" s="10">
        <v>0</v>
      </c>
      <c r="F793" s="10"/>
      <c r="G793" s="28">
        <v>0</v>
      </c>
      <c r="H793" s="10">
        <v>0</v>
      </c>
      <c r="I793" s="13">
        <v>0</v>
      </c>
      <c r="J793" s="10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9"/>
    </row>
    <row r="794" spans="1:16" x14ac:dyDescent="0.3">
      <c r="A794" t="s">
        <v>1308</v>
      </c>
      <c r="B794" s="3" t="s">
        <v>2842</v>
      </c>
      <c r="C794" t="s">
        <v>1307</v>
      </c>
      <c r="D794" s="9">
        <f>VLOOKUP(A794,[2]Sheet1!$A:$C,3,0)</f>
        <v>68</v>
      </c>
      <c r="H794" s="1">
        <v>220</v>
      </c>
      <c r="I794" s="4">
        <v>0.6</v>
      </c>
      <c r="J794" s="1">
        <f>H794-(H794*60/100)</f>
        <v>88</v>
      </c>
      <c r="K794" s="1">
        <v>100</v>
      </c>
      <c r="L794" s="1">
        <v>105</v>
      </c>
      <c r="M794" s="1">
        <v>110</v>
      </c>
      <c r="N794" s="1">
        <v>115</v>
      </c>
      <c r="O794" s="1">
        <v>120</v>
      </c>
    </row>
    <row r="795" spans="1:16" x14ac:dyDescent="0.3">
      <c r="A795" t="s">
        <v>1022</v>
      </c>
      <c r="B795" s="3" t="s">
        <v>2843</v>
      </c>
      <c r="C795" t="s">
        <v>1021</v>
      </c>
      <c r="D795" s="9">
        <f>VLOOKUP(A795,[2]Sheet1!$A:$C,3,0)</f>
        <v>607</v>
      </c>
      <c r="E795" s="3" t="s">
        <v>2943</v>
      </c>
      <c r="G795" s="21" t="s">
        <v>2938</v>
      </c>
      <c r="J795" s="1">
        <f>H795-(H795*60/100)</f>
        <v>0</v>
      </c>
      <c r="K795" s="1">
        <v>48</v>
      </c>
      <c r="L795" s="1">
        <v>50</v>
      </c>
      <c r="M795" s="1">
        <v>52</v>
      </c>
      <c r="N795" s="1">
        <v>55</v>
      </c>
      <c r="O795" s="1">
        <v>58</v>
      </c>
    </row>
    <row r="796" spans="1:16" x14ac:dyDescent="0.3">
      <c r="A796" t="s">
        <v>1020</v>
      </c>
      <c r="B796" s="3" t="s">
        <v>2843</v>
      </c>
      <c r="C796" t="s">
        <v>1019</v>
      </c>
      <c r="D796" s="9">
        <f>VLOOKUP(A796,[2]Sheet1!$A:$C,3,0)</f>
        <v>43</v>
      </c>
      <c r="J796" s="1"/>
      <c r="K796" s="2">
        <v>0</v>
      </c>
      <c r="L796" s="1">
        <v>142</v>
      </c>
      <c r="M796" s="1">
        <v>147</v>
      </c>
      <c r="N796" s="1">
        <v>152</v>
      </c>
      <c r="O796" s="1">
        <v>160</v>
      </c>
    </row>
    <row r="797" spans="1:16" x14ac:dyDescent="0.3">
      <c r="A797" t="s">
        <v>1018</v>
      </c>
      <c r="B797" s="3" t="s">
        <v>2843</v>
      </c>
      <c r="C797" t="s">
        <v>1017</v>
      </c>
      <c r="D797" s="9">
        <f>VLOOKUP(A797,[2]Sheet1!$A:$C,3,0)</f>
        <v>66</v>
      </c>
      <c r="J797" s="1"/>
      <c r="K797" s="2">
        <v>0</v>
      </c>
      <c r="L797" s="1">
        <v>168</v>
      </c>
      <c r="M797" s="1">
        <v>173</v>
      </c>
      <c r="N797" s="1">
        <v>178</v>
      </c>
      <c r="O797" s="1">
        <v>190</v>
      </c>
    </row>
    <row r="798" spans="1:16" x14ac:dyDescent="0.3">
      <c r="A798" t="s">
        <v>1016</v>
      </c>
      <c r="B798" s="3" t="s">
        <v>2843</v>
      </c>
      <c r="C798" t="s">
        <v>2938</v>
      </c>
      <c r="D798" s="9">
        <f>VLOOKUP(A798,[2]Sheet1!$A:$C,3,0)</f>
        <v>599</v>
      </c>
      <c r="J798" s="1"/>
      <c r="K798" s="1">
        <v>77</v>
      </c>
      <c r="L798" s="1">
        <v>82</v>
      </c>
      <c r="M798" s="1">
        <v>85</v>
      </c>
      <c r="N798" s="1">
        <v>88</v>
      </c>
      <c r="O798" s="1">
        <v>90</v>
      </c>
    </row>
    <row r="799" spans="1:16" x14ac:dyDescent="0.3">
      <c r="A799" t="s">
        <v>1015</v>
      </c>
      <c r="B799" s="3" t="s">
        <v>2843</v>
      </c>
      <c r="C799" t="s">
        <v>1014</v>
      </c>
      <c r="D799" s="9">
        <f>VLOOKUP(A799,[2]Sheet1!$A:$C,3,0)</f>
        <v>501</v>
      </c>
      <c r="J799" s="1"/>
      <c r="K799" s="1">
        <v>28.5</v>
      </c>
      <c r="L799" s="1">
        <v>29</v>
      </c>
      <c r="M799" s="1">
        <v>30</v>
      </c>
      <c r="N799" s="1">
        <v>32</v>
      </c>
      <c r="O799" s="1">
        <v>34</v>
      </c>
    </row>
    <row r="800" spans="1:16" x14ac:dyDescent="0.3">
      <c r="A800" t="s">
        <v>1013</v>
      </c>
      <c r="B800" s="3" t="s">
        <v>2843</v>
      </c>
      <c r="C800" t="s">
        <v>1012</v>
      </c>
      <c r="D800" s="9">
        <f>VLOOKUP(A800,[2]Sheet1!$A:$C,3,0)</f>
        <v>64</v>
      </c>
      <c r="J800" s="1"/>
      <c r="K800" s="2">
        <v>0</v>
      </c>
      <c r="L800" s="1">
        <v>109</v>
      </c>
      <c r="M800" s="1">
        <v>112</v>
      </c>
      <c r="N800" s="1">
        <v>116</v>
      </c>
      <c r="O800" s="1">
        <v>123</v>
      </c>
    </row>
    <row r="801" spans="1:15" x14ac:dyDescent="0.3">
      <c r="A801" t="s">
        <v>1011</v>
      </c>
      <c r="B801" s="3" t="s">
        <v>2843</v>
      </c>
      <c r="C801" t="s">
        <v>1010</v>
      </c>
      <c r="D801" s="9">
        <f>VLOOKUP(A801,[2]Sheet1!$A:$C,3,0)</f>
        <v>339</v>
      </c>
      <c r="J801" s="1"/>
      <c r="K801" s="1">
        <v>28.5</v>
      </c>
      <c r="L801" s="1">
        <v>29</v>
      </c>
      <c r="M801" s="1">
        <v>30</v>
      </c>
      <c r="N801" s="1">
        <v>32</v>
      </c>
      <c r="O801" s="1">
        <v>34</v>
      </c>
    </row>
    <row r="802" spans="1:15" x14ac:dyDescent="0.3">
      <c r="A802" t="s">
        <v>1009</v>
      </c>
      <c r="B802" s="3" t="s">
        <v>2843</v>
      </c>
      <c r="C802" t="s">
        <v>1008</v>
      </c>
      <c r="D802" s="9">
        <f>VLOOKUP(A802,[2]Sheet1!$A:$C,3,0)</f>
        <v>50</v>
      </c>
      <c r="J802" s="1"/>
      <c r="K802" s="2">
        <v>0</v>
      </c>
      <c r="L802" s="1">
        <v>109</v>
      </c>
      <c r="M802" s="1">
        <v>112</v>
      </c>
      <c r="N802" s="1">
        <v>116</v>
      </c>
      <c r="O802" s="1">
        <v>123</v>
      </c>
    </row>
    <row r="803" spans="1:15" x14ac:dyDescent="0.3">
      <c r="A803" t="s">
        <v>981</v>
      </c>
      <c r="B803" s="3" t="s">
        <v>2843</v>
      </c>
      <c r="C803" t="s">
        <v>980</v>
      </c>
      <c r="D803" s="9">
        <f>VLOOKUP(A803,[2]Sheet1!$A:$C,3,0)</f>
        <v>886</v>
      </c>
      <c r="E803" s="3" t="s">
        <v>2943</v>
      </c>
      <c r="J803" s="1"/>
      <c r="K803" s="1">
        <v>48</v>
      </c>
      <c r="L803" s="1">
        <v>50</v>
      </c>
      <c r="M803" s="1">
        <v>52</v>
      </c>
      <c r="N803" s="1">
        <v>55</v>
      </c>
      <c r="O803" s="1">
        <v>58</v>
      </c>
    </row>
    <row r="804" spans="1:15" x14ac:dyDescent="0.3">
      <c r="A804" t="s">
        <v>979</v>
      </c>
      <c r="B804" s="3" t="s">
        <v>2843</v>
      </c>
      <c r="C804" t="s">
        <v>978</v>
      </c>
      <c r="D804" s="9">
        <f>VLOOKUP(A804,[2]Sheet1!$A:$C,3,0)</f>
        <v>111</v>
      </c>
      <c r="J804" s="1"/>
      <c r="K804" s="2">
        <v>0</v>
      </c>
      <c r="L804" s="1">
        <v>142</v>
      </c>
      <c r="M804" s="1">
        <v>147</v>
      </c>
      <c r="N804" s="1">
        <v>152</v>
      </c>
      <c r="O804" s="1">
        <v>160</v>
      </c>
    </row>
    <row r="805" spans="1:15" x14ac:dyDescent="0.3">
      <c r="A805" t="s">
        <v>977</v>
      </c>
      <c r="B805" s="3" t="s">
        <v>2843</v>
      </c>
      <c r="C805" t="s">
        <v>976</v>
      </c>
      <c r="D805" s="9">
        <f>VLOOKUP(A805,[2]Sheet1!$A:$C,3,0)</f>
        <v>753</v>
      </c>
      <c r="J805" s="1"/>
      <c r="K805" s="1">
        <v>77</v>
      </c>
      <c r="L805" s="1">
        <v>82</v>
      </c>
      <c r="M805" s="1">
        <v>85</v>
      </c>
      <c r="N805" s="1">
        <v>88</v>
      </c>
      <c r="O805" s="1">
        <v>90</v>
      </c>
    </row>
    <row r="806" spans="1:15" x14ac:dyDescent="0.3">
      <c r="A806" t="s">
        <v>975</v>
      </c>
      <c r="B806" s="3" t="s">
        <v>2843</v>
      </c>
      <c r="C806" t="s">
        <v>974</v>
      </c>
      <c r="D806" s="9">
        <f>VLOOKUP(A806,[2]Sheet1!$A:$C,3,0)</f>
        <v>78</v>
      </c>
      <c r="J806" s="1"/>
      <c r="K806" s="2">
        <v>0</v>
      </c>
      <c r="L806" s="1">
        <v>168</v>
      </c>
      <c r="M806" s="1">
        <v>173</v>
      </c>
      <c r="N806" s="1">
        <v>178</v>
      </c>
      <c r="O806" s="1">
        <v>190</v>
      </c>
    </row>
    <row r="807" spans="1:15" x14ac:dyDescent="0.3">
      <c r="A807" t="s">
        <v>973</v>
      </c>
      <c r="B807" s="3" t="s">
        <v>2843</v>
      </c>
      <c r="C807" t="s">
        <v>972</v>
      </c>
      <c r="D807" s="9">
        <f>VLOOKUP(A807,[2]Sheet1!$A:$C,3,0)</f>
        <v>762</v>
      </c>
      <c r="J807" s="1"/>
      <c r="K807" s="1">
        <v>28.5</v>
      </c>
      <c r="L807" s="1">
        <v>29</v>
      </c>
      <c r="M807" s="1">
        <v>30</v>
      </c>
      <c r="N807" s="1">
        <v>32</v>
      </c>
      <c r="O807" s="1">
        <v>34</v>
      </c>
    </row>
    <row r="808" spans="1:15" x14ac:dyDescent="0.3">
      <c r="A808" t="s">
        <v>971</v>
      </c>
      <c r="B808" s="3" t="s">
        <v>2843</v>
      </c>
      <c r="C808" t="s">
        <v>970</v>
      </c>
      <c r="D808" s="9">
        <f>VLOOKUP(A808,[2]Sheet1!$A:$C,3,0)</f>
        <v>55</v>
      </c>
      <c r="J808" s="1"/>
      <c r="K808" s="2">
        <v>0</v>
      </c>
      <c r="L808" s="1">
        <v>109</v>
      </c>
      <c r="M808" s="1">
        <v>112</v>
      </c>
      <c r="N808" s="1">
        <v>116</v>
      </c>
      <c r="O808" s="1">
        <v>123</v>
      </c>
    </row>
    <row r="809" spans="1:15" x14ac:dyDescent="0.3">
      <c r="A809" t="s">
        <v>969</v>
      </c>
      <c r="B809" s="3" t="s">
        <v>2843</v>
      </c>
      <c r="C809" t="s">
        <v>968</v>
      </c>
      <c r="D809" s="9">
        <f>VLOOKUP(A809,[2]Sheet1!$A:$C,3,0)</f>
        <v>1258</v>
      </c>
      <c r="J809" s="1"/>
      <c r="K809" s="1">
        <v>28.5</v>
      </c>
      <c r="L809" s="1">
        <v>29</v>
      </c>
      <c r="M809" s="1">
        <v>30</v>
      </c>
      <c r="N809" s="1">
        <v>32</v>
      </c>
      <c r="O809" s="1">
        <v>34</v>
      </c>
    </row>
    <row r="810" spans="1:15" x14ac:dyDescent="0.3">
      <c r="A810" t="s">
        <v>967</v>
      </c>
      <c r="B810" s="3" t="s">
        <v>2843</v>
      </c>
      <c r="C810" t="s">
        <v>966</v>
      </c>
      <c r="D810" s="9">
        <f>VLOOKUP(A810,[2]Sheet1!$A:$C,3,0)</f>
        <v>97</v>
      </c>
      <c r="J810" s="1"/>
      <c r="K810" s="2">
        <v>0</v>
      </c>
      <c r="L810" s="1">
        <v>109</v>
      </c>
      <c r="M810" s="1">
        <v>112</v>
      </c>
      <c r="N810" s="1">
        <v>116</v>
      </c>
      <c r="O810" s="1">
        <v>123</v>
      </c>
    </row>
    <row r="811" spans="1:15" x14ac:dyDescent="0.3">
      <c r="A811" t="s">
        <v>943</v>
      </c>
      <c r="B811" s="3" t="s">
        <v>2843</v>
      </c>
      <c r="C811" t="s">
        <v>942</v>
      </c>
      <c r="D811" s="9">
        <f>VLOOKUP(A811,[2]Sheet1!$A:$C,3,0)</f>
        <v>4077</v>
      </c>
      <c r="E811" s="3" t="s">
        <v>2943</v>
      </c>
      <c r="J811" s="1"/>
      <c r="K811" s="1">
        <v>48</v>
      </c>
      <c r="L811" s="1">
        <v>50</v>
      </c>
      <c r="M811" s="1">
        <v>52</v>
      </c>
      <c r="N811" s="1">
        <v>55</v>
      </c>
      <c r="O811" s="1">
        <v>58</v>
      </c>
    </row>
    <row r="812" spans="1:15" x14ac:dyDescent="0.3">
      <c r="A812" t="s">
        <v>941</v>
      </c>
      <c r="B812" s="3" t="s">
        <v>2843</v>
      </c>
      <c r="C812" t="s">
        <v>940</v>
      </c>
      <c r="D812" s="9">
        <f>VLOOKUP(A812,[2]Sheet1!$A:$C,3,0)</f>
        <v>183</v>
      </c>
      <c r="J812" s="1"/>
      <c r="K812" s="2">
        <v>0</v>
      </c>
      <c r="L812" s="1">
        <v>142</v>
      </c>
      <c r="M812" s="1">
        <v>147</v>
      </c>
      <c r="N812" s="1">
        <v>152</v>
      </c>
      <c r="O812" s="1">
        <v>160</v>
      </c>
    </row>
    <row r="813" spans="1:15" x14ac:dyDescent="0.3">
      <c r="A813" t="s">
        <v>939</v>
      </c>
      <c r="B813" s="3" t="s">
        <v>2843</v>
      </c>
      <c r="C813" t="s">
        <v>938</v>
      </c>
      <c r="D813" s="9">
        <f>VLOOKUP(A813,[2]Sheet1!$A:$C,3,0)</f>
        <v>1387</v>
      </c>
      <c r="J813" s="1"/>
      <c r="K813" s="1">
        <v>77</v>
      </c>
      <c r="L813" s="1">
        <v>82</v>
      </c>
      <c r="M813" s="1">
        <v>85</v>
      </c>
      <c r="N813" s="1">
        <v>88</v>
      </c>
      <c r="O813" s="1">
        <v>90</v>
      </c>
    </row>
    <row r="814" spans="1:15" x14ac:dyDescent="0.3">
      <c r="A814" t="s">
        <v>937</v>
      </c>
      <c r="B814" s="3" t="s">
        <v>2843</v>
      </c>
      <c r="C814" t="s">
        <v>936</v>
      </c>
      <c r="D814" s="9">
        <f>VLOOKUP(A814,[2]Sheet1!$A:$C,3,0)</f>
        <v>197</v>
      </c>
      <c r="J814" s="1"/>
      <c r="K814" s="2">
        <v>0</v>
      </c>
      <c r="L814" s="1">
        <v>168</v>
      </c>
      <c r="M814" s="1">
        <v>173</v>
      </c>
      <c r="N814" s="1">
        <v>178</v>
      </c>
      <c r="O814" s="1">
        <v>190</v>
      </c>
    </row>
    <row r="815" spans="1:15" x14ac:dyDescent="0.3">
      <c r="A815" t="s">
        <v>935</v>
      </c>
      <c r="B815" s="3" t="s">
        <v>2843</v>
      </c>
      <c r="C815" t="s">
        <v>934</v>
      </c>
      <c r="D815" s="9">
        <f>VLOOKUP(A815,[2]Sheet1!$A:$C,3,0)</f>
        <v>1514</v>
      </c>
      <c r="J815" s="1"/>
      <c r="K815" s="1">
        <v>28.5</v>
      </c>
      <c r="L815" s="1">
        <v>29</v>
      </c>
      <c r="M815" s="1">
        <v>30</v>
      </c>
      <c r="N815" s="1">
        <v>32</v>
      </c>
      <c r="O815" s="1">
        <v>34</v>
      </c>
    </row>
    <row r="816" spans="1:15" x14ac:dyDescent="0.3">
      <c r="A816" t="s">
        <v>933</v>
      </c>
      <c r="B816" s="3" t="s">
        <v>2843</v>
      </c>
      <c r="C816" t="s">
        <v>932</v>
      </c>
      <c r="D816" s="9">
        <f>VLOOKUP(A816,[2]Sheet1!$A:$C,3,0)</f>
        <v>297</v>
      </c>
      <c r="J816" s="1"/>
      <c r="K816" s="2">
        <v>0</v>
      </c>
      <c r="L816" s="1">
        <v>109</v>
      </c>
      <c r="M816" s="1">
        <v>112</v>
      </c>
      <c r="N816" s="1">
        <v>116</v>
      </c>
      <c r="O816" s="1">
        <v>123</v>
      </c>
    </row>
    <row r="817" spans="1:16" x14ac:dyDescent="0.3">
      <c r="A817" t="s">
        <v>931</v>
      </c>
      <c r="B817" s="3" t="s">
        <v>2843</v>
      </c>
      <c r="C817" t="s">
        <v>930</v>
      </c>
      <c r="D817" s="9">
        <f>VLOOKUP(A817,[2]Sheet1!$A:$C,3,0)</f>
        <v>1540</v>
      </c>
      <c r="J817" s="1"/>
      <c r="K817" s="1">
        <v>28.5</v>
      </c>
      <c r="L817" s="1">
        <v>29</v>
      </c>
      <c r="M817" s="1">
        <v>30</v>
      </c>
      <c r="N817" s="1">
        <v>32</v>
      </c>
      <c r="O817" s="1">
        <v>34</v>
      </c>
    </row>
    <row r="818" spans="1:16" x14ac:dyDescent="0.3">
      <c r="A818" t="s">
        <v>929</v>
      </c>
      <c r="B818" s="3" t="s">
        <v>2843</v>
      </c>
      <c r="C818" t="s">
        <v>928</v>
      </c>
      <c r="D818" s="9">
        <f>VLOOKUP(A818,[2]Sheet1!$A:$C,3,0)</f>
        <v>273</v>
      </c>
      <c r="J818" s="1"/>
      <c r="K818" s="2">
        <v>0</v>
      </c>
      <c r="L818" s="1">
        <v>109</v>
      </c>
      <c r="M818" s="1">
        <v>112</v>
      </c>
      <c r="N818" s="1">
        <v>116</v>
      </c>
      <c r="O818" s="1">
        <v>123</v>
      </c>
    </row>
    <row r="819" spans="1:16" x14ac:dyDescent="0.3">
      <c r="A819" t="s">
        <v>908</v>
      </c>
      <c r="B819" s="3" t="s">
        <v>2843</v>
      </c>
      <c r="C819" t="s">
        <v>907</v>
      </c>
      <c r="D819" s="9">
        <f>VLOOKUP(A819,[2]Sheet1!$A:$C,3,0)</f>
        <v>4397</v>
      </c>
      <c r="E819" s="3" t="s">
        <v>2943</v>
      </c>
      <c r="J819" s="1"/>
      <c r="K819" s="1">
        <v>48</v>
      </c>
      <c r="L819" s="1">
        <v>50</v>
      </c>
      <c r="M819" s="1">
        <v>52</v>
      </c>
      <c r="N819" s="1">
        <v>55</v>
      </c>
      <c r="O819" s="1">
        <v>58</v>
      </c>
    </row>
    <row r="820" spans="1:16" x14ac:dyDescent="0.3">
      <c r="A820" t="s">
        <v>906</v>
      </c>
      <c r="B820" s="3" t="s">
        <v>2843</v>
      </c>
      <c r="C820" t="s">
        <v>905</v>
      </c>
      <c r="D820" s="9">
        <f>VLOOKUP(A820,[2]Sheet1!$A:$C,3,0)</f>
        <v>256</v>
      </c>
      <c r="J820" s="1"/>
      <c r="K820" s="2">
        <v>0</v>
      </c>
      <c r="L820" s="1">
        <v>142</v>
      </c>
      <c r="M820" s="1">
        <v>147</v>
      </c>
      <c r="N820" s="1">
        <v>152</v>
      </c>
      <c r="O820" s="1">
        <v>160</v>
      </c>
    </row>
    <row r="821" spans="1:16" x14ac:dyDescent="0.3">
      <c r="A821" t="s">
        <v>904</v>
      </c>
      <c r="B821" s="3" t="s">
        <v>2843</v>
      </c>
      <c r="C821" t="s">
        <v>903</v>
      </c>
      <c r="D821" s="9">
        <f>VLOOKUP(A821,[2]Sheet1!$A:$C,3,0)</f>
        <v>1302</v>
      </c>
      <c r="J821" s="1"/>
      <c r="K821" s="1">
        <v>77</v>
      </c>
      <c r="L821" s="1">
        <v>82</v>
      </c>
      <c r="M821" s="1">
        <v>85</v>
      </c>
      <c r="N821" s="1">
        <v>88</v>
      </c>
      <c r="O821" s="1">
        <v>90</v>
      </c>
    </row>
    <row r="822" spans="1:16" x14ac:dyDescent="0.3">
      <c r="A822" t="s">
        <v>902</v>
      </c>
      <c r="B822" s="3" t="s">
        <v>2843</v>
      </c>
      <c r="C822" t="s">
        <v>901</v>
      </c>
      <c r="D822" s="9">
        <f>VLOOKUP(A822,[2]Sheet1!$A:$C,3,0)</f>
        <v>157</v>
      </c>
      <c r="J822" s="1"/>
      <c r="K822" s="2">
        <v>0</v>
      </c>
      <c r="L822" s="1">
        <v>168</v>
      </c>
      <c r="M822" s="1">
        <v>173</v>
      </c>
      <c r="N822" s="1">
        <v>178</v>
      </c>
      <c r="O822" s="1">
        <v>190</v>
      </c>
    </row>
    <row r="823" spans="1:16" x14ac:dyDescent="0.3">
      <c r="A823" t="s">
        <v>900</v>
      </c>
      <c r="B823" s="3" t="s">
        <v>2843</v>
      </c>
      <c r="C823" t="s">
        <v>899</v>
      </c>
      <c r="D823" s="9">
        <f>VLOOKUP(A823,[2]Sheet1!$A:$C,3,0)</f>
        <v>1646</v>
      </c>
      <c r="J823" s="1"/>
      <c r="K823" s="1">
        <v>28.5</v>
      </c>
      <c r="L823" s="1">
        <v>29</v>
      </c>
      <c r="M823" s="1">
        <v>30</v>
      </c>
      <c r="N823" s="1">
        <v>32</v>
      </c>
      <c r="O823" s="1">
        <v>34</v>
      </c>
    </row>
    <row r="824" spans="1:16" x14ac:dyDescent="0.3">
      <c r="A824" t="s">
        <v>898</v>
      </c>
      <c r="B824" s="3" t="s">
        <v>2843</v>
      </c>
      <c r="C824" t="s">
        <v>897</v>
      </c>
      <c r="D824" s="9">
        <f>VLOOKUP(A824,[2]Sheet1!$A:$C,3,0)</f>
        <v>127</v>
      </c>
      <c r="J824" s="1"/>
      <c r="K824" s="2">
        <v>0</v>
      </c>
      <c r="L824" s="1">
        <v>109</v>
      </c>
      <c r="M824" s="1">
        <v>112</v>
      </c>
      <c r="N824" s="1">
        <v>116</v>
      </c>
      <c r="O824" s="1">
        <v>123</v>
      </c>
    </row>
    <row r="825" spans="1:16" x14ac:dyDescent="0.3">
      <c r="A825" t="s">
        <v>896</v>
      </c>
      <c r="B825" s="3" t="s">
        <v>2843</v>
      </c>
      <c r="C825" t="s">
        <v>895</v>
      </c>
      <c r="D825" s="9">
        <f>VLOOKUP(A825,[2]Sheet1!$A:$C,3,0)</f>
        <v>1742</v>
      </c>
      <c r="J825" s="1"/>
      <c r="K825" s="1">
        <v>28.5</v>
      </c>
      <c r="L825" s="1">
        <v>29</v>
      </c>
      <c r="M825" s="1">
        <v>30</v>
      </c>
      <c r="N825" s="1">
        <v>32</v>
      </c>
      <c r="O825" s="1">
        <v>34</v>
      </c>
    </row>
    <row r="826" spans="1:16" x14ac:dyDescent="0.3">
      <c r="A826" t="s">
        <v>894</v>
      </c>
      <c r="B826" s="3" t="s">
        <v>2843</v>
      </c>
      <c r="C826" t="s">
        <v>893</v>
      </c>
      <c r="D826" s="9">
        <f>VLOOKUP(A826,[2]Sheet1!$A:$C,3,0)</f>
        <v>125</v>
      </c>
      <c r="J826" s="1"/>
      <c r="K826" s="2">
        <v>0</v>
      </c>
      <c r="L826" s="1">
        <v>109</v>
      </c>
      <c r="M826" s="1">
        <v>112</v>
      </c>
      <c r="N826" s="1">
        <v>116</v>
      </c>
      <c r="O826" s="1">
        <v>123</v>
      </c>
    </row>
    <row r="827" spans="1:16" x14ac:dyDescent="0.3">
      <c r="A827" t="s">
        <v>866</v>
      </c>
      <c r="B827" s="3" t="s">
        <v>2843</v>
      </c>
      <c r="C827" t="s">
        <v>865</v>
      </c>
      <c r="D827" s="9">
        <f>VLOOKUP(A827,[2]Sheet1!$A:$C,3,0)</f>
        <v>117</v>
      </c>
      <c r="J827" s="1"/>
      <c r="K827" s="2">
        <v>0</v>
      </c>
      <c r="L827" s="1">
        <v>63</v>
      </c>
      <c r="M827" s="1">
        <v>65</v>
      </c>
      <c r="N827" s="1">
        <v>60</v>
      </c>
      <c r="O827" s="1">
        <v>75</v>
      </c>
    </row>
    <row r="828" spans="1:16" x14ac:dyDescent="0.3">
      <c r="A828" t="s">
        <v>1007</v>
      </c>
      <c r="B828" s="3" t="s">
        <v>2843</v>
      </c>
      <c r="C828" t="s">
        <v>1006</v>
      </c>
      <c r="D828" s="9">
        <f>VLOOKUP(A828,[2]Sheet1!$A:$C,3,0)</f>
        <v>0</v>
      </c>
      <c r="J828" s="1"/>
      <c r="K828" s="2">
        <v>0</v>
      </c>
      <c r="L828" s="1">
        <v>160</v>
      </c>
      <c r="M828" s="1">
        <v>165</v>
      </c>
      <c r="N828" s="1">
        <v>175</v>
      </c>
      <c r="O828" s="1">
        <v>200</v>
      </c>
    </row>
    <row r="829" spans="1:16" x14ac:dyDescent="0.3">
      <c r="A829" t="s">
        <v>965</v>
      </c>
      <c r="B829" s="3" t="s">
        <v>2843</v>
      </c>
      <c r="C829" t="s">
        <v>964</v>
      </c>
      <c r="D829" s="9">
        <f>VLOOKUP(A829,[2]Sheet1!$A:$C,3,0)</f>
        <v>0</v>
      </c>
      <c r="J829" s="1"/>
      <c r="K829" s="2">
        <v>0</v>
      </c>
      <c r="L829" s="1">
        <v>160</v>
      </c>
      <c r="M829" s="1">
        <v>165</v>
      </c>
      <c r="N829" s="1">
        <v>175</v>
      </c>
      <c r="O829" s="1">
        <v>200</v>
      </c>
    </row>
    <row r="830" spans="1:16" x14ac:dyDescent="0.3">
      <c r="A830" t="s">
        <v>927</v>
      </c>
      <c r="B830" s="3" t="s">
        <v>2843</v>
      </c>
      <c r="C830" t="s">
        <v>926</v>
      </c>
      <c r="D830" s="9">
        <f>VLOOKUP(A830,[2]Sheet1!$A:$C,3,0)</f>
        <v>29</v>
      </c>
      <c r="J830" s="1"/>
      <c r="K830" s="1">
        <v>180</v>
      </c>
      <c r="L830" s="1">
        <v>185</v>
      </c>
      <c r="M830" s="1">
        <v>200</v>
      </c>
      <c r="N830" s="1">
        <v>210</v>
      </c>
      <c r="O830" s="1">
        <v>220</v>
      </c>
    </row>
    <row r="831" spans="1:16" x14ac:dyDescent="0.3">
      <c r="A831" t="s">
        <v>892</v>
      </c>
      <c r="B831" s="3" t="s">
        <v>2843</v>
      </c>
      <c r="C831" t="s">
        <v>891</v>
      </c>
      <c r="D831" s="9">
        <f>VLOOKUP(A831,[2]Sheet1!$A:$C,3,0)</f>
        <v>13</v>
      </c>
      <c r="J831" s="1"/>
      <c r="K831" s="1">
        <v>180</v>
      </c>
      <c r="L831" s="1">
        <v>185</v>
      </c>
      <c r="M831" s="1">
        <v>200</v>
      </c>
      <c r="N831" s="1">
        <v>210</v>
      </c>
      <c r="O831" s="1">
        <v>220</v>
      </c>
    </row>
    <row r="832" spans="1:16" x14ac:dyDescent="0.3">
      <c r="A832" t="s">
        <v>1284</v>
      </c>
      <c r="B832" s="3" t="s">
        <v>2843</v>
      </c>
      <c r="C832" t="s">
        <v>1283</v>
      </c>
      <c r="D832" s="9">
        <f>VLOOKUP(A832,[2]Sheet1!$A:$C,3,0)</f>
        <v>679</v>
      </c>
      <c r="J832" s="1"/>
      <c r="K832" s="2">
        <v>0</v>
      </c>
      <c r="L832" s="1">
        <v>50</v>
      </c>
      <c r="M832" s="1">
        <v>52</v>
      </c>
      <c r="N832" s="1">
        <v>54</v>
      </c>
      <c r="O832" s="1">
        <v>57</v>
      </c>
      <c r="P832" t="s">
        <v>2787</v>
      </c>
    </row>
    <row r="833" spans="1:16" x14ac:dyDescent="0.3">
      <c r="A833" t="s">
        <v>1282</v>
      </c>
      <c r="B833" s="3" t="s">
        <v>2843</v>
      </c>
      <c r="C833" t="s">
        <v>1281</v>
      </c>
      <c r="D833" s="9">
        <f>VLOOKUP(A833,[2]Sheet1!$A:$C,3,0)</f>
        <v>864</v>
      </c>
      <c r="J833" s="1"/>
      <c r="K833" s="2">
        <v>0</v>
      </c>
      <c r="L833" s="1">
        <v>64</v>
      </c>
      <c r="M833" s="1">
        <v>66</v>
      </c>
      <c r="N833" s="1">
        <v>68</v>
      </c>
      <c r="O833" s="1">
        <v>72</v>
      </c>
      <c r="P833" t="s">
        <v>2787</v>
      </c>
    </row>
    <row r="834" spans="1:16" x14ac:dyDescent="0.3">
      <c r="A834" t="s">
        <v>1280</v>
      </c>
      <c r="B834" s="3" t="s">
        <v>2843</v>
      </c>
      <c r="C834" t="s">
        <v>1279</v>
      </c>
      <c r="D834" s="9">
        <f>VLOOKUP(A834,[2]Sheet1!$A:$C,3,0)</f>
        <v>770</v>
      </c>
      <c r="J834" s="1"/>
      <c r="K834" s="2">
        <v>0</v>
      </c>
      <c r="L834" s="1">
        <v>76</v>
      </c>
      <c r="M834" s="1">
        <v>79</v>
      </c>
      <c r="N834" s="1">
        <v>81</v>
      </c>
      <c r="O834" s="1">
        <v>86</v>
      </c>
      <c r="P834" t="s">
        <v>2787</v>
      </c>
    </row>
    <row r="835" spans="1:16" x14ac:dyDescent="0.3">
      <c r="A835" t="s">
        <v>1278</v>
      </c>
      <c r="B835" s="3" t="s">
        <v>2843</v>
      </c>
      <c r="C835" t="s">
        <v>1277</v>
      </c>
      <c r="D835" s="9">
        <f>VLOOKUP(A835,[2]Sheet1!$A:$C,3,0)</f>
        <v>451</v>
      </c>
      <c r="J835" s="1"/>
      <c r="K835" s="2">
        <v>0</v>
      </c>
      <c r="L835" s="1">
        <v>88</v>
      </c>
      <c r="M835" s="1">
        <v>90.5</v>
      </c>
      <c r="N835" s="1">
        <v>94</v>
      </c>
      <c r="O835" s="1">
        <v>100</v>
      </c>
      <c r="P835" t="s">
        <v>2787</v>
      </c>
    </row>
    <row r="836" spans="1:16" x14ac:dyDescent="0.3">
      <c r="A836" t="s">
        <v>1276</v>
      </c>
      <c r="B836" s="3" t="s">
        <v>2843</v>
      </c>
      <c r="C836" t="s">
        <v>1275</v>
      </c>
      <c r="D836" s="9">
        <f>VLOOKUP(A836,[2]Sheet1!$A:$C,3,0)</f>
        <v>628</v>
      </c>
      <c r="J836" s="1"/>
      <c r="K836" s="2">
        <v>0</v>
      </c>
      <c r="L836" s="1">
        <v>100</v>
      </c>
      <c r="M836" s="1">
        <v>103</v>
      </c>
      <c r="N836" s="1">
        <v>108</v>
      </c>
      <c r="O836" s="1">
        <v>113</v>
      </c>
      <c r="P836" t="s">
        <v>2787</v>
      </c>
    </row>
    <row r="837" spans="1:16" x14ac:dyDescent="0.3">
      <c r="A837" t="s">
        <v>1274</v>
      </c>
      <c r="B837" s="3" t="s">
        <v>2843</v>
      </c>
      <c r="C837" t="s">
        <v>1273</v>
      </c>
      <c r="D837" s="9">
        <f>VLOOKUP(A837,[2]Sheet1!$A:$C,3,0)</f>
        <v>228</v>
      </c>
      <c r="J837" s="1"/>
      <c r="K837" s="2">
        <v>0</v>
      </c>
      <c r="L837" s="1">
        <v>127</v>
      </c>
      <c r="M837" s="1">
        <v>131</v>
      </c>
      <c r="N837" s="1">
        <v>135</v>
      </c>
      <c r="O837" s="1">
        <v>145</v>
      </c>
      <c r="P837" t="s">
        <v>2787</v>
      </c>
    </row>
    <row r="838" spans="1:16" x14ac:dyDescent="0.3">
      <c r="A838" t="s">
        <v>1272</v>
      </c>
      <c r="B838" s="3" t="s">
        <v>2843</v>
      </c>
      <c r="C838" t="s">
        <v>1271</v>
      </c>
      <c r="D838" s="9">
        <f>VLOOKUP(A838,[2]Sheet1!$A:$C,3,0)</f>
        <v>249</v>
      </c>
      <c r="J838" s="1"/>
      <c r="K838" s="2">
        <v>0</v>
      </c>
      <c r="L838" s="1">
        <v>142</v>
      </c>
      <c r="M838" s="1">
        <v>147</v>
      </c>
      <c r="N838" s="1">
        <v>155</v>
      </c>
      <c r="O838" s="1">
        <v>160</v>
      </c>
      <c r="P838" t="s">
        <v>2787</v>
      </c>
    </row>
    <row r="839" spans="1:16" x14ac:dyDescent="0.3">
      <c r="A839" t="s">
        <v>1270</v>
      </c>
      <c r="B839" s="3" t="s">
        <v>2843</v>
      </c>
      <c r="C839" t="s">
        <v>1269</v>
      </c>
      <c r="D839" s="9">
        <f>VLOOKUP(A839,[2]Sheet1!$A:$C,3,0)</f>
        <v>0</v>
      </c>
      <c r="J839" s="1"/>
      <c r="K839" s="2">
        <v>0</v>
      </c>
      <c r="L839" s="1">
        <v>168</v>
      </c>
      <c r="M839" s="1">
        <v>175</v>
      </c>
      <c r="N839" s="1">
        <v>180</v>
      </c>
      <c r="O839" s="1">
        <v>190</v>
      </c>
      <c r="P839" t="s">
        <v>2787</v>
      </c>
    </row>
    <row r="840" spans="1:16" x14ac:dyDescent="0.3">
      <c r="A840" t="s">
        <v>925</v>
      </c>
      <c r="B840" s="3" t="s">
        <v>2844</v>
      </c>
      <c r="C840" t="s">
        <v>924</v>
      </c>
      <c r="D840" s="9">
        <f>VLOOKUP(A840,[2]Sheet1!$A:$C,3,0)</f>
        <v>219</v>
      </c>
      <c r="J840" s="1"/>
      <c r="K840" s="2">
        <v>0</v>
      </c>
      <c r="L840" s="1">
        <v>58</v>
      </c>
      <c r="M840" s="1">
        <v>60</v>
      </c>
      <c r="N840" s="1">
        <v>63</v>
      </c>
      <c r="O840" s="1">
        <v>65</v>
      </c>
    </row>
    <row r="841" spans="1:16" x14ac:dyDescent="0.3">
      <c r="A841" t="s">
        <v>923</v>
      </c>
      <c r="B841" s="3" t="s">
        <v>2844</v>
      </c>
      <c r="C841" t="s">
        <v>922</v>
      </c>
      <c r="D841" s="9">
        <f>VLOOKUP(A841,[2]Sheet1!$A:$C,3,0)</f>
        <v>16</v>
      </c>
      <c r="J841" s="1"/>
      <c r="K841" s="2">
        <v>0</v>
      </c>
      <c r="L841" s="1">
        <v>142</v>
      </c>
      <c r="M841" s="1">
        <v>146</v>
      </c>
      <c r="N841" s="1">
        <v>150</v>
      </c>
      <c r="O841" s="1">
        <v>160</v>
      </c>
    </row>
    <row r="842" spans="1:16" x14ac:dyDescent="0.3">
      <c r="A842" t="s">
        <v>921</v>
      </c>
      <c r="B842" s="3" t="s">
        <v>2844</v>
      </c>
      <c r="C842" t="s">
        <v>920</v>
      </c>
      <c r="D842" s="9">
        <f>VLOOKUP(A842,[2]Sheet1!$A:$C,3,0)</f>
        <v>53</v>
      </c>
      <c r="J842" s="1"/>
      <c r="K842" s="2">
        <v>0</v>
      </c>
      <c r="L842" s="1">
        <v>32.5</v>
      </c>
      <c r="M842" s="1">
        <v>33.5</v>
      </c>
      <c r="N842" s="1">
        <v>34.5</v>
      </c>
      <c r="O842" s="1">
        <v>36.5</v>
      </c>
    </row>
    <row r="843" spans="1:16" x14ac:dyDescent="0.3">
      <c r="A843" t="s">
        <v>919</v>
      </c>
      <c r="B843" s="3" t="s">
        <v>2844</v>
      </c>
      <c r="C843" t="s">
        <v>918</v>
      </c>
      <c r="D843" s="9">
        <f>VLOOKUP(A843,[2]Sheet1!$A:$C,3,0)</f>
        <v>60</v>
      </c>
      <c r="J843" s="1"/>
      <c r="K843" s="2">
        <v>0</v>
      </c>
      <c r="L843" s="1">
        <v>32.5</v>
      </c>
      <c r="M843" s="1">
        <v>33.5</v>
      </c>
      <c r="N843" s="1">
        <v>34.5</v>
      </c>
      <c r="O843" s="1">
        <v>36.5</v>
      </c>
    </row>
    <row r="844" spans="1:16" x14ac:dyDescent="0.3">
      <c r="A844" t="s">
        <v>890</v>
      </c>
      <c r="B844" s="3" t="s">
        <v>2844</v>
      </c>
      <c r="C844" t="s">
        <v>889</v>
      </c>
      <c r="D844" s="9">
        <f>VLOOKUP(A844,[2]Sheet1!$A:$C,3,0)</f>
        <v>548</v>
      </c>
      <c r="J844" s="1"/>
      <c r="K844" s="2">
        <v>0</v>
      </c>
      <c r="L844" s="1">
        <v>58</v>
      </c>
      <c r="M844" s="1">
        <v>60</v>
      </c>
      <c r="N844" s="1">
        <v>63</v>
      </c>
      <c r="O844" s="1">
        <v>65</v>
      </c>
    </row>
    <row r="845" spans="1:16" x14ac:dyDescent="0.3">
      <c r="A845" t="s">
        <v>888</v>
      </c>
      <c r="B845" s="3" t="s">
        <v>2844</v>
      </c>
      <c r="C845" t="s">
        <v>887</v>
      </c>
      <c r="D845" s="9">
        <f>VLOOKUP(A845,[2]Sheet1!$A:$C,3,0)</f>
        <v>37</v>
      </c>
      <c r="J845" s="1"/>
      <c r="K845" s="2">
        <v>0</v>
      </c>
      <c r="L845" s="1">
        <v>142</v>
      </c>
      <c r="M845" s="1">
        <v>146</v>
      </c>
      <c r="N845" s="1">
        <v>150</v>
      </c>
      <c r="O845" s="1">
        <v>160</v>
      </c>
    </row>
    <row r="846" spans="1:16" x14ac:dyDescent="0.3">
      <c r="A846" t="s">
        <v>886</v>
      </c>
      <c r="B846" s="3" t="s">
        <v>2844</v>
      </c>
      <c r="C846" t="s">
        <v>885</v>
      </c>
      <c r="D846" s="9">
        <f>VLOOKUP(A846,[2]Sheet1!$A:$C,3,0)</f>
        <v>23</v>
      </c>
      <c r="J846" s="1"/>
      <c r="K846" s="2">
        <v>0</v>
      </c>
      <c r="L846" s="1">
        <v>32.5</v>
      </c>
      <c r="M846" s="1">
        <v>33.5</v>
      </c>
      <c r="N846" s="1">
        <v>34.5</v>
      </c>
      <c r="O846" s="1">
        <v>36.5</v>
      </c>
    </row>
    <row r="847" spans="1:16" x14ac:dyDescent="0.3">
      <c r="A847" t="s">
        <v>884</v>
      </c>
      <c r="B847" s="3" t="s">
        <v>2844</v>
      </c>
      <c r="C847" t="s">
        <v>883</v>
      </c>
      <c r="D847" s="9">
        <f>VLOOKUP(A847,[2]Sheet1!$A:$C,3,0)</f>
        <v>125</v>
      </c>
      <c r="J847" s="1"/>
      <c r="K847" s="2">
        <v>0</v>
      </c>
      <c r="L847" s="1">
        <v>32.5</v>
      </c>
      <c r="M847" s="1">
        <v>33.5</v>
      </c>
      <c r="N847" s="1">
        <v>34.5</v>
      </c>
      <c r="O847" s="1">
        <v>36.5</v>
      </c>
    </row>
    <row r="848" spans="1:16" x14ac:dyDescent="0.3">
      <c r="A848" t="s">
        <v>1005</v>
      </c>
      <c r="B848" s="3" t="s">
        <v>2845</v>
      </c>
      <c r="C848" t="s">
        <v>1004</v>
      </c>
      <c r="D848" s="9">
        <f>VLOOKUP(A848,[2]Sheet1!$A:$C,3,0)</f>
        <v>388</v>
      </c>
      <c r="J848" s="1"/>
      <c r="K848" s="1">
        <v>180</v>
      </c>
      <c r="L848" s="1">
        <v>185</v>
      </c>
      <c r="M848" s="1">
        <v>190</v>
      </c>
      <c r="N848" s="1">
        <v>200</v>
      </c>
      <c r="O848" s="1">
        <v>215</v>
      </c>
      <c r="P848" t="s">
        <v>2782</v>
      </c>
    </row>
    <row r="849" spans="1:16" x14ac:dyDescent="0.3">
      <c r="A849" t="s">
        <v>963</v>
      </c>
      <c r="B849" s="3" t="s">
        <v>2845</v>
      </c>
      <c r="C849" t="s">
        <v>962</v>
      </c>
      <c r="D849" s="9">
        <f>VLOOKUP(A849,[2]Sheet1!$A:$C,3,0)</f>
        <v>480</v>
      </c>
      <c r="J849" s="1"/>
      <c r="K849" s="1">
        <v>180</v>
      </c>
      <c r="L849" s="1">
        <v>185</v>
      </c>
      <c r="M849" s="1">
        <v>190</v>
      </c>
      <c r="N849" s="1">
        <v>200</v>
      </c>
      <c r="O849" s="1">
        <v>215</v>
      </c>
      <c r="P849" t="s">
        <v>2782</v>
      </c>
    </row>
    <row r="850" spans="1:16" x14ac:dyDescent="0.3">
      <c r="A850" t="s">
        <v>917</v>
      </c>
      <c r="B850" s="3" t="s">
        <v>2845</v>
      </c>
      <c r="C850" t="s">
        <v>916</v>
      </c>
      <c r="D850" s="9">
        <f>VLOOKUP(A850,[2]Sheet1!$A:$C,3,0)</f>
        <v>480</v>
      </c>
      <c r="J850" s="1"/>
      <c r="K850" s="1">
        <v>180</v>
      </c>
      <c r="L850" s="1">
        <v>185</v>
      </c>
      <c r="M850" s="1">
        <v>190</v>
      </c>
      <c r="N850" s="1">
        <v>200</v>
      </c>
      <c r="O850" s="1">
        <v>215</v>
      </c>
      <c r="P850" t="s">
        <v>2782</v>
      </c>
    </row>
    <row r="851" spans="1:16" x14ac:dyDescent="0.3">
      <c r="A851" t="s">
        <v>882</v>
      </c>
      <c r="B851" s="3" t="s">
        <v>2845</v>
      </c>
      <c r="C851" t="s">
        <v>881</v>
      </c>
      <c r="D851" s="9">
        <f>VLOOKUP(A851,[2]Sheet1!$A:$C,3,0)</f>
        <v>321</v>
      </c>
      <c r="J851" s="1"/>
      <c r="K851" s="1">
        <v>180</v>
      </c>
      <c r="L851" s="1">
        <v>185</v>
      </c>
      <c r="M851" s="1">
        <v>190</v>
      </c>
      <c r="N851" s="1">
        <v>200</v>
      </c>
      <c r="O851" s="1">
        <v>215</v>
      </c>
      <c r="P851" t="s">
        <v>2782</v>
      </c>
    </row>
    <row r="852" spans="1:16" x14ac:dyDescent="0.3">
      <c r="A852" t="s">
        <v>1003</v>
      </c>
      <c r="B852" s="3" t="s">
        <v>2845</v>
      </c>
      <c r="C852" t="s">
        <v>1002</v>
      </c>
      <c r="D852" s="9">
        <f>VLOOKUP(A852,[2]Sheet1!$A:$C,3,0)</f>
        <v>287</v>
      </c>
      <c r="J852" s="1"/>
      <c r="K852" s="1">
        <v>180</v>
      </c>
      <c r="L852" s="1">
        <v>185</v>
      </c>
      <c r="M852" s="1">
        <v>190</v>
      </c>
      <c r="N852" s="1">
        <v>200</v>
      </c>
      <c r="O852" s="1">
        <v>215</v>
      </c>
      <c r="P852" t="s">
        <v>2783</v>
      </c>
    </row>
    <row r="853" spans="1:16" x14ac:dyDescent="0.3">
      <c r="A853" t="s">
        <v>961</v>
      </c>
      <c r="B853" s="3" t="s">
        <v>2845</v>
      </c>
      <c r="C853" t="s">
        <v>960</v>
      </c>
      <c r="D853" s="9">
        <f>VLOOKUP(A853,[2]Sheet1!$A:$C,3,0)</f>
        <v>448</v>
      </c>
      <c r="J853" s="1"/>
      <c r="K853" s="1">
        <v>180</v>
      </c>
      <c r="L853" s="1">
        <v>185</v>
      </c>
      <c r="M853" s="1">
        <v>190</v>
      </c>
      <c r="N853" s="1">
        <v>200</v>
      </c>
      <c r="O853" s="1">
        <v>215</v>
      </c>
      <c r="P853" t="s">
        <v>2783</v>
      </c>
    </row>
    <row r="854" spans="1:16" x14ac:dyDescent="0.3">
      <c r="A854" t="s">
        <v>915</v>
      </c>
      <c r="B854" s="3" t="s">
        <v>2845</v>
      </c>
      <c r="C854" t="s">
        <v>914</v>
      </c>
      <c r="D854" s="9">
        <f>VLOOKUP(A854,[2]Sheet1!$A:$C,3,0)</f>
        <v>425</v>
      </c>
      <c r="J854" s="1"/>
      <c r="K854" s="1">
        <v>180</v>
      </c>
      <c r="L854" s="1">
        <v>185</v>
      </c>
      <c r="M854" s="1">
        <v>190</v>
      </c>
      <c r="N854" s="1">
        <v>200</v>
      </c>
      <c r="O854" s="1">
        <v>215</v>
      </c>
      <c r="P854" t="s">
        <v>2783</v>
      </c>
    </row>
    <row r="855" spans="1:16" x14ac:dyDescent="0.3">
      <c r="A855" t="s">
        <v>880</v>
      </c>
      <c r="B855" s="3" t="s">
        <v>2845</v>
      </c>
      <c r="C855" t="s">
        <v>879</v>
      </c>
      <c r="D855" s="9">
        <f>VLOOKUP(A855,[2]Sheet1!$A:$C,3,0)</f>
        <v>758</v>
      </c>
      <c r="J855" s="1"/>
      <c r="K855" s="1">
        <v>180</v>
      </c>
      <c r="L855" s="1">
        <v>185</v>
      </c>
      <c r="M855" s="1">
        <v>190</v>
      </c>
      <c r="N855" s="1">
        <v>200</v>
      </c>
      <c r="O855" s="1">
        <v>215</v>
      </c>
      <c r="P855" t="s">
        <v>2783</v>
      </c>
    </row>
    <row r="856" spans="1:16" x14ac:dyDescent="0.3">
      <c r="A856" t="s">
        <v>1001</v>
      </c>
      <c r="B856" s="3" t="s">
        <v>2846</v>
      </c>
      <c r="C856" t="s">
        <v>1000</v>
      </c>
      <c r="D856" s="9">
        <f>VLOOKUP(A856,[2]Sheet1!$A:$C,3,0)</f>
        <v>47</v>
      </c>
      <c r="J856" s="1"/>
      <c r="K856" s="1">
        <v>137.5</v>
      </c>
      <c r="L856" s="1">
        <v>143</v>
      </c>
      <c r="M856" s="1">
        <v>148.5</v>
      </c>
      <c r="N856" s="1">
        <v>159.5</v>
      </c>
      <c r="O856" s="1">
        <v>165</v>
      </c>
    </row>
    <row r="857" spans="1:16" x14ac:dyDescent="0.3">
      <c r="A857" t="s">
        <v>999</v>
      </c>
      <c r="B857" s="3" t="s">
        <v>2846</v>
      </c>
      <c r="C857" t="s">
        <v>998</v>
      </c>
      <c r="D857" s="9">
        <f>VLOOKUP(A857,[2]Sheet1!$A:$C,3,0)</f>
        <v>337</v>
      </c>
      <c r="J857" s="1"/>
      <c r="K857" s="1">
        <v>150</v>
      </c>
      <c r="L857" s="1">
        <v>156</v>
      </c>
      <c r="M857" s="1">
        <v>162</v>
      </c>
      <c r="N857" s="1">
        <v>174</v>
      </c>
      <c r="O857" s="1">
        <v>180</v>
      </c>
    </row>
    <row r="858" spans="1:16" x14ac:dyDescent="0.3">
      <c r="A858" t="s">
        <v>959</v>
      </c>
      <c r="B858" s="3" t="s">
        <v>2846</v>
      </c>
      <c r="C858" t="s">
        <v>958</v>
      </c>
      <c r="D858" s="9">
        <f>VLOOKUP(A858,[2]Sheet1!$A:$C,3,0)</f>
        <v>157</v>
      </c>
      <c r="J858" s="1"/>
      <c r="K858" s="2">
        <v>0</v>
      </c>
      <c r="L858" s="1">
        <v>138</v>
      </c>
      <c r="M858" s="1">
        <v>142</v>
      </c>
      <c r="N858" s="1">
        <v>147</v>
      </c>
      <c r="O858" s="1">
        <v>156</v>
      </c>
    </row>
    <row r="859" spans="1:16" x14ac:dyDescent="0.3">
      <c r="A859" t="s">
        <v>957</v>
      </c>
      <c r="B859" s="3" t="s">
        <v>2846</v>
      </c>
      <c r="C859" t="s">
        <v>956</v>
      </c>
      <c r="D859" s="9">
        <f>VLOOKUP(A859,[2]Sheet1!$A:$C,3,0)</f>
        <v>72</v>
      </c>
      <c r="J859" s="1"/>
      <c r="K859" s="2">
        <v>0</v>
      </c>
      <c r="L859" s="1">
        <v>150</v>
      </c>
      <c r="M859" s="1">
        <v>155</v>
      </c>
      <c r="N859" s="1">
        <v>160</v>
      </c>
      <c r="O859" s="1">
        <v>170</v>
      </c>
    </row>
    <row r="860" spans="1:16" x14ac:dyDescent="0.3">
      <c r="A860" t="s">
        <v>997</v>
      </c>
      <c r="B860" s="3" t="s">
        <v>2847</v>
      </c>
      <c r="C860" t="s">
        <v>996</v>
      </c>
      <c r="D860" s="9">
        <f>VLOOKUP(A860,[2]Sheet1!$A:$C,3,0)</f>
        <v>45</v>
      </c>
      <c r="J860" s="1"/>
      <c r="K860" s="1">
        <v>184.25</v>
      </c>
      <c r="L860" s="1">
        <v>187</v>
      </c>
      <c r="M860" s="1">
        <v>192.5</v>
      </c>
      <c r="N860" s="1">
        <v>203.5</v>
      </c>
      <c r="O860" s="1">
        <v>220</v>
      </c>
    </row>
    <row r="861" spans="1:16" x14ac:dyDescent="0.3">
      <c r="A861" t="s">
        <v>995</v>
      </c>
      <c r="B861" s="3" t="s">
        <v>2847</v>
      </c>
      <c r="C861" t="s">
        <v>994</v>
      </c>
      <c r="D861" s="9">
        <f>VLOOKUP(A861,[2]Sheet1!$A:$C,3,0)</f>
        <v>100</v>
      </c>
      <c r="J861" s="1"/>
      <c r="K861" s="1">
        <v>201</v>
      </c>
      <c r="L861" s="1">
        <v>204</v>
      </c>
      <c r="M861" s="1">
        <v>210</v>
      </c>
      <c r="N861" s="1">
        <v>222</v>
      </c>
      <c r="O861" s="1">
        <v>240</v>
      </c>
    </row>
    <row r="862" spans="1:16" x14ac:dyDescent="0.3">
      <c r="A862" t="s">
        <v>993</v>
      </c>
      <c r="B862" s="3" t="s">
        <v>2847</v>
      </c>
      <c r="C862" t="s">
        <v>992</v>
      </c>
      <c r="D862" s="9">
        <f>VLOOKUP(A862,[2]Sheet1!$A:$C,3,0)</f>
        <v>0</v>
      </c>
      <c r="J862" s="1"/>
      <c r="K862" s="1">
        <v>22</v>
      </c>
      <c r="L862" s="1">
        <v>22.5</v>
      </c>
      <c r="M862" s="1">
        <v>23.5</v>
      </c>
      <c r="N862" s="1">
        <v>25</v>
      </c>
      <c r="O862" s="1">
        <v>26</v>
      </c>
      <c r="P862" t="s">
        <v>2794</v>
      </c>
    </row>
    <row r="863" spans="1:16" x14ac:dyDescent="0.3">
      <c r="A863" t="s">
        <v>991</v>
      </c>
      <c r="B863" s="3" t="s">
        <v>2847</v>
      </c>
      <c r="C863" t="s">
        <v>990</v>
      </c>
      <c r="D863" s="9">
        <f>VLOOKUP(A863,[2]Sheet1!$A:$C,3,0)</f>
        <v>361</v>
      </c>
      <c r="J863" s="1"/>
      <c r="K863" s="1">
        <v>38</v>
      </c>
      <c r="L863" s="1">
        <v>38.5</v>
      </c>
      <c r="M863" s="1">
        <v>40</v>
      </c>
      <c r="N863" s="1">
        <v>43</v>
      </c>
      <c r="O863" s="1">
        <v>44</v>
      </c>
      <c r="P863" t="s">
        <v>2794</v>
      </c>
    </row>
    <row r="864" spans="1:16" x14ac:dyDescent="0.3">
      <c r="A864" t="s">
        <v>989</v>
      </c>
      <c r="B864" s="3" t="s">
        <v>2847</v>
      </c>
      <c r="C864" t="s">
        <v>988</v>
      </c>
      <c r="D864" s="9">
        <f>VLOOKUP(A864,[2]Sheet1!$A:$C,3,0)</f>
        <v>26</v>
      </c>
      <c r="J864" s="1"/>
      <c r="K864" s="1">
        <v>25</v>
      </c>
      <c r="L864" s="1">
        <v>25.5</v>
      </c>
      <c r="M864" s="1">
        <v>27</v>
      </c>
      <c r="N864" s="1">
        <v>28.5</v>
      </c>
      <c r="O864" s="1">
        <v>29.5</v>
      </c>
      <c r="P864" t="s">
        <v>2794</v>
      </c>
    </row>
    <row r="865" spans="1:16" x14ac:dyDescent="0.3">
      <c r="A865" t="s">
        <v>987</v>
      </c>
      <c r="B865" s="3" t="s">
        <v>2847</v>
      </c>
      <c r="C865" t="s">
        <v>986</v>
      </c>
      <c r="D865" s="9">
        <f>VLOOKUP(A865,[2]Sheet1!$A:$C,3,0)</f>
        <v>528</v>
      </c>
      <c r="J865" s="1"/>
      <c r="K865" s="1">
        <v>39.5</v>
      </c>
      <c r="L865" s="1">
        <v>40.5</v>
      </c>
      <c r="M865" s="1">
        <v>42</v>
      </c>
      <c r="N865" s="1">
        <v>44.5</v>
      </c>
      <c r="O865" s="1">
        <v>46</v>
      </c>
      <c r="P865" t="s">
        <v>2794</v>
      </c>
    </row>
    <row r="866" spans="1:16" x14ac:dyDescent="0.3">
      <c r="A866" t="s">
        <v>985</v>
      </c>
      <c r="B866" s="3" t="s">
        <v>2847</v>
      </c>
      <c r="C866" t="s">
        <v>984</v>
      </c>
      <c r="D866" s="9">
        <f>VLOOKUP(A866,[2]Sheet1!$A:$C,3,0)</f>
        <v>727</v>
      </c>
      <c r="J866" s="1"/>
      <c r="K866" s="1">
        <v>85</v>
      </c>
      <c r="L866" s="1">
        <v>88</v>
      </c>
      <c r="M866" s="1">
        <v>92</v>
      </c>
      <c r="N866" s="1">
        <v>95</v>
      </c>
      <c r="O866" s="1">
        <v>100</v>
      </c>
    </row>
    <row r="867" spans="1:16" x14ac:dyDescent="0.3">
      <c r="A867" t="s">
        <v>955</v>
      </c>
      <c r="B867" s="3" t="s">
        <v>2847</v>
      </c>
      <c r="C867" t="s">
        <v>954</v>
      </c>
      <c r="D867" s="9">
        <f>VLOOKUP(A867,[2]Sheet1!$A:$C,3,0)</f>
        <v>6</v>
      </c>
      <c r="J867" s="1"/>
      <c r="K867" s="2">
        <v>0</v>
      </c>
      <c r="L867" s="1">
        <v>195</v>
      </c>
      <c r="M867" s="1">
        <v>200</v>
      </c>
      <c r="N867" s="1">
        <v>210</v>
      </c>
      <c r="O867" s="1">
        <v>218</v>
      </c>
    </row>
    <row r="868" spans="1:16" x14ac:dyDescent="0.3">
      <c r="A868" t="s">
        <v>953</v>
      </c>
      <c r="B868" s="3" t="s">
        <v>2847</v>
      </c>
      <c r="C868" t="s">
        <v>952</v>
      </c>
      <c r="D868" s="9">
        <f>VLOOKUP(A868,[2]Sheet1!$A:$C,3,0)</f>
        <v>15</v>
      </c>
      <c r="J868" s="1"/>
      <c r="K868" s="2">
        <v>0</v>
      </c>
      <c r="L868" s="1">
        <v>210</v>
      </c>
      <c r="M868" s="1">
        <v>217</v>
      </c>
      <c r="N868" s="1">
        <v>225</v>
      </c>
      <c r="O868" s="1">
        <v>240</v>
      </c>
    </row>
    <row r="869" spans="1:16" x14ac:dyDescent="0.3">
      <c r="A869" t="s">
        <v>951</v>
      </c>
      <c r="B869" s="3" t="s">
        <v>2847</v>
      </c>
      <c r="C869" t="s">
        <v>950</v>
      </c>
      <c r="D869" s="9">
        <f>VLOOKUP(A869,[2]Sheet1!$A:$C,3,0)</f>
        <v>177</v>
      </c>
      <c r="J869" s="1"/>
      <c r="K869" s="2">
        <v>0</v>
      </c>
      <c r="L869" s="1">
        <v>26</v>
      </c>
      <c r="M869" s="1">
        <v>27</v>
      </c>
      <c r="N869" s="1">
        <v>28</v>
      </c>
      <c r="O869" s="1">
        <v>30</v>
      </c>
      <c r="P869" t="s">
        <v>2794</v>
      </c>
    </row>
    <row r="870" spans="1:16" x14ac:dyDescent="0.3">
      <c r="A870" t="s">
        <v>949</v>
      </c>
      <c r="B870" s="3" t="s">
        <v>2847</v>
      </c>
      <c r="C870" t="s">
        <v>948</v>
      </c>
      <c r="D870" s="9">
        <f>VLOOKUP(A870,[2]Sheet1!$A:$C,3,0)</f>
        <v>140</v>
      </c>
      <c r="J870" s="1"/>
      <c r="K870" s="2">
        <v>0</v>
      </c>
      <c r="L870" s="1">
        <v>88</v>
      </c>
      <c r="M870" s="1">
        <v>92</v>
      </c>
      <c r="N870" s="1">
        <v>95</v>
      </c>
      <c r="O870" s="1">
        <v>100</v>
      </c>
    </row>
    <row r="871" spans="1:16" x14ac:dyDescent="0.3">
      <c r="A871" t="s">
        <v>947</v>
      </c>
      <c r="B871" s="3" t="s">
        <v>2847</v>
      </c>
      <c r="C871" t="s">
        <v>946</v>
      </c>
      <c r="D871" s="9">
        <f>VLOOKUP(A871,[2]Sheet1!$A:$C,3,0)</f>
        <v>823</v>
      </c>
      <c r="J871" s="1"/>
      <c r="K871" s="1">
        <v>39.5</v>
      </c>
      <c r="L871" s="1">
        <v>40.5</v>
      </c>
      <c r="M871" s="1">
        <v>42</v>
      </c>
      <c r="N871" s="1">
        <v>44.5</v>
      </c>
      <c r="O871" s="1">
        <v>46</v>
      </c>
      <c r="P871" t="s">
        <v>2794</v>
      </c>
    </row>
    <row r="872" spans="1:16" x14ac:dyDescent="0.3">
      <c r="A872" t="s">
        <v>913</v>
      </c>
      <c r="B872" s="3" t="s">
        <v>2847</v>
      </c>
      <c r="C872" t="s">
        <v>912</v>
      </c>
      <c r="D872" s="9">
        <f>VLOOKUP(A872,[2]Sheet1!$A:$C,3,0)</f>
        <v>12</v>
      </c>
      <c r="J872" s="1"/>
      <c r="K872" s="1">
        <v>330</v>
      </c>
      <c r="L872" s="1">
        <v>342</v>
      </c>
      <c r="M872" s="1">
        <v>348</v>
      </c>
      <c r="N872" s="1">
        <v>372</v>
      </c>
      <c r="O872" s="1">
        <v>396</v>
      </c>
    </row>
    <row r="873" spans="1:16" x14ac:dyDescent="0.3">
      <c r="A873" t="s">
        <v>911</v>
      </c>
      <c r="B873" s="3" t="s">
        <v>2847</v>
      </c>
      <c r="C873" t="s">
        <v>910</v>
      </c>
      <c r="D873" s="9">
        <f>VLOOKUP(A873,[2]Sheet1!$A:$C,3,0)</f>
        <v>100</v>
      </c>
      <c r="J873" s="1"/>
      <c r="K873" s="1">
        <v>59</v>
      </c>
      <c r="L873" s="1">
        <v>60.5</v>
      </c>
      <c r="M873" s="1">
        <v>62.5</v>
      </c>
      <c r="N873" s="1">
        <v>66.5</v>
      </c>
      <c r="O873" s="1">
        <v>70</v>
      </c>
      <c r="P873" t="s">
        <v>2794</v>
      </c>
    </row>
    <row r="874" spans="1:16" x14ac:dyDescent="0.3">
      <c r="A874" t="s">
        <v>909</v>
      </c>
      <c r="B874" s="3" t="s">
        <v>2847</v>
      </c>
      <c r="C874" t="s">
        <v>2710</v>
      </c>
      <c r="D874" s="9">
        <f>VLOOKUP(A874,[2]Sheet1!$A:$C,3,0)</f>
        <v>97</v>
      </c>
      <c r="J874" s="1"/>
      <c r="K874" s="1">
        <v>95</v>
      </c>
      <c r="L874" s="1">
        <v>98</v>
      </c>
      <c r="M874" s="1">
        <v>102</v>
      </c>
      <c r="N874" s="1">
        <v>105</v>
      </c>
      <c r="O874" s="1">
        <v>110</v>
      </c>
    </row>
    <row r="875" spans="1:16" x14ac:dyDescent="0.3">
      <c r="A875" t="s">
        <v>878</v>
      </c>
      <c r="B875" s="3" t="s">
        <v>2847</v>
      </c>
      <c r="C875" t="s">
        <v>877</v>
      </c>
      <c r="D875" s="9">
        <f>VLOOKUP(A875,[2]Sheet1!$A:$C,3,0)</f>
        <v>12</v>
      </c>
      <c r="J875" s="1"/>
      <c r="K875" s="1">
        <v>302.5</v>
      </c>
      <c r="L875" s="1">
        <v>313.5</v>
      </c>
      <c r="M875" s="1">
        <v>319</v>
      </c>
      <c r="N875" s="1">
        <v>341</v>
      </c>
      <c r="O875" s="1">
        <v>363</v>
      </c>
    </row>
    <row r="876" spans="1:16" x14ac:dyDescent="0.3">
      <c r="A876" t="s">
        <v>876</v>
      </c>
      <c r="B876" s="3" t="s">
        <v>2847</v>
      </c>
      <c r="C876" t="s">
        <v>875</v>
      </c>
      <c r="D876" s="9">
        <f>VLOOKUP(A876,[2]Sheet1!$A:$C,3,0)</f>
        <v>28</v>
      </c>
      <c r="J876" s="1"/>
      <c r="K876" s="1">
        <v>330</v>
      </c>
      <c r="L876" s="1">
        <v>342</v>
      </c>
      <c r="M876" s="1">
        <v>348</v>
      </c>
      <c r="N876" s="1">
        <v>372</v>
      </c>
      <c r="O876" s="1">
        <v>396</v>
      </c>
    </row>
    <row r="877" spans="1:16" x14ac:dyDescent="0.3">
      <c r="A877" t="s">
        <v>874</v>
      </c>
      <c r="B877" s="3" t="s">
        <v>2847</v>
      </c>
      <c r="C877" t="s">
        <v>873</v>
      </c>
      <c r="D877" s="9">
        <f>VLOOKUP(A877,[2]Sheet1!$A:$C,3,0)</f>
        <v>0</v>
      </c>
      <c r="J877" s="1"/>
      <c r="K877" s="1">
        <v>51</v>
      </c>
      <c r="L877" s="1">
        <v>52.5</v>
      </c>
      <c r="M877" s="1">
        <v>54.5</v>
      </c>
      <c r="N877" s="1">
        <v>58</v>
      </c>
      <c r="O877" s="1">
        <v>60</v>
      </c>
      <c r="P877" t="s">
        <v>2794</v>
      </c>
    </row>
    <row r="878" spans="1:16" x14ac:dyDescent="0.3">
      <c r="A878" t="s">
        <v>872</v>
      </c>
      <c r="B878" s="3" t="s">
        <v>2847</v>
      </c>
      <c r="C878" t="s">
        <v>871</v>
      </c>
      <c r="D878" s="9">
        <f>VLOOKUP(A878,[2]Sheet1!$A:$C,3,0)</f>
        <v>117</v>
      </c>
      <c r="J878" s="1"/>
      <c r="K878" s="1">
        <v>59</v>
      </c>
      <c r="L878" s="1">
        <v>60.5</v>
      </c>
      <c r="M878" s="1">
        <v>62.5</v>
      </c>
      <c r="N878" s="1">
        <v>66.5</v>
      </c>
      <c r="O878" s="1">
        <v>70</v>
      </c>
      <c r="P878" t="s">
        <v>2794</v>
      </c>
    </row>
    <row r="879" spans="1:16" x14ac:dyDescent="0.3">
      <c r="A879" t="s">
        <v>870</v>
      </c>
      <c r="B879" s="3" t="s">
        <v>2847</v>
      </c>
      <c r="C879" t="s">
        <v>869</v>
      </c>
      <c r="D879" s="9">
        <f>VLOOKUP(A879,[2]Sheet1!$A:$C,3,0)</f>
        <v>98</v>
      </c>
      <c r="J879" s="1"/>
      <c r="K879" s="1">
        <v>95</v>
      </c>
      <c r="L879" s="1">
        <v>98</v>
      </c>
      <c r="M879" s="1">
        <v>102</v>
      </c>
      <c r="N879" s="1">
        <v>105</v>
      </c>
      <c r="O879" s="1">
        <v>110</v>
      </c>
    </row>
    <row r="880" spans="1:16" x14ac:dyDescent="0.3">
      <c r="A880" t="s">
        <v>983</v>
      </c>
      <c r="B880" s="3" t="s">
        <v>2847</v>
      </c>
      <c r="C880" t="s">
        <v>982</v>
      </c>
      <c r="D880" s="9">
        <f>VLOOKUP(A880,[2]Sheet1!$A:$C,3,0)</f>
        <v>370</v>
      </c>
      <c r="J880" s="1"/>
      <c r="K880" s="2">
        <v>0</v>
      </c>
      <c r="L880" s="1">
        <v>6.25</v>
      </c>
      <c r="M880" s="1">
        <v>6.5</v>
      </c>
      <c r="N880" s="1">
        <v>6.75</v>
      </c>
      <c r="O880" s="1">
        <v>7</v>
      </c>
    </row>
    <row r="881" spans="1:16" x14ac:dyDescent="0.3">
      <c r="A881" t="s">
        <v>1268</v>
      </c>
      <c r="B881" s="3" t="s">
        <v>2847</v>
      </c>
      <c r="C881" t="s">
        <v>1267</v>
      </c>
      <c r="D881" s="9">
        <f>VLOOKUP(A881,[2]Sheet1!$A:$C,3,0)</f>
        <v>11</v>
      </c>
      <c r="J881" s="1"/>
      <c r="K881" s="1">
        <v>489</v>
      </c>
      <c r="L881" s="1">
        <v>495</v>
      </c>
      <c r="M881" s="1">
        <v>510</v>
      </c>
      <c r="N881" s="1">
        <v>525</v>
      </c>
      <c r="O881" s="1">
        <v>540</v>
      </c>
    </row>
    <row r="882" spans="1:16" x14ac:dyDescent="0.3">
      <c r="A882" t="s">
        <v>1266</v>
      </c>
      <c r="B882" s="3" t="s">
        <v>2847</v>
      </c>
      <c r="C882" t="s">
        <v>1265</v>
      </c>
      <c r="D882" s="9">
        <f>VLOOKUP(A882,[2]Sheet1!$A:$C,3,0)</f>
        <v>59</v>
      </c>
      <c r="J882" s="1"/>
      <c r="K882" s="1">
        <v>815</v>
      </c>
      <c r="L882" s="1">
        <v>825</v>
      </c>
      <c r="M882" s="1">
        <v>850</v>
      </c>
      <c r="N882" s="1">
        <v>875</v>
      </c>
      <c r="O882" s="1">
        <v>900</v>
      </c>
    </row>
    <row r="883" spans="1:16" x14ac:dyDescent="0.3">
      <c r="A883" t="s">
        <v>1264</v>
      </c>
      <c r="B883" s="3" t="s">
        <v>2847</v>
      </c>
      <c r="C883" t="s">
        <v>1263</v>
      </c>
      <c r="D883" s="9">
        <f>VLOOKUP(A883,[2]Sheet1!$A:$C,3,0)</f>
        <v>55</v>
      </c>
      <c r="J883" s="1"/>
      <c r="K883" s="1">
        <v>1141</v>
      </c>
      <c r="L883" s="1">
        <v>1155</v>
      </c>
      <c r="M883" s="1">
        <v>1190</v>
      </c>
      <c r="N883" s="1">
        <v>1225</v>
      </c>
      <c r="O883" s="1">
        <v>1260</v>
      </c>
    </row>
    <row r="884" spans="1:16" x14ac:dyDescent="0.3">
      <c r="A884" t="s">
        <v>1262</v>
      </c>
      <c r="B884" s="3" t="s">
        <v>2847</v>
      </c>
      <c r="C884" t="s">
        <v>1261</v>
      </c>
      <c r="D884" s="9">
        <f>VLOOKUP(A884,[2]Sheet1!$A:$C,3,0)</f>
        <v>9</v>
      </c>
      <c r="J884" s="1"/>
      <c r="K884" s="1">
        <v>1467</v>
      </c>
      <c r="L884" s="1">
        <v>1485</v>
      </c>
      <c r="M884" s="1">
        <v>1530</v>
      </c>
      <c r="N884" s="1">
        <v>1575</v>
      </c>
      <c r="O884" s="1">
        <v>1620</v>
      </c>
    </row>
    <row r="885" spans="1:16" x14ac:dyDescent="0.3">
      <c r="A885" t="s">
        <v>1260</v>
      </c>
      <c r="B885" s="3" t="s">
        <v>2848</v>
      </c>
      <c r="C885" t="s">
        <v>1259</v>
      </c>
      <c r="D885" s="9">
        <f>VLOOKUP(A885,[2]Sheet1!$A:$C,3,0)</f>
        <v>14</v>
      </c>
      <c r="J885" s="1"/>
      <c r="K885" s="2">
        <v>0</v>
      </c>
      <c r="L885" s="1">
        <v>90</v>
      </c>
      <c r="M885" s="1">
        <v>100</v>
      </c>
      <c r="N885" s="1">
        <v>125</v>
      </c>
      <c r="O885" s="1">
        <v>150</v>
      </c>
    </row>
    <row r="886" spans="1:16" x14ac:dyDescent="0.3">
      <c r="A886" t="s">
        <v>1258</v>
      </c>
      <c r="B886" s="3" t="s">
        <v>2848</v>
      </c>
      <c r="C886" t="s">
        <v>1257</v>
      </c>
      <c r="D886" s="9">
        <f>VLOOKUP(A886,[2]Sheet1!$A:$C,3,0)</f>
        <v>23</v>
      </c>
      <c r="J886" s="1"/>
      <c r="K886" s="2">
        <v>0</v>
      </c>
      <c r="L886" s="1">
        <v>150</v>
      </c>
      <c r="M886" s="1">
        <v>175</v>
      </c>
      <c r="N886" s="1">
        <v>185</v>
      </c>
      <c r="O886" s="1">
        <v>200</v>
      </c>
    </row>
    <row r="887" spans="1:16" x14ac:dyDescent="0.3">
      <c r="A887" s="9" t="s">
        <v>1256</v>
      </c>
      <c r="B887" s="10" t="s">
        <v>2848</v>
      </c>
      <c r="C887" s="9" t="s">
        <v>1255</v>
      </c>
      <c r="D887" s="9">
        <f>VLOOKUP(A887,[2]Sheet1!$A:$C,3,0)</f>
        <v>0</v>
      </c>
      <c r="E887" s="10">
        <v>0</v>
      </c>
      <c r="F887" s="10"/>
      <c r="G887" s="28">
        <v>0</v>
      </c>
      <c r="H887" s="10">
        <v>0</v>
      </c>
      <c r="I887" s="13">
        <v>0</v>
      </c>
      <c r="J887" s="10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9"/>
    </row>
    <row r="888" spans="1:16" x14ac:dyDescent="0.3">
      <c r="A888" t="s">
        <v>1254</v>
      </c>
      <c r="B888" s="3" t="s">
        <v>2848</v>
      </c>
      <c r="C888" t="s">
        <v>1253</v>
      </c>
      <c r="D888" s="9">
        <f>VLOOKUP(A888,[2]Sheet1!$A:$C,3,0)</f>
        <v>0</v>
      </c>
      <c r="J888" s="1"/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6" x14ac:dyDescent="0.3">
      <c r="A889" t="s">
        <v>1252</v>
      </c>
      <c r="B889" s="3" t="s">
        <v>2848</v>
      </c>
      <c r="C889" t="s">
        <v>1251</v>
      </c>
      <c r="D889" s="9">
        <f>VLOOKUP(A889,[2]Sheet1!$A:$C,3,0)</f>
        <v>35</v>
      </c>
      <c r="J889" s="1"/>
      <c r="K889" s="2">
        <v>0</v>
      </c>
      <c r="L889" s="1">
        <v>2400</v>
      </c>
      <c r="M889" s="1">
        <v>2500</v>
      </c>
      <c r="N889" s="1">
        <v>2600</v>
      </c>
      <c r="O889" s="1">
        <v>2700</v>
      </c>
    </row>
    <row r="890" spans="1:16" x14ac:dyDescent="0.3">
      <c r="A890" t="s">
        <v>1250</v>
      </c>
      <c r="B890" s="3" t="s">
        <v>2848</v>
      </c>
      <c r="C890" t="s">
        <v>1249</v>
      </c>
      <c r="D890" s="9">
        <f>VLOOKUP(A890,[2]Sheet1!$A:$C,3,0)</f>
        <v>19</v>
      </c>
      <c r="J890" s="1"/>
      <c r="K890" s="2">
        <v>0</v>
      </c>
      <c r="L890" s="1">
        <v>3100</v>
      </c>
      <c r="M890" s="1">
        <v>3200</v>
      </c>
      <c r="N890" s="1">
        <v>3300</v>
      </c>
      <c r="O890" s="1">
        <v>3500</v>
      </c>
    </row>
    <row r="891" spans="1:16" x14ac:dyDescent="0.3">
      <c r="A891" t="s">
        <v>1248</v>
      </c>
      <c r="B891" s="3" t="s">
        <v>2848</v>
      </c>
      <c r="C891" t="s">
        <v>1247</v>
      </c>
      <c r="D891" s="9">
        <f>VLOOKUP(A891,[2]Sheet1!$A:$C,3,0)</f>
        <v>1309</v>
      </c>
      <c r="J891" s="1"/>
      <c r="K891" s="1">
        <v>19.5</v>
      </c>
      <c r="L891" s="1">
        <v>20</v>
      </c>
      <c r="M891" s="1">
        <v>21</v>
      </c>
      <c r="N891" s="1">
        <v>23</v>
      </c>
      <c r="O891" s="1">
        <v>25</v>
      </c>
    </row>
    <row r="892" spans="1:16" x14ac:dyDescent="0.3">
      <c r="A892" t="s">
        <v>1246</v>
      </c>
      <c r="B892" s="3" t="s">
        <v>2848</v>
      </c>
      <c r="C892" t="s">
        <v>1245</v>
      </c>
      <c r="D892" s="9">
        <f>VLOOKUP(A892,[2]Sheet1!$A:$C,3,0)</f>
        <v>9</v>
      </c>
      <c r="J892" s="1"/>
      <c r="K892" s="2">
        <v>0</v>
      </c>
      <c r="L892" s="1">
        <v>18</v>
      </c>
      <c r="M892" s="1">
        <v>18.5</v>
      </c>
      <c r="N892" s="1">
        <v>19</v>
      </c>
      <c r="O892" s="1">
        <v>20</v>
      </c>
    </row>
    <row r="893" spans="1:16" x14ac:dyDescent="0.3">
      <c r="A893" t="s">
        <v>1244</v>
      </c>
      <c r="B893" s="3" t="s">
        <v>2848</v>
      </c>
      <c r="C893" t="s">
        <v>1243</v>
      </c>
      <c r="D893" s="9">
        <f>VLOOKUP(A893,[2]Sheet1!$A:$C,3,0)</f>
        <v>1025</v>
      </c>
      <c r="J893" s="1"/>
      <c r="K893" s="1">
        <v>23</v>
      </c>
      <c r="L893" s="1">
        <v>24.5</v>
      </c>
      <c r="M893" s="1">
        <v>25</v>
      </c>
      <c r="N893" s="1">
        <v>27</v>
      </c>
      <c r="O893" s="1">
        <v>29</v>
      </c>
    </row>
    <row r="894" spans="1:16" x14ac:dyDescent="0.3">
      <c r="A894" t="s">
        <v>1242</v>
      </c>
      <c r="B894" s="3" t="s">
        <v>2848</v>
      </c>
      <c r="C894" t="s">
        <v>1241</v>
      </c>
      <c r="D894" s="9">
        <f>VLOOKUP(A894,[2]Sheet1!$A:$C,3,0)</f>
        <v>24</v>
      </c>
      <c r="J894" s="1"/>
      <c r="K894" s="2">
        <v>0</v>
      </c>
      <c r="L894" s="1">
        <v>85</v>
      </c>
      <c r="M894" s="1">
        <v>90</v>
      </c>
      <c r="N894" s="1">
        <v>95</v>
      </c>
      <c r="O894" s="1">
        <v>100</v>
      </c>
    </row>
    <row r="895" spans="1:16" x14ac:dyDescent="0.3">
      <c r="A895" t="s">
        <v>1240</v>
      </c>
      <c r="B895" s="3" t="s">
        <v>2848</v>
      </c>
      <c r="C895" t="s">
        <v>1239</v>
      </c>
      <c r="D895" s="9">
        <f>VLOOKUP(A895,[2]Sheet1!$A:$C,3,0)</f>
        <v>103</v>
      </c>
      <c r="J895" s="1"/>
      <c r="K895" s="2">
        <v>0</v>
      </c>
      <c r="L895" s="1">
        <v>65</v>
      </c>
      <c r="M895" s="1">
        <v>70</v>
      </c>
      <c r="N895" s="1">
        <v>75</v>
      </c>
      <c r="O895" s="1">
        <v>80</v>
      </c>
    </row>
    <row r="896" spans="1:16" x14ac:dyDescent="0.3">
      <c r="A896" t="s">
        <v>1238</v>
      </c>
      <c r="B896" s="3" t="s">
        <v>2848</v>
      </c>
      <c r="C896" t="s">
        <v>1237</v>
      </c>
      <c r="D896" s="9">
        <f>VLOOKUP(A896,[2]Sheet1!$A:$C,3,0)</f>
        <v>60</v>
      </c>
      <c r="J896" s="1"/>
      <c r="K896" s="2">
        <v>0</v>
      </c>
      <c r="L896" s="1">
        <v>95</v>
      </c>
      <c r="M896" s="1">
        <v>100</v>
      </c>
      <c r="N896" s="1">
        <v>105</v>
      </c>
      <c r="O896" s="1">
        <v>110</v>
      </c>
    </row>
    <row r="897" spans="1:15" x14ac:dyDescent="0.3">
      <c r="A897" t="s">
        <v>1236</v>
      </c>
      <c r="B897" s="3" t="s">
        <v>2848</v>
      </c>
      <c r="C897" t="s">
        <v>1235</v>
      </c>
      <c r="D897" s="9">
        <f>VLOOKUP(A897,[2]Sheet1!$A:$C,3,0)</f>
        <v>192</v>
      </c>
      <c r="J897" s="1"/>
      <c r="K897" s="2">
        <v>0</v>
      </c>
      <c r="L897" s="1">
        <v>23</v>
      </c>
      <c r="M897" s="1">
        <v>25</v>
      </c>
      <c r="N897" s="1">
        <v>28</v>
      </c>
      <c r="O897" s="1">
        <v>30</v>
      </c>
    </row>
    <row r="898" spans="1:15" x14ac:dyDescent="0.3">
      <c r="A898" t="s">
        <v>1234</v>
      </c>
      <c r="B898" s="3" t="s">
        <v>2848</v>
      </c>
      <c r="C898" t="s">
        <v>1233</v>
      </c>
      <c r="D898" s="9">
        <f>VLOOKUP(A898,[2]Sheet1!$A:$C,3,0)</f>
        <v>21</v>
      </c>
      <c r="J898" s="1"/>
      <c r="K898" s="2">
        <v>0</v>
      </c>
      <c r="L898" s="1">
        <v>26</v>
      </c>
      <c r="M898" s="1">
        <v>28</v>
      </c>
      <c r="N898" s="1">
        <v>30</v>
      </c>
      <c r="O898" s="1">
        <v>32</v>
      </c>
    </row>
    <row r="899" spans="1:15" x14ac:dyDescent="0.3">
      <c r="A899" t="s">
        <v>1232</v>
      </c>
      <c r="B899" s="3" t="s">
        <v>2848</v>
      </c>
      <c r="C899" t="s">
        <v>1231</v>
      </c>
      <c r="D899" s="9">
        <f>VLOOKUP(A899,[2]Sheet1!$A:$C,3,0)</f>
        <v>181</v>
      </c>
      <c r="J899" s="1"/>
      <c r="K899" s="2">
        <v>0</v>
      </c>
      <c r="L899" s="1">
        <v>15</v>
      </c>
      <c r="M899" s="1">
        <v>16</v>
      </c>
      <c r="N899" s="1">
        <v>18</v>
      </c>
      <c r="O899" s="1">
        <v>20</v>
      </c>
    </row>
    <row r="900" spans="1:15" x14ac:dyDescent="0.3">
      <c r="A900" t="s">
        <v>1230</v>
      </c>
      <c r="B900" s="3" t="s">
        <v>2848</v>
      </c>
      <c r="C900" t="s">
        <v>1229</v>
      </c>
      <c r="D900" s="9">
        <f>VLOOKUP(A900,[2]Sheet1!$A:$C,3,0)</f>
        <v>225</v>
      </c>
      <c r="J900" s="1"/>
      <c r="K900" s="2">
        <v>0</v>
      </c>
      <c r="L900" s="1">
        <v>9</v>
      </c>
      <c r="M900" s="1">
        <v>10</v>
      </c>
      <c r="N900" s="1">
        <v>11</v>
      </c>
      <c r="O900" s="1">
        <v>12</v>
      </c>
    </row>
    <row r="901" spans="1:15" x14ac:dyDescent="0.3">
      <c r="A901" t="s">
        <v>1228</v>
      </c>
      <c r="B901" s="3" t="s">
        <v>2848</v>
      </c>
      <c r="C901" t="s">
        <v>1227</v>
      </c>
      <c r="D901" s="9">
        <f>VLOOKUP(A901,[2]Sheet1!$A:$C,3,0)</f>
        <v>45</v>
      </c>
      <c r="J901" s="1"/>
      <c r="K901" s="2">
        <v>0</v>
      </c>
      <c r="L901" s="1">
        <v>37</v>
      </c>
      <c r="M901" s="1">
        <v>38</v>
      </c>
      <c r="N901" s="1">
        <v>40</v>
      </c>
      <c r="O901" s="1">
        <v>42</v>
      </c>
    </row>
    <row r="902" spans="1:15" x14ac:dyDescent="0.3">
      <c r="A902" t="s">
        <v>1226</v>
      </c>
      <c r="B902" s="3" t="s">
        <v>2848</v>
      </c>
      <c r="C902" t="s">
        <v>1225</v>
      </c>
      <c r="D902" s="9">
        <f>VLOOKUP(A902,[2]Sheet1!$A:$C,3,0)</f>
        <v>28</v>
      </c>
      <c r="J902" s="1"/>
      <c r="K902" s="2">
        <v>0</v>
      </c>
      <c r="L902" s="1">
        <v>170</v>
      </c>
      <c r="M902" s="1">
        <v>175</v>
      </c>
      <c r="N902" s="1">
        <v>180</v>
      </c>
      <c r="O902" s="1">
        <v>190</v>
      </c>
    </row>
    <row r="903" spans="1:15" x14ac:dyDescent="0.3">
      <c r="A903" t="s">
        <v>1224</v>
      </c>
      <c r="B903" s="3" t="s">
        <v>2848</v>
      </c>
      <c r="C903" t="s">
        <v>1223</v>
      </c>
      <c r="D903" s="9">
        <f>VLOOKUP(A903,[2]Sheet1!$A:$C,3,0)</f>
        <v>19</v>
      </c>
      <c r="J903" s="1"/>
      <c r="K903" s="2">
        <v>0</v>
      </c>
      <c r="L903" s="1">
        <v>106</v>
      </c>
      <c r="M903" s="1">
        <v>110</v>
      </c>
      <c r="N903" s="1">
        <v>115</v>
      </c>
      <c r="O903" s="1">
        <v>120</v>
      </c>
    </row>
    <row r="904" spans="1:15" x14ac:dyDescent="0.3">
      <c r="A904" t="s">
        <v>1222</v>
      </c>
      <c r="B904" s="3" t="s">
        <v>2848</v>
      </c>
      <c r="C904" t="s">
        <v>1221</v>
      </c>
      <c r="D904" s="9">
        <f>VLOOKUP(A904,[2]Sheet1!$A:$C,3,0)</f>
        <v>37</v>
      </c>
      <c r="J904" s="1"/>
      <c r="K904" s="2">
        <v>0</v>
      </c>
      <c r="L904" s="1">
        <v>86</v>
      </c>
      <c r="M904" s="1">
        <v>90</v>
      </c>
      <c r="N904" s="1">
        <v>95</v>
      </c>
      <c r="O904" s="1">
        <v>100</v>
      </c>
    </row>
    <row r="905" spans="1:15" x14ac:dyDescent="0.3">
      <c r="A905" t="s">
        <v>1220</v>
      </c>
      <c r="B905" s="3" t="s">
        <v>2848</v>
      </c>
      <c r="C905" t="s">
        <v>1219</v>
      </c>
      <c r="D905" s="9">
        <f>VLOOKUP(A905,[2]Sheet1!$A:$C,3,0)</f>
        <v>41</v>
      </c>
      <c r="J905" s="1"/>
      <c r="K905" s="2">
        <v>0</v>
      </c>
      <c r="L905" s="1">
        <v>86</v>
      </c>
      <c r="M905" s="1">
        <v>90</v>
      </c>
      <c r="N905" s="1">
        <v>95</v>
      </c>
      <c r="O905" s="1">
        <v>100</v>
      </c>
    </row>
    <row r="906" spans="1:15" x14ac:dyDescent="0.3">
      <c r="A906" t="s">
        <v>1218</v>
      </c>
      <c r="B906" s="3" t="s">
        <v>2848</v>
      </c>
      <c r="C906" t="s">
        <v>1217</v>
      </c>
      <c r="D906" s="9">
        <f>VLOOKUP(A906,[2]Sheet1!$A:$C,3,0)</f>
        <v>110</v>
      </c>
      <c r="J906" s="1"/>
      <c r="K906" s="2">
        <v>0</v>
      </c>
      <c r="L906" s="1">
        <v>15</v>
      </c>
      <c r="M906" s="1">
        <v>16</v>
      </c>
      <c r="N906" s="1">
        <v>18</v>
      </c>
      <c r="O906" s="1">
        <v>20</v>
      </c>
    </row>
    <row r="907" spans="1:15" x14ac:dyDescent="0.3">
      <c r="A907" t="s">
        <v>1216</v>
      </c>
      <c r="B907" s="3" t="s">
        <v>2848</v>
      </c>
      <c r="C907" t="s">
        <v>1215</v>
      </c>
      <c r="D907" s="9">
        <f>VLOOKUP(A907,[2]Sheet1!$A:$C,3,0)</f>
        <v>70</v>
      </c>
      <c r="J907" s="1"/>
      <c r="K907" s="2">
        <v>0</v>
      </c>
      <c r="L907" s="1">
        <v>15</v>
      </c>
      <c r="M907" s="1">
        <v>15.5</v>
      </c>
      <c r="N907" s="1">
        <v>16</v>
      </c>
      <c r="O907" s="1">
        <v>17</v>
      </c>
    </row>
    <row r="908" spans="1:15" x14ac:dyDescent="0.3">
      <c r="A908" t="s">
        <v>1214</v>
      </c>
      <c r="B908" s="3" t="s">
        <v>2848</v>
      </c>
      <c r="C908" t="s">
        <v>1213</v>
      </c>
      <c r="D908" s="9">
        <f>VLOOKUP(A908,[2]Sheet1!$A:$C,3,0)</f>
        <v>110</v>
      </c>
      <c r="J908" s="1"/>
      <c r="K908" s="2">
        <v>0</v>
      </c>
      <c r="L908" s="1">
        <v>20</v>
      </c>
      <c r="M908" s="1">
        <v>21</v>
      </c>
      <c r="N908" s="1">
        <v>22</v>
      </c>
      <c r="O908" s="1">
        <v>23</v>
      </c>
    </row>
    <row r="909" spans="1:15" x14ac:dyDescent="0.3">
      <c r="A909" t="s">
        <v>1212</v>
      </c>
      <c r="B909" s="3" t="s">
        <v>2848</v>
      </c>
      <c r="C909" t="s">
        <v>1211</v>
      </c>
      <c r="D909" s="9">
        <f>VLOOKUP(A909,[2]Sheet1!$A:$C,3,0)</f>
        <v>73</v>
      </c>
      <c r="J909" s="1"/>
      <c r="K909" s="2">
        <v>0</v>
      </c>
      <c r="L909" s="1">
        <v>33</v>
      </c>
      <c r="M909" s="1">
        <v>34</v>
      </c>
      <c r="N909" s="1">
        <v>35</v>
      </c>
      <c r="O909" s="1">
        <v>38</v>
      </c>
    </row>
    <row r="910" spans="1:15" x14ac:dyDescent="0.3">
      <c r="A910" t="s">
        <v>1210</v>
      </c>
      <c r="B910" s="3" t="s">
        <v>2848</v>
      </c>
      <c r="C910" t="s">
        <v>1209</v>
      </c>
      <c r="D910" s="9">
        <f>VLOOKUP(A910,[2]Sheet1!$A:$C,3,0)</f>
        <v>100</v>
      </c>
      <c r="J910" s="1"/>
      <c r="K910" s="2">
        <v>0</v>
      </c>
      <c r="L910" s="1">
        <v>53</v>
      </c>
      <c r="M910" s="1">
        <v>55</v>
      </c>
      <c r="N910" s="1">
        <v>58</v>
      </c>
      <c r="O910" s="1">
        <v>60</v>
      </c>
    </row>
    <row r="911" spans="1:15" x14ac:dyDescent="0.3">
      <c r="A911" t="s">
        <v>1208</v>
      </c>
      <c r="B911" s="3" t="s">
        <v>2848</v>
      </c>
      <c r="C911" t="s">
        <v>1207</v>
      </c>
      <c r="D911" s="9">
        <f>VLOOKUP(A911,[2]Sheet1!$A:$C,3,0)</f>
        <v>108</v>
      </c>
      <c r="J911" s="1"/>
      <c r="K911" s="2">
        <v>0</v>
      </c>
      <c r="L911" s="1">
        <v>71</v>
      </c>
      <c r="M911" s="1">
        <v>73</v>
      </c>
      <c r="N911" s="1">
        <v>75</v>
      </c>
      <c r="O911" s="1">
        <v>80</v>
      </c>
    </row>
    <row r="912" spans="1:15" x14ac:dyDescent="0.3">
      <c r="A912" t="s">
        <v>1206</v>
      </c>
      <c r="B912" s="3" t="s">
        <v>2848</v>
      </c>
      <c r="C912" t="s">
        <v>1205</v>
      </c>
      <c r="D912" s="9">
        <f>VLOOKUP(A912,[2]Sheet1!$A:$C,3,0)</f>
        <v>177</v>
      </c>
      <c r="J912" s="1"/>
      <c r="K912" s="2">
        <v>0</v>
      </c>
      <c r="L912" s="1">
        <v>17.5</v>
      </c>
      <c r="M912" s="1">
        <v>18</v>
      </c>
      <c r="N912" s="1">
        <v>19</v>
      </c>
      <c r="O912" s="1">
        <v>20</v>
      </c>
    </row>
    <row r="913" spans="1:15" x14ac:dyDescent="0.3">
      <c r="A913" t="s">
        <v>1204</v>
      </c>
      <c r="B913" s="3" t="s">
        <v>2848</v>
      </c>
      <c r="C913" t="s">
        <v>1203</v>
      </c>
      <c r="D913" s="9">
        <f>VLOOKUP(A913,[2]Sheet1!$A:$C,3,0)</f>
        <v>128</v>
      </c>
      <c r="J913" s="1"/>
      <c r="K913" s="2">
        <v>0</v>
      </c>
      <c r="L913" s="1">
        <v>19</v>
      </c>
      <c r="M913" s="1">
        <v>20</v>
      </c>
      <c r="N913" s="1">
        <v>21</v>
      </c>
      <c r="O913" s="1">
        <v>23</v>
      </c>
    </row>
    <row r="914" spans="1:15" x14ac:dyDescent="0.3">
      <c r="A914" t="s">
        <v>1202</v>
      </c>
      <c r="B914" s="3" t="s">
        <v>2848</v>
      </c>
      <c r="C914" t="s">
        <v>1201</v>
      </c>
      <c r="D914" s="9">
        <f>VLOOKUP(A914,[2]Sheet1!$A:$C,3,0)</f>
        <v>108</v>
      </c>
      <c r="J914" s="1"/>
      <c r="K914" s="2">
        <v>0</v>
      </c>
      <c r="L914" s="1">
        <v>21</v>
      </c>
      <c r="M914" s="1">
        <v>22</v>
      </c>
      <c r="N914" s="1">
        <v>23</v>
      </c>
      <c r="O914" s="1">
        <v>25</v>
      </c>
    </row>
    <row r="915" spans="1:15" x14ac:dyDescent="0.3">
      <c r="A915" t="s">
        <v>1200</v>
      </c>
      <c r="B915" s="3" t="s">
        <v>2848</v>
      </c>
      <c r="C915" t="s">
        <v>1199</v>
      </c>
      <c r="D915" s="9">
        <f>VLOOKUP(A915,[2]Sheet1!$A:$C,3,0)</f>
        <v>148</v>
      </c>
      <c r="J915" s="1"/>
      <c r="K915" s="2">
        <v>0</v>
      </c>
      <c r="L915" s="1">
        <v>23</v>
      </c>
      <c r="M915" s="1">
        <v>23.5</v>
      </c>
      <c r="N915" s="1">
        <v>24</v>
      </c>
      <c r="O915" s="1">
        <v>26</v>
      </c>
    </row>
    <row r="916" spans="1:15" x14ac:dyDescent="0.3">
      <c r="A916" t="s">
        <v>1198</v>
      </c>
      <c r="B916" s="3" t="s">
        <v>2848</v>
      </c>
      <c r="C916" t="s">
        <v>1197</v>
      </c>
      <c r="D916" s="9">
        <f>VLOOKUP(A916,[2]Sheet1!$A:$C,3,0)</f>
        <v>146</v>
      </c>
      <c r="J916" s="1"/>
      <c r="K916" s="2">
        <v>0</v>
      </c>
      <c r="L916" s="1">
        <v>30</v>
      </c>
      <c r="M916" s="1">
        <v>31</v>
      </c>
      <c r="N916" s="1">
        <v>32</v>
      </c>
      <c r="O916" s="1">
        <v>34</v>
      </c>
    </row>
    <row r="917" spans="1:15" x14ac:dyDescent="0.3">
      <c r="A917" t="s">
        <v>1196</v>
      </c>
      <c r="B917" s="3" t="s">
        <v>2848</v>
      </c>
      <c r="C917" t="s">
        <v>1195</v>
      </c>
      <c r="D917" s="9">
        <f>VLOOKUP(A917,[2]Sheet1!$A:$C,3,0)</f>
        <v>118</v>
      </c>
      <c r="J917" s="1"/>
      <c r="K917" s="2">
        <v>0</v>
      </c>
      <c r="L917" s="1">
        <v>48</v>
      </c>
      <c r="M917" s="1">
        <v>50</v>
      </c>
      <c r="N917" s="1">
        <v>52</v>
      </c>
      <c r="O917" s="1">
        <v>54</v>
      </c>
    </row>
    <row r="918" spans="1:15" x14ac:dyDescent="0.3">
      <c r="A918" t="s">
        <v>1194</v>
      </c>
      <c r="B918" s="3" t="s">
        <v>2848</v>
      </c>
      <c r="C918" t="s">
        <v>1193</v>
      </c>
      <c r="D918" s="9">
        <f>VLOOKUP(A918,[2]Sheet1!$A:$C,3,0)</f>
        <v>176</v>
      </c>
      <c r="J918" s="1"/>
      <c r="K918" s="2">
        <v>0</v>
      </c>
      <c r="L918" s="1">
        <v>83</v>
      </c>
      <c r="M918" s="1">
        <v>86</v>
      </c>
      <c r="N918" s="1">
        <v>90</v>
      </c>
      <c r="O918" s="1">
        <v>95</v>
      </c>
    </row>
    <row r="919" spans="1:15" x14ac:dyDescent="0.3">
      <c r="A919" t="s">
        <v>1192</v>
      </c>
      <c r="B919" s="3" t="s">
        <v>2848</v>
      </c>
      <c r="C919" t="s">
        <v>1191</v>
      </c>
      <c r="D919" s="9">
        <f>VLOOKUP(A919,[2]Sheet1!$A:$C,3,0)</f>
        <v>171</v>
      </c>
      <c r="J919" s="1"/>
      <c r="K919" s="2">
        <v>0</v>
      </c>
      <c r="L919" s="1">
        <v>120</v>
      </c>
      <c r="M919" s="1">
        <v>125</v>
      </c>
      <c r="N919" s="1">
        <v>130</v>
      </c>
      <c r="O919" s="1">
        <v>135</v>
      </c>
    </row>
    <row r="920" spans="1:15" x14ac:dyDescent="0.3">
      <c r="A920" t="s">
        <v>1190</v>
      </c>
      <c r="B920" s="3" t="s">
        <v>2848</v>
      </c>
      <c r="C920" t="s">
        <v>1189</v>
      </c>
      <c r="D920" s="9">
        <f>VLOOKUP(A920,[2]Sheet1!$A:$C,3,0)</f>
        <v>55</v>
      </c>
      <c r="J920" s="1"/>
      <c r="K920" s="2">
        <v>0</v>
      </c>
      <c r="L920" s="1">
        <v>32</v>
      </c>
      <c r="M920" s="1">
        <v>33</v>
      </c>
      <c r="N920" s="1">
        <v>34</v>
      </c>
      <c r="O920" s="1">
        <v>36</v>
      </c>
    </row>
    <row r="921" spans="1:15" x14ac:dyDescent="0.3">
      <c r="A921" t="s">
        <v>1188</v>
      </c>
      <c r="B921" s="3" t="s">
        <v>2848</v>
      </c>
      <c r="C921" t="s">
        <v>1187</v>
      </c>
      <c r="D921" s="9">
        <f>VLOOKUP(A921,[2]Sheet1!$A:$C,3,0)</f>
        <v>40</v>
      </c>
      <c r="J921" s="1"/>
      <c r="K921" s="2">
        <v>0</v>
      </c>
      <c r="L921" s="1">
        <v>33</v>
      </c>
      <c r="M921" s="1">
        <v>34</v>
      </c>
      <c r="N921" s="1">
        <v>36</v>
      </c>
      <c r="O921" s="1">
        <v>38</v>
      </c>
    </row>
    <row r="922" spans="1:15" x14ac:dyDescent="0.3">
      <c r="A922" t="s">
        <v>1186</v>
      </c>
      <c r="B922" s="3" t="s">
        <v>2848</v>
      </c>
      <c r="C922" t="s">
        <v>1185</v>
      </c>
      <c r="D922" s="9">
        <f>VLOOKUP(A922,[2]Sheet1!$A:$C,3,0)</f>
        <v>117</v>
      </c>
      <c r="J922" s="1"/>
      <c r="K922" s="2">
        <v>0</v>
      </c>
      <c r="L922" s="1">
        <v>40</v>
      </c>
      <c r="M922" s="1">
        <v>42</v>
      </c>
      <c r="N922" s="1">
        <v>44</v>
      </c>
      <c r="O922" s="1">
        <v>46</v>
      </c>
    </row>
    <row r="923" spans="1:15" x14ac:dyDescent="0.3">
      <c r="A923" t="s">
        <v>1184</v>
      </c>
      <c r="B923" s="3" t="s">
        <v>2848</v>
      </c>
      <c r="C923" t="s">
        <v>1183</v>
      </c>
      <c r="D923" s="9">
        <f>VLOOKUP(A923,[2]Sheet1!$A:$C,3,0)</f>
        <v>93</v>
      </c>
      <c r="J923" s="1"/>
      <c r="K923" s="2">
        <v>0</v>
      </c>
      <c r="L923" s="1">
        <v>39</v>
      </c>
      <c r="M923" s="1">
        <v>41</v>
      </c>
      <c r="N923" s="1">
        <v>43</v>
      </c>
      <c r="O923" s="1">
        <v>45</v>
      </c>
    </row>
    <row r="924" spans="1:15" x14ac:dyDescent="0.3">
      <c r="A924" t="s">
        <v>1182</v>
      </c>
      <c r="B924" s="3" t="s">
        <v>2848</v>
      </c>
      <c r="C924" t="s">
        <v>1181</v>
      </c>
      <c r="D924" s="9">
        <f>VLOOKUP(A924,[2]Sheet1!$A:$C,3,0)</f>
        <v>55</v>
      </c>
      <c r="J924" s="1"/>
      <c r="K924" s="2">
        <v>0</v>
      </c>
      <c r="L924" s="1">
        <v>48</v>
      </c>
      <c r="M924" s="1">
        <v>49</v>
      </c>
      <c r="N924" s="1">
        <v>52</v>
      </c>
      <c r="O924" s="1">
        <v>54</v>
      </c>
    </row>
    <row r="925" spans="1:15" x14ac:dyDescent="0.3">
      <c r="A925" t="s">
        <v>1180</v>
      </c>
      <c r="B925" s="3" t="s">
        <v>2848</v>
      </c>
      <c r="C925" t="s">
        <v>1179</v>
      </c>
      <c r="D925" s="9">
        <f>VLOOKUP(A925,[2]Sheet1!$A:$C,3,0)</f>
        <v>57</v>
      </c>
      <c r="J925" s="1"/>
      <c r="K925" s="2">
        <v>0</v>
      </c>
      <c r="L925" s="1">
        <v>45</v>
      </c>
      <c r="M925" s="1">
        <v>46</v>
      </c>
      <c r="N925" s="1">
        <v>48</v>
      </c>
      <c r="O925" s="1">
        <v>52</v>
      </c>
    </row>
    <row r="926" spans="1:15" x14ac:dyDescent="0.3">
      <c r="A926" t="s">
        <v>1178</v>
      </c>
      <c r="B926" s="3" t="s">
        <v>2848</v>
      </c>
      <c r="C926" t="s">
        <v>1177</v>
      </c>
      <c r="D926" s="9">
        <f>VLOOKUP(A926,[2]Sheet1!$A:$C,3,0)</f>
        <v>137</v>
      </c>
      <c r="J926" s="1"/>
      <c r="K926" s="2">
        <v>0</v>
      </c>
      <c r="L926" s="1">
        <v>55</v>
      </c>
      <c r="M926" s="1">
        <v>58</v>
      </c>
      <c r="N926" s="1">
        <v>60</v>
      </c>
      <c r="O926" s="1">
        <v>63</v>
      </c>
    </row>
    <row r="927" spans="1:15" x14ac:dyDescent="0.3">
      <c r="A927" t="s">
        <v>1176</v>
      </c>
      <c r="B927" s="3" t="s">
        <v>2848</v>
      </c>
      <c r="C927" t="s">
        <v>1175</v>
      </c>
      <c r="D927" s="9">
        <f>VLOOKUP(A927,[2]Sheet1!$A:$C,3,0)</f>
        <v>135</v>
      </c>
      <c r="J927" s="1"/>
      <c r="K927" s="2">
        <v>0</v>
      </c>
      <c r="L927" s="1">
        <v>36</v>
      </c>
      <c r="M927" s="1">
        <v>37</v>
      </c>
      <c r="N927" s="1">
        <v>40</v>
      </c>
      <c r="O927" s="1">
        <v>42</v>
      </c>
    </row>
    <row r="928" spans="1:15" x14ac:dyDescent="0.3">
      <c r="A928" t="s">
        <v>1174</v>
      </c>
      <c r="B928" s="3" t="s">
        <v>2848</v>
      </c>
      <c r="C928" t="s">
        <v>1173</v>
      </c>
      <c r="D928" s="9">
        <f>VLOOKUP(A928,[2]Sheet1!$A:$C,3,0)</f>
        <v>27</v>
      </c>
      <c r="J928" s="1"/>
      <c r="K928" s="2">
        <v>0</v>
      </c>
      <c r="L928" s="1">
        <v>55</v>
      </c>
      <c r="M928" s="1">
        <v>57</v>
      </c>
      <c r="N928" s="1">
        <v>60</v>
      </c>
      <c r="O928" s="1">
        <v>62</v>
      </c>
    </row>
    <row r="929" spans="1:15" x14ac:dyDescent="0.3">
      <c r="A929" t="s">
        <v>1172</v>
      </c>
      <c r="B929" s="3" t="s">
        <v>2848</v>
      </c>
      <c r="C929" t="s">
        <v>1171</v>
      </c>
      <c r="D929" s="9">
        <f>VLOOKUP(A929,[2]Sheet1!$A:$C,3,0)</f>
        <v>27</v>
      </c>
      <c r="J929" s="1"/>
      <c r="K929" s="2">
        <v>0</v>
      </c>
      <c r="L929" s="1">
        <v>80</v>
      </c>
      <c r="M929" s="1">
        <v>82</v>
      </c>
      <c r="N929" s="1">
        <v>85</v>
      </c>
      <c r="O929" s="1">
        <v>90</v>
      </c>
    </row>
    <row r="930" spans="1:15" x14ac:dyDescent="0.3">
      <c r="A930" t="s">
        <v>1170</v>
      </c>
      <c r="B930" s="3" t="s">
        <v>2848</v>
      </c>
      <c r="C930" t="s">
        <v>1169</v>
      </c>
      <c r="D930" s="9">
        <f>VLOOKUP(A930,[2]Sheet1!$A:$C,3,0)</f>
        <v>3</v>
      </c>
      <c r="J930" s="1"/>
      <c r="K930" s="2">
        <v>0</v>
      </c>
      <c r="L930" s="1">
        <v>315</v>
      </c>
      <c r="M930" s="1">
        <v>325</v>
      </c>
      <c r="N930" s="1">
        <v>350</v>
      </c>
      <c r="O930" s="1">
        <v>365</v>
      </c>
    </row>
    <row r="931" spans="1:15" x14ac:dyDescent="0.3">
      <c r="A931" t="s">
        <v>1168</v>
      </c>
      <c r="B931" s="3" t="s">
        <v>2848</v>
      </c>
      <c r="C931" t="s">
        <v>1167</v>
      </c>
      <c r="D931" s="9">
        <f>VLOOKUP(A931,[2]Sheet1!$A:$C,3,0)</f>
        <v>1</v>
      </c>
      <c r="J931" s="1"/>
      <c r="K931" s="2">
        <v>0</v>
      </c>
      <c r="L931" s="1">
        <v>290</v>
      </c>
      <c r="M931" s="1">
        <v>295</v>
      </c>
      <c r="N931" s="1">
        <v>315</v>
      </c>
      <c r="O931" s="1">
        <v>325</v>
      </c>
    </row>
    <row r="932" spans="1:15" x14ac:dyDescent="0.3">
      <c r="A932" t="s">
        <v>1166</v>
      </c>
      <c r="B932" s="3" t="s">
        <v>2848</v>
      </c>
      <c r="C932" t="s">
        <v>1165</v>
      </c>
      <c r="D932" s="9">
        <f>VLOOKUP(A932,[2]Sheet1!$A:$C,3,0)</f>
        <v>96</v>
      </c>
      <c r="J932" s="1"/>
      <c r="K932" s="2">
        <v>0</v>
      </c>
      <c r="L932" s="1">
        <v>57</v>
      </c>
      <c r="M932" s="1">
        <v>60</v>
      </c>
      <c r="N932" s="1">
        <v>63</v>
      </c>
      <c r="O932" s="1">
        <v>65</v>
      </c>
    </row>
    <row r="933" spans="1:15" x14ac:dyDescent="0.3">
      <c r="A933" t="s">
        <v>1164</v>
      </c>
      <c r="B933" s="3" t="s">
        <v>2848</v>
      </c>
      <c r="C933" t="s">
        <v>1163</v>
      </c>
      <c r="D933" s="9">
        <f>VLOOKUP(A933,[2]Sheet1!$A:$C,3,0)</f>
        <v>54</v>
      </c>
      <c r="J933" s="1"/>
      <c r="K933" s="2">
        <v>0</v>
      </c>
      <c r="L933" s="1">
        <v>65</v>
      </c>
      <c r="M933" s="1">
        <v>70</v>
      </c>
      <c r="N933" s="1">
        <v>80</v>
      </c>
      <c r="O933" s="1">
        <v>75</v>
      </c>
    </row>
    <row r="934" spans="1:15" x14ac:dyDescent="0.3">
      <c r="A934" t="s">
        <v>1162</v>
      </c>
      <c r="B934" s="3" t="s">
        <v>2848</v>
      </c>
      <c r="C934" t="s">
        <v>1161</v>
      </c>
      <c r="D934" s="9">
        <f>VLOOKUP(A934,[2]Sheet1!$A:$C,3,0)</f>
        <v>29</v>
      </c>
      <c r="J934" s="1"/>
      <c r="K934" s="2">
        <v>0</v>
      </c>
      <c r="L934" s="1">
        <v>19.5</v>
      </c>
      <c r="M934" s="1">
        <v>20</v>
      </c>
      <c r="N934" s="1">
        <v>21</v>
      </c>
      <c r="O934" s="1">
        <v>23</v>
      </c>
    </row>
    <row r="935" spans="1:15" x14ac:dyDescent="0.3">
      <c r="A935" t="s">
        <v>1160</v>
      </c>
      <c r="B935" s="3" t="s">
        <v>2848</v>
      </c>
      <c r="C935" t="s">
        <v>1159</v>
      </c>
      <c r="D935" s="9">
        <f>VLOOKUP(A935,[2]Sheet1!$A:$C,3,0)</f>
        <v>12</v>
      </c>
      <c r="J935" s="1"/>
      <c r="K935" s="2">
        <v>0</v>
      </c>
      <c r="L935" s="1">
        <v>54</v>
      </c>
      <c r="M935" s="1">
        <v>56</v>
      </c>
      <c r="N935" s="1">
        <v>58</v>
      </c>
      <c r="O935" s="1">
        <v>60</v>
      </c>
    </row>
    <row r="936" spans="1:15" x14ac:dyDescent="0.3">
      <c r="A936" t="s">
        <v>1158</v>
      </c>
      <c r="B936" s="3" t="s">
        <v>2848</v>
      </c>
      <c r="C936" t="s">
        <v>1157</v>
      </c>
      <c r="D936" s="9">
        <f>VLOOKUP(A936,[2]Sheet1!$A:$C,3,0)</f>
        <v>7</v>
      </c>
      <c r="J936" s="1"/>
      <c r="K936" s="2">
        <v>0</v>
      </c>
      <c r="L936" s="1">
        <v>75</v>
      </c>
      <c r="M936" s="1">
        <v>80</v>
      </c>
      <c r="N936" s="1">
        <v>85</v>
      </c>
      <c r="O936" s="1">
        <v>90</v>
      </c>
    </row>
    <row r="937" spans="1:15" x14ac:dyDescent="0.3">
      <c r="A937" t="s">
        <v>1156</v>
      </c>
      <c r="B937" s="3" t="s">
        <v>2848</v>
      </c>
      <c r="C937" t="s">
        <v>1155</v>
      </c>
      <c r="D937" s="9">
        <f>VLOOKUP(A937,[2]Sheet1!$A:$C,3,0)</f>
        <v>64</v>
      </c>
      <c r="J937" s="1"/>
      <c r="K937" s="2">
        <v>0</v>
      </c>
      <c r="L937" s="1">
        <v>115</v>
      </c>
      <c r="M937" s="1">
        <v>120</v>
      </c>
      <c r="N937" s="1">
        <v>125</v>
      </c>
      <c r="O937" s="1">
        <v>130</v>
      </c>
    </row>
    <row r="938" spans="1:15" x14ac:dyDescent="0.3">
      <c r="A938" t="s">
        <v>1154</v>
      </c>
      <c r="B938" s="3" t="s">
        <v>2848</v>
      </c>
      <c r="C938" t="s">
        <v>1153</v>
      </c>
      <c r="D938" s="9">
        <f>VLOOKUP(A938,[2]Sheet1!$A:$C,3,0)</f>
        <v>89</v>
      </c>
      <c r="J938" s="1"/>
      <c r="K938" s="2">
        <v>0</v>
      </c>
      <c r="L938" s="1">
        <v>63</v>
      </c>
      <c r="M938" s="1">
        <v>65</v>
      </c>
      <c r="N938" s="1">
        <v>68</v>
      </c>
      <c r="O938" s="1">
        <v>70</v>
      </c>
    </row>
    <row r="939" spans="1:15" x14ac:dyDescent="0.3">
      <c r="A939" t="s">
        <v>1152</v>
      </c>
      <c r="B939" s="3" t="s">
        <v>2848</v>
      </c>
      <c r="C939" t="s">
        <v>1151</v>
      </c>
      <c r="D939" s="9">
        <f>VLOOKUP(A939,[2]Sheet1!$A:$C,3,0)</f>
        <v>106</v>
      </c>
      <c r="J939" s="1"/>
      <c r="K939" s="2">
        <v>0</v>
      </c>
      <c r="L939" s="1">
        <v>90</v>
      </c>
      <c r="M939" s="1">
        <v>93</v>
      </c>
      <c r="N939" s="1">
        <v>96</v>
      </c>
      <c r="O939" s="1">
        <v>100</v>
      </c>
    </row>
    <row r="940" spans="1:15" x14ac:dyDescent="0.3">
      <c r="A940" t="s">
        <v>1150</v>
      </c>
      <c r="B940" s="3" t="s">
        <v>2848</v>
      </c>
      <c r="C940" t="s">
        <v>1149</v>
      </c>
      <c r="D940" s="9">
        <f>VLOOKUP(A940,[2]Sheet1!$A:$C,3,0)</f>
        <v>17</v>
      </c>
      <c r="J940" s="1"/>
      <c r="K940" s="2">
        <v>0</v>
      </c>
      <c r="L940" s="1">
        <v>205</v>
      </c>
      <c r="M940" s="1">
        <v>210</v>
      </c>
      <c r="N940" s="1">
        <v>215</v>
      </c>
      <c r="O940" s="1">
        <v>235</v>
      </c>
    </row>
    <row r="941" spans="1:15" x14ac:dyDescent="0.3">
      <c r="A941" t="s">
        <v>1148</v>
      </c>
      <c r="B941" s="3" t="s">
        <v>2848</v>
      </c>
      <c r="C941" t="s">
        <v>1147</v>
      </c>
      <c r="D941" s="9">
        <f>VLOOKUP(A941,[2]Sheet1!$A:$C,3,0)</f>
        <v>12</v>
      </c>
      <c r="J941" s="1"/>
      <c r="K941" s="2">
        <v>0</v>
      </c>
      <c r="L941" s="1">
        <v>45</v>
      </c>
      <c r="M941" s="1">
        <v>46</v>
      </c>
      <c r="N941" s="1">
        <v>48</v>
      </c>
      <c r="O941" s="1">
        <v>50</v>
      </c>
    </row>
    <row r="942" spans="1:15" x14ac:dyDescent="0.3">
      <c r="A942" t="s">
        <v>1146</v>
      </c>
      <c r="B942" s="3" t="s">
        <v>2848</v>
      </c>
      <c r="C942" t="s">
        <v>1145</v>
      </c>
      <c r="D942" s="9">
        <f>VLOOKUP(A942,[2]Sheet1!$A:$C,3,0)</f>
        <v>39</v>
      </c>
      <c r="J942" s="1"/>
      <c r="K942" s="2">
        <v>0</v>
      </c>
      <c r="L942" s="1">
        <v>165</v>
      </c>
      <c r="M942" s="1">
        <v>170</v>
      </c>
      <c r="N942" s="1">
        <v>175</v>
      </c>
      <c r="O942" s="1">
        <v>185</v>
      </c>
    </row>
    <row r="943" spans="1:15" x14ac:dyDescent="0.3">
      <c r="A943" t="s">
        <v>1144</v>
      </c>
      <c r="B943" s="3" t="s">
        <v>2848</v>
      </c>
      <c r="C943" t="s">
        <v>1143</v>
      </c>
      <c r="D943" s="9">
        <f>VLOOKUP(A943,[2]Sheet1!$A:$C,3,0)</f>
        <v>40</v>
      </c>
      <c r="J943" s="1"/>
      <c r="K943" s="2">
        <v>0</v>
      </c>
      <c r="L943" s="1">
        <v>120</v>
      </c>
      <c r="M943" s="1">
        <v>125</v>
      </c>
      <c r="N943" s="1">
        <v>130</v>
      </c>
      <c r="O943" s="1">
        <v>135</v>
      </c>
    </row>
    <row r="944" spans="1:15" x14ac:dyDescent="0.3">
      <c r="A944" t="s">
        <v>1142</v>
      </c>
      <c r="B944" s="3" t="s">
        <v>2848</v>
      </c>
      <c r="C944" t="s">
        <v>1141</v>
      </c>
      <c r="D944" s="9">
        <f>VLOOKUP(A944,[2]Sheet1!$A:$C,3,0)</f>
        <v>79</v>
      </c>
      <c r="J944" s="1"/>
      <c r="K944" s="2">
        <v>0</v>
      </c>
      <c r="L944" s="1">
        <v>55</v>
      </c>
      <c r="M944" s="1">
        <v>58</v>
      </c>
      <c r="N944" s="1">
        <v>60</v>
      </c>
      <c r="O944" s="1">
        <v>65</v>
      </c>
    </row>
    <row r="945" spans="1:15" x14ac:dyDescent="0.3">
      <c r="A945" t="s">
        <v>1140</v>
      </c>
      <c r="B945" s="3" t="s">
        <v>2848</v>
      </c>
      <c r="C945" t="s">
        <v>1139</v>
      </c>
      <c r="D945" s="9">
        <f>VLOOKUP(A945,[2]Sheet1!$A:$C,3,0)</f>
        <v>0</v>
      </c>
      <c r="J945" s="1"/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 x14ac:dyDescent="0.3">
      <c r="A946" t="s">
        <v>1138</v>
      </c>
      <c r="B946" s="3" t="s">
        <v>2848</v>
      </c>
      <c r="C946" t="s">
        <v>1137</v>
      </c>
      <c r="D946" s="9">
        <f>VLOOKUP(A946,[2]Sheet1!$A:$C,3,0)</f>
        <v>2</v>
      </c>
      <c r="J946" s="1"/>
      <c r="K946" s="2">
        <v>0</v>
      </c>
      <c r="L946" s="1">
        <v>2650</v>
      </c>
      <c r="M946" s="1">
        <v>2750</v>
      </c>
      <c r="N946" s="1">
        <v>2800</v>
      </c>
      <c r="O946" s="1">
        <v>3000</v>
      </c>
    </row>
    <row r="947" spans="1:15" x14ac:dyDescent="0.3">
      <c r="A947" t="s">
        <v>1136</v>
      </c>
      <c r="B947" s="3" t="s">
        <v>2848</v>
      </c>
      <c r="C947" t="s">
        <v>1135</v>
      </c>
      <c r="D947" s="9">
        <f>VLOOKUP(A947,[2]Sheet1!$A:$C,3,0)</f>
        <v>11</v>
      </c>
      <c r="J947" s="1"/>
      <c r="K947" s="2">
        <v>0</v>
      </c>
      <c r="L947" s="1">
        <v>1800</v>
      </c>
      <c r="M947" s="1">
        <v>1900</v>
      </c>
      <c r="N947" s="1">
        <v>2000</v>
      </c>
      <c r="O947" s="1">
        <v>2490</v>
      </c>
    </row>
    <row r="948" spans="1:15" x14ac:dyDescent="0.3">
      <c r="A948" t="s">
        <v>1134</v>
      </c>
      <c r="B948" s="3" t="s">
        <v>2848</v>
      </c>
      <c r="C948" t="s">
        <v>1133</v>
      </c>
      <c r="D948" s="9">
        <f>VLOOKUP(A948,[2]Sheet1!$A:$C,3,0)</f>
        <v>16</v>
      </c>
      <c r="J948" s="1"/>
      <c r="K948" s="2">
        <v>0</v>
      </c>
      <c r="L948" s="1">
        <v>915</v>
      </c>
      <c r="M948" s="1">
        <v>950</v>
      </c>
      <c r="N948" s="1">
        <v>985</v>
      </c>
      <c r="O948" s="1">
        <v>1050</v>
      </c>
    </row>
    <row r="949" spans="1:15" x14ac:dyDescent="0.3">
      <c r="A949" t="s">
        <v>1132</v>
      </c>
      <c r="B949" s="3" t="s">
        <v>2848</v>
      </c>
      <c r="C949" t="s">
        <v>1131</v>
      </c>
      <c r="D949" s="9">
        <f>VLOOKUP(A949,[2]Sheet1!$A:$C,3,0)</f>
        <v>28</v>
      </c>
      <c r="J949" s="1"/>
      <c r="K949" s="2">
        <v>0</v>
      </c>
      <c r="L949" s="1">
        <v>42</v>
      </c>
      <c r="M949" s="1">
        <v>43</v>
      </c>
      <c r="N949" s="1">
        <v>45</v>
      </c>
      <c r="O949" s="1">
        <v>46</v>
      </c>
    </row>
    <row r="950" spans="1:15" x14ac:dyDescent="0.3">
      <c r="A950" t="s">
        <v>1130</v>
      </c>
      <c r="B950" s="3" t="s">
        <v>2848</v>
      </c>
      <c r="C950" t="s">
        <v>1129</v>
      </c>
      <c r="D950" s="9">
        <f>VLOOKUP(A950,[2]Sheet1!$A:$C,3,0)</f>
        <v>10</v>
      </c>
      <c r="J950" s="1"/>
      <c r="K950" s="2">
        <v>0</v>
      </c>
      <c r="L950" s="1">
        <v>155</v>
      </c>
      <c r="M950" s="1">
        <v>160</v>
      </c>
      <c r="N950" s="1">
        <v>175</v>
      </c>
      <c r="O950" s="1">
        <v>189</v>
      </c>
    </row>
    <row r="951" spans="1:15" x14ac:dyDescent="0.3">
      <c r="A951" t="s">
        <v>1128</v>
      </c>
      <c r="B951" s="3" t="s">
        <v>2848</v>
      </c>
      <c r="C951" t="s">
        <v>1127</v>
      </c>
      <c r="D951" s="9">
        <f>VLOOKUP(A951,[2]Sheet1!$A:$C,3,0)</f>
        <v>106</v>
      </c>
      <c r="J951" s="1"/>
      <c r="K951" s="2">
        <v>0</v>
      </c>
      <c r="L951" s="1">
        <v>92</v>
      </c>
      <c r="M951" s="1">
        <v>95</v>
      </c>
      <c r="N951" s="1">
        <v>100</v>
      </c>
      <c r="O951" s="1">
        <v>105</v>
      </c>
    </row>
    <row r="952" spans="1:15" x14ac:dyDescent="0.3">
      <c r="A952" t="s">
        <v>1126</v>
      </c>
      <c r="B952" s="3" t="s">
        <v>2848</v>
      </c>
      <c r="C952" t="s">
        <v>1125</v>
      </c>
      <c r="D952" s="9">
        <f>VLOOKUP(A952,[2]Sheet1!$A:$C,3,0)</f>
        <v>4</v>
      </c>
      <c r="J952" s="1"/>
      <c r="K952" s="2">
        <v>0</v>
      </c>
      <c r="L952" s="1">
        <v>160</v>
      </c>
      <c r="M952" s="1">
        <v>165</v>
      </c>
      <c r="N952" s="1">
        <v>170</v>
      </c>
      <c r="O952" s="1">
        <v>180</v>
      </c>
    </row>
    <row r="953" spans="1:15" x14ac:dyDescent="0.3">
      <c r="A953" t="s">
        <v>1124</v>
      </c>
      <c r="B953" s="3" t="s">
        <v>2848</v>
      </c>
      <c r="C953" t="s">
        <v>1123</v>
      </c>
      <c r="D953" s="9">
        <f>VLOOKUP(A953,[2]Sheet1!$A:$C,3,0)</f>
        <v>21</v>
      </c>
      <c r="J953" s="1"/>
      <c r="K953" s="2">
        <v>0</v>
      </c>
      <c r="L953" s="1">
        <v>150</v>
      </c>
      <c r="M953" s="1">
        <v>155</v>
      </c>
      <c r="N953" s="1">
        <v>160</v>
      </c>
      <c r="O953" s="1">
        <v>170</v>
      </c>
    </row>
    <row r="954" spans="1:15" x14ac:dyDescent="0.3">
      <c r="A954" t="s">
        <v>1122</v>
      </c>
      <c r="B954" s="3" t="s">
        <v>2848</v>
      </c>
      <c r="C954" t="s">
        <v>1121</v>
      </c>
      <c r="D954" s="9">
        <f>VLOOKUP(A954,[2]Sheet1!$A:$C,3,0)</f>
        <v>38</v>
      </c>
      <c r="J954" s="1"/>
      <c r="K954" s="2">
        <v>0</v>
      </c>
      <c r="L954" s="1">
        <v>190</v>
      </c>
      <c r="M954" s="1">
        <v>200</v>
      </c>
      <c r="N954" s="1">
        <v>205</v>
      </c>
      <c r="O954" s="1">
        <v>215</v>
      </c>
    </row>
    <row r="955" spans="1:15" x14ac:dyDescent="0.3">
      <c r="A955" t="s">
        <v>1120</v>
      </c>
      <c r="B955" s="3" t="s">
        <v>2848</v>
      </c>
      <c r="C955" t="s">
        <v>1119</v>
      </c>
      <c r="D955" s="9">
        <f>VLOOKUP(A955,[2]Sheet1!$A:$C,3,0)</f>
        <v>47</v>
      </c>
      <c r="J955" s="1"/>
      <c r="K955" s="2">
        <v>0</v>
      </c>
      <c r="L955" s="1">
        <v>235</v>
      </c>
      <c r="M955" s="1">
        <v>240</v>
      </c>
      <c r="N955" s="1">
        <v>250</v>
      </c>
      <c r="O955" s="1">
        <v>265</v>
      </c>
    </row>
    <row r="956" spans="1:15" x14ac:dyDescent="0.3">
      <c r="A956" t="s">
        <v>1118</v>
      </c>
      <c r="B956" s="3" t="s">
        <v>2848</v>
      </c>
      <c r="C956" t="s">
        <v>1117</v>
      </c>
      <c r="D956" s="9">
        <f>VLOOKUP(A956,[2]Sheet1!$A:$C,3,0)</f>
        <v>49</v>
      </c>
      <c r="J956" s="1"/>
      <c r="K956" s="2">
        <v>0</v>
      </c>
      <c r="L956" s="1">
        <v>105</v>
      </c>
      <c r="M956" s="1">
        <v>110</v>
      </c>
      <c r="N956" s="1">
        <v>115</v>
      </c>
      <c r="O956" s="1">
        <v>125</v>
      </c>
    </row>
    <row r="957" spans="1:15" x14ac:dyDescent="0.3">
      <c r="A957" t="s">
        <v>1116</v>
      </c>
      <c r="B957" s="3" t="s">
        <v>2848</v>
      </c>
      <c r="C957" t="s">
        <v>1115</v>
      </c>
      <c r="D957" s="9">
        <f>VLOOKUP(A957,[2]Sheet1!$A:$C,3,0)</f>
        <v>11</v>
      </c>
      <c r="J957" s="1"/>
      <c r="K957" s="2">
        <v>0</v>
      </c>
      <c r="L957" s="1">
        <v>350</v>
      </c>
      <c r="M957" s="1">
        <v>365</v>
      </c>
      <c r="N957" s="1">
        <v>375</v>
      </c>
      <c r="O957" s="1">
        <v>400</v>
      </c>
    </row>
    <row r="958" spans="1:15" x14ac:dyDescent="0.3">
      <c r="A958" t="s">
        <v>1114</v>
      </c>
      <c r="B958" s="3" t="s">
        <v>2848</v>
      </c>
      <c r="C958" t="s">
        <v>1113</v>
      </c>
      <c r="D958" s="9">
        <f>VLOOKUP(A958,[2]Sheet1!$A:$C,3,0)</f>
        <v>91</v>
      </c>
      <c r="J958" s="1"/>
      <c r="K958" s="2">
        <v>0</v>
      </c>
      <c r="L958" s="1">
        <v>148</v>
      </c>
      <c r="M958" s="1">
        <v>150</v>
      </c>
      <c r="N958" s="1">
        <v>155</v>
      </c>
      <c r="O958" s="1">
        <v>165</v>
      </c>
    </row>
    <row r="959" spans="1:15" x14ac:dyDescent="0.3">
      <c r="A959" t="s">
        <v>1112</v>
      </c>
      <c r="B959" s="3" t="s">
        <v>2848</v>
      </c>
      <c r="C959" t="s">
        <v>1111</v>
      </c>
      <c r="D959" s="9">
        <f>VLOOKUP(A959,[2]Sheet1!$A:$C,3,0)</f>
        <v>11</v>
      </c>
      <c r="J959" s="1"/>
      <c r="K959" s="2">
        <v>0</v>
      </c>
      <c r="L959" s="1">
        <v>280</v>
      </c>
      <c r="M959" s="1">
        <v>285</v>
      </c>
      <c r="N959" s="1">
        <v>295</v>
      </c>
      <c r="O959" s="1">
        <v>315</v>
      </c>
    </row>
    <row r="960" spans="1:15" x14ac:dyDescent="0.3">
      <c r="A960" t="s">
        <v>1110</v>
      </c>
      <c r="B960" s="3" t="s">
        <v>2848</v>
      </c>
      <c r="C960" t="s">
        <v>1109</v>
      </c>
      <c r="D960" s="9">
        <f>VLOOKUP(A960,[2]Sheet1!$A:$C,3,0)</f>
        <v>26</v>
      </c>
      <c r="J960" s="1"/>
      <c r="K960" s="2">
        <v>0</v>
      </c>
      <c r="L960" s="1">
        <v>175</v>
      </c>
      <c r="M960" s="1">
        <v>185</v>
      </c>
      <c r="N960" s="1">
        <v>190</v>
      </c>
      <c r="O960" s="1">
        <v>200</v>
      </c>
    </row>
    <row r="961" spans="1:15" x14ac:dyDescent="0.3">
      <c r="A961" t="s">
        <v>1108</v>
      </c>
      <c r="B961" s="3" t="s">
        <v>2848</v>
      </c>
      <c r="C961" t="s">
        <v>1107</v>
      </c>
      <c r="D961" s="9">
        <f>VLOOKUP(A961,[2]Sheet1!$A:$C,3,0)</f>
        <v>17</v>
      </c>
      <c r="J961" s="1"/>
      <c r="K961" s="2">
        <v>0</v>
      </c>
      <c r="L961" s="1">
        <v>127</v>
      </c>
      <c r="M961" s="1">
        <v>132</v>
      </c>
      <c r="N961" s="1">
        <v>135</v>
      </c>
      <c r="O961" s="1">
        <v>145</v>
      </c>
    </row>
    <row r="962" spans="1:15" x14ac:dyDescent="0.3">
      <c r="A962" t="s">
        <v>1106</v>
      </c>
      <c r="B962" s="3" t="s">
        <v>2848</v>
      </c>
      <c r="C962" t="s">
        <v>1105</v>
      </c>
      <c r="D962" s="9">
        <f>VLOOKUP(A962,[2]Sheet1!$A:$C,3,0)</f>
        <v>18</v>
      </c>
      <c r="J962" s="1"/>
      <c r="K962" s="2">
        <v>0</v>
      </c>
      <c r="L962" s="1">
        <v>142</v>
      </c>
      <c r="M962" s="1">
        <v>145</v>
      </c>
      <c r="N962" s="1">
        <v>150</v>
      </c>
      <c r="O962" s="1">
        <v>160</v>
      </c>
    </row>
    <row r="963" spans="1:15" x14ac:dyDescent="0.3">
      <c r="A963" t="s">
        <v>1104</v>
      </c>
      <c r="B963" s="3" t="s">
        <v>2848</v>
      </c>
      <c r="C963" t="s">
        <v>1103</v>
      </c>
      <c r="D963" s="9">
        <f>VLOOKUP(A963,[2]Sheet1!$A:$C,3,0)</f>
        <v>20</v>
      </c>
      <c r="J963" s="1"/>
      <c r="K963" s="2">
        <v>0</v>
      </c>
      <c r="L963" s="1">
        <v>153</v>
      </c>
      <c r="M963" s="1">
        <v>160</v>
      </c>
      <c r="N963" s="1">
        <v>165</v>
      </c>
      <c r="O963" s="1">
        <v>175</v>
      </c>
    </row>
    <row r="964" spans="1:15" x14ac:dyDescent="0.3">
      <c r="A964" t="s">
        <v>1102</v>
      </c>
      <c r="B964" s="3" t="s">
        <v>2848</v>
      </c>
      <c r="C964" t="s">
        <v>1101</v>
      </c>
      <c r="D964" s="9">
        <f>VLOOKUP(A964,[2]Sheet1!$A:$C,3,0)</f>
        <v>18</v>
      </c>
      <c r="J964" s="1"/>
      <c r="K964" s="2">
        <v>0</v>
      </c>
      <c r="L964" s="1">
        <v>160</v>
      </c>
      <c r="M964" s="1">
        <v>165</v>
      </c>
      <c r="N964" s="1">
        <v>170</v>
      </c>
      <c r="O964" s="1">
        <v>180</v>
      </c>
    </row>
    <row r="965" spans="1:15" x14ac:dyDescent="0.3">
      <c r="A965" t="s">
        <v>1100</v>
      </c>
      <c r="B965" s="3" t="s">
        <v>2848</v>
      </c>
      <c r="C965" t="s">
        <v>1099</v>
      </c>
      <c r="D965" s="9">
        <f>VLOOKUP(A965,[2]Sheet1!$A:$C,3,0)</f>
        <v>14</v>
      </c>
      <c r="J965" s="1"/>
      <c r="K965" s="2">
        <v>0</v>
      </c>
      <c r="L965" s="1">
        <v>190</v>
      </c>
      <c r="M965" s="1">
        <v>200</v>
      </c>
      <c r="N965" s="1">
        <v>205</v>
      </c>
      <c r="O965" s="1">
        <v>215</v>
      </c>
    </row>
    <row r="966" spans="1:15" x14ac:dyDescent="0.3">
      <c r="A966" t="s">
        <v>1098</v>
      </c>
      <c r="B966" s="3" t="s">
        <v>2848</v>
      </c>
      <c r="C966" t="s">
        <v>1097</v>
      </c>
      <c r="D966" s="9">
        <f>VLOOKUP(A966,[2]Sheet1!$A:$C,3,0)</f>
        <v>7</v>
      </c>
      <c r="J966" s="1"/>
      <c r="K966" s="2">
        <v>0</v>
      </c>
      <c r="L966" s="1">
        <v>465</v>
      </c>
      <c r="M966" s="1">
        <v>475</v>
      </c>
      <c r="N966" s="1">
        <v>490</v>
      </c>
      <c r="O966" s="1">
        <v>550</v>
      </c>
    </row>
    <row r="967" spans="1:15" x14ac:dyDescent="0.3">
      <c r="A967" t="s">
        <v>1096</v>
      </c>
      <c r="B967" s="3" t="s">
        <v>2848</v>
      </c>
      <c r="C967" t="s">
        <v>1095</v>
      </c>
      <c r="D967" s="9">
        <f>VLOOKUP(A967,[2]Sheet1!$A:$C,3,0)</f>
        <v>53</v>
      </c>
      <c r="J967" s="1"/>
      <c r="K967" s="2">
        <v>0</v>
      </c>
      <c r="L967" s="1">
        <v>38</v>
      </c>
      <c r="M967" s="1">
        <v>40</v>
      </c>
      <c r="N967" s="1">
        <v>42</v>
      </c>
      <c r="O967" s="1">
        <v>45</v>
      </c>
    </row>
    <row r="968" spans="1:15" x14ac:dyDescent="0.3">
      <c r="A968" t="s">
        <v>1094</v>
      </c>
      <c r="B968" s="3" t="s">
        <v>2848</v>
      </c>
      <c r="C968" t="s">
        <v>1093</v>
      </c>
      <c r="D968" s="9">
        <f>VLOOKUP(A968,[2]Sheet1!$A:$C,3,0)</f>
        <v>19</v>
      </c>
      <c r="J968" s="1"/>
      <c r="K968" s="2">
        <v>0</v>
      </c>
      <c r="L968" s="1">
        <v>41</v>
      </c>
      <c r="M968" s="1">
        <v>42</v>
      </c>
      <c r="N968" s="1">
        <v>45</v>
      </c>
      <c r="O968" s="1">
        <v>48</v>
      </c>
    </row>
    <row r="969" spans="1:15" x14ac:dyDescent="0.3">
      <c r="A969" t="s">
        <v>1092</v>
      </c>
      <c r="B969" s="3" t="s">
        <v>2848</v>
      </c>
      <c r="C969" t="s">
        <v>1091</v>
      </c>
      <c r="D969" s="9">
        <f>VLOOKUP(A969,[2]Sheet1!$A:$C,3,0)</f>
        <v>46</v>
      </c>
      <c r="J969" s="1"/>
      <c r="K969" s="2">
        <v>0</v>
      </c>
      <c r="L969" s="1">
        <v>48</v>
      </c>
      <c r="M969" s="1">
        <v>50</v>
      </c>
      <c r="N969" s="1">
        <v>52</v>
      </c>
      <c r="O969" s="1">
        <v>55</v>
      </c>
    </row>
    <row r="970" spans="1:15" x14ac:dyDescent="0.3">
      <c r="A970" t="s">
        <v>1090</v>
      </c>
      <c r="B970" s="3" t="s">
        <v>2848</v>
      </c>
      <c r="C970" t="s">
        <v>1089</v>
      </c>
      <c r="D970" s="9">
        <f>VLOOKUP(A970,[2]Sheet1!$A:$C,3,0)</f>
        <v>49</v>
      </c>
      <c r="J970" s="1"/>
      <c r="K970" s="2">
        <v>0</v>
      </c>
      <c r="L970" s="1">
        <v>58</v>
      </c>
      <c r="M970" s="1">
        <v>59</v>
      </c>
      <c r="N970" s="1">
        <v>60</v>
      </c>
      <c r="O970" s="1">
        <v>65</v>
      </c>
    </row>
    <row r="971" spans="1:15" x14ac:dyDescent="0.3">
      <c r="A971" t="s">
        <v>1088</v>
      </c>
      <c r="B971" s="3" t="s">
        <v>2848</v>
      </c>
      <c r="C971" t="s">
        <v>1087</v>
      </c>
      <c r="D971" s="9">
        <f>VLOOKUP(A971,[2]Sheet1!$A:$C,3,0)</f>
        <v>49</v>
      </c>
      <c r="J971" s="1"/>
      <c r="K971" s="2">
        <v>0</v>
      </c>
      <c r="L971" s="1">
        <v>58</v>
      </c>
      <c r="M971" s="1">
        <v>60</v>
      </c>
      <c r="N971" s="1">
        <v>63</v>
      </c>
      <c r="O971" s="1">
        <v>66</v>
      </c>
    </row>
    <row r="972" spans="1:15" x14ac:dyDescent="0.3">
      <c r="A972" t="s">
        <v>1086</v>
      </c>
      <c r="B972" s="3" t="s">
        <v>2848</v>
      </c>
      <c r="C972" t="s">
        <v>1085</v>
      </c>
      <c r="D972" s="9">
        <f>VLOOKUP(A972,[2]Sheet1!$A:$C,3,0)</f>
        <v>20</v>
      </c>
      <c r="J972" s="1"/>
      <c r="K972" s="2">
        <v>0</v>
      </c>
      <c r="L972" s="1">
        <v>1650</v>
      </c>
      <c r="M972" s="1">
        <v>1700</v>
      </c>
      <c r="N972" s="1">
        <v>1750</v>
      </c>
      <c r="O972" s="1">
        <v>1800</v>
      </c>
    </row>
    <row r="973" spans="1:15" x14ac:dyDescent="0.3">
      <c r="A973" t="s">
        <v>1084</v>
      </c>
      <c r="B973" s="3" t="s">
        <v>2848</v>
      </c>
      <c r="C973" t="s">
        <v>1083</v>
      </c>
      <c r="D973" s="9">
        <f>VLOOKUP(A973,[2]Sheet1!$A:$C,3,0)</f>
        <v>0</v>
      </c>
      <c r="J973" s="1"/>
      <c r="K973" s="2">
        <v>0</v>
      </c>
      <c r="L973" s="1">
        <v>3900</v>
      </c>
      <c r="M973" s="1">
        <v>4000</v>
      </c>
      <c r="N973" s="1">
        <v>4150</v>
      </c>
      <c r="O973" s="1">
        <v>4350</v>
      </c>
    </row>
    <row r="974" spans="1:15" x14ac:dyDescent="0.3">
      <c r="A974" t="s">
        <v>1082</v>
      </c>
      <c r="B974" s="3" t="s">
        <v>2848</v>
      </c>
      <c r="C974" t="s">
        <v>1081</v>
      </c>
      <c r="D974" s="9">
        <f>VLOOKUP(A974,[2]Sheet1!$A:$C,3,0)</f>
        <v>1</v>
      </c>
      <c r="J974" s="1"/>
      <c r="K974" s="2">
        <v>0</v>
      </c>
      <c r="L974" s="1">
        <v>2359</v>
      </c>
      <c r="M974" s="1">
        <v>2450</v>
      </c>
      <c r="N974" s="1">
        <v>2550</v>
      </c>
      <c r="O974" s="1">
        <v>2650</v>
      </c>
    </row>
    <row r="975" spans="1:15" x14ac:dyDescent="0.3">
      <c r="A975" t="s">
        <v>1080</v>
      </c>
      <c r="B975" s="3" t="s">
        <v>2848</v>
      </c>
      <c r="C975" t="s">
        <v>1079</v>
      </c>
      <c r="D975" s="9">
        <f>VLOOKUP(A975,[2]Sheet1!$A:$C,3,0)</f>
        <v>3</v>
      </c>
      <c r="J975" s="1"/>
      <c r="K975" s="2">
        <v>0</v>
      </c>
      <c r="L975" s="1">
        <v>1375</v>
      </c>
      <c r="M975" s="1">
        <v>1425</v>
      </c>
      <c r="N975" s="1">
        <v>1465</v>
      </c>
      <c r="O975" s="1">
        <v>1550</v>
      </c>
    </row>
    <row r="976" spans="1:15" x14ac:dyDescent="0.3">
      <c r="A976" t="s">
        <v>1078</v>
      </c>
      <c r="B976" s="3" t="s">
        <v>2848</v>
      </c>
      <c r="C976" t="s">
        <v>1077</v>
      </c>
      <c r="D976" s="9">
        <f>VLOOKUP(A976,[2]Sheet1!$A:$C,3,0)</f>
        <v>2</v>
      </c>
      <c r="J976" s="1"/>
      <c r="K976" s="2">
        <v>0</v>
      </c>
      <c r="L976" s="1">
        <v>2400</v>
      </c>
      <c r="M976" s="1">
        <v>2450</v>
      </c>
      <c r="N976" s="1">
        <v>2550</v>
      </c>
      <c r="O976" s="1">
        <v>2750</v>
      </c>
    </row>
    <row r="977" spans="1:15" x14ac:dyDescent="0.3">
      <c r="A977" t="s">
        <v>1076</v>
      </c>
      <c r="B977" s="3" t="s">
        <v>2848</v>
      </c>
      <c r="C977" t="s">
        <v>1075</v>
      </c>
      <c r="D977" s="9">
        <f>VLOOKUP(A977,[2]Sheet1!$A:$C,3,0)</f>
        <v>8</v>
      </c>
      <c r="J977" s="1"/>
      <c r="K977" s="2">
        <v>0</v>
      </c>
      <c r="L977" s="1">
        <v>660</v>
      </c>
      <c r="M977" s="1">
        <v>685</v>
      </c>
      <c r="N977" s="1">
        <v>700</v>
      </c>
      <c r="O977" s="1">
        <v>750</v>
      </c>
    </row>
    <row r="978" spans="1:15" x14ac:dyDescent="0.3">
      <c r="A978" t="s">
        <v>1074</v>
      </c>
      <c r="B978" s="3" t="s">
        <v>2848</v>
      </c>
      <c r="C978" t="s">
        <v>1073</v>
      </c>
      <c r="D978" s="9">
        <f>VLOOKUP(A978,[2]Sheet1!$A:$C,3,0)</f>
        <v>8</v>
      </c>
      <c r="J978" s="1"/>
      <c r="K978" s="2">
        <v>0</v>
      </c>
      <c r="L978" s="1">
        <v>885</v>
      </c>
      <c r="M978" s="1">
        <v>915</v>
      </c>
      <c r="N978" s="1">
        <v>950</v>
      </c>
      <c r="O978" s="1">
        <v>1000</v>
      </c>
    </row>
    <row r="979" spans="1:15" x14ac:dyDescent="0.3">
      <c r="A979" t="s">
        <v>1072</v>
      </c>
      <c r="B979" s="3" t="s">
        <v>2848</v>
      </c>
      <c r="C979" t="s">
        <v>1071</v>
      </c>
      <c r="D979" s="9">
        <f>VLOOKUP(A979,[2]Sheet1!$A:$C,3,0)</f>
        <v>10</v>
      </c>
      <c r="J979" s="1"/>
      <c r="K979" s="2">
        <v>0</v>
      </c>
      <c r="L979" s="1">
        <v>1685</v>
      </c>
      <c r="M979" s="1">
        <v>1750</v>
      </c>
      <c r="N979" s="1">
        <v>1790</v>
      </c>
      <c r="O979" s="1">
        <v>1900</v>
      </c>
    </row>
    <row r="980" spans="1:15" x14ac:dyDescent="0.3">
      <c r="A980" t="s">
        <v>1070</v>
      </c>
      <c r="B980" s="3" t="s">
        <v>2848</v>
      </c>
      <c r="C980" t="s">
        <v>1069</v>
      </c>
      <c r="D980" s="9">
        <f>VLOOKUP(A980,[2]Sheet1!$A:$C,3,0)</f>
        <v>10</v>
      </c>
      <c r="J980" s="1"/>
      <c r="K980" s="2">
        <v>0</v>
      </c>
      <c r="L980" s="1">
        <v>4700</v>
      </c>
      <c r="M980" s="1">
        <v>4850</v>
      </c>
      <c r="N980" s="1">
        <v>5000</v>
      </c>
      <c r="O980" s="1">
        <v>5250</v>
      </c>
    </row>
    <row r="981" spans="1:15" x14ac:dyDescent="0.3">
      <c r="A981" t="s">
        <v>1068</v>
      </c>
      <c r="B981" s="3" t="s">
        <v>2848</v>
      </c>
      <c r="C981" t="s">
        <v>1067</v>
      </c>
      <c r="D981" s="9">
        <f>VLOOKUP(A981,[2]Sheet1!$A:$C,3,0)</f>
        <v>5</v>
      </c>
      <c r="J981" s="1"/>
      <c r="K981" s="2">
        <v>0</v>
      </c>
      <c r="L981" s="1">
        <v>3350</v>
      </c>
      <c r="M981" s="1">
        <v>3450</v>
      </c>
      <c r="N981" s="1">
        <v>3550</v>
      </c>
      <c r="O981" s="1">
        <v>3750</v>
      </c>
    </row>
    <row r="982" spans="1:15" x14ac:dyDescent="0.3">
      <c r="A982" t="s">
        <v>1066</v>
      </c>
      <c r="B982" s="3" t="s">
        <v>2848</v>
      </c>
      <c r="C982" t="s">
        <v>1065</v>
      </c>
      <c r="D982" s="9">
        <f>VLOOKUP(A982,[2]Sheet1!$A:$C,3,0)</f>
        <v>8</v>
      </c>
      <c r="J982" s="1"/>
      <c r="K982" s="2">
        <v>0</v>
      </c>
      <c r="L982" s="1">
        <v>850</v>
      </c>
      <c r="M982" s="1">
        <v>880</v>
      </c>
      <c r="N982" s="1">
        <v>925</v>
      </c>
      <c r="O982" s="1">
        <v>950</v>
      </c>
    </row>
    <row r="983" spans="1:15" x14ac:dyDescent="0.3">
      <c r="A983" t="s">
        <v>1064</v>
      </c>
      <c r="B983" s="3" t="s">
        <v>2848</v>
      </c>
      <c r="C983" t="s">
        <v>1063</v>
      </c>
      <c r="D983" s="9">
        <f>VLOOKUP(A983,[2]Sheet1!$A:$C,3,0)</f>
        <v>6</v>
      </c>
      <c r="J983" s="1"/>
      <c r="K983" s="2">
        <v>0</v>
      </c>
      <c r="L983" s="1">
        <v>635</v>
      </c>
      <c r="M983" s="1">
        <v>660</v>
      </c>
      <c r="N983" s="1">
        <v>680</v>
      </c>
      <c r="O983" s="1">
        <v>715</v>
      </c>
    </row>
    <row r="984" spans="1:15" x14ac:dyDescent="0.3">
      <c r="A984" t="s">
        <v>1062</v>
      </c>
      <c r="B984" s="3" t="s">
        <v>2848</v>
      </c>
      <c r="C984" t="s">
        <v>1061</v>
      </c>
      <c r="D984" s="9">
        <f>VLOOKUP(A984,[2]Sheet1!$A:$C,3,0)</f>
        <v>40</v>
      </c>
      <c r="J984" s="1"/>
      <c r="K984" s="2">
        <v>0</v>
      </c>
      <c r="L984" s="1">
        <v>660</v>
      </c>
      <c r="M984" s="1">
        <v>680</v>
      </c>
      <c r="N984" s="1">
        <v>700</v>
      </c>
      <c r="O984" s="1">
        <v>750</v>
      </c>
    </row>
    <row r="985" spans="1:15" x14ac:dyDescent="0.3">
      <c r="A985" t="s">
        <v>1060</v>
      </c>
      <c r="B985" s="3" t="s">
        <v>2848</v>
      </c>
      <c r="C985" t="s">
        <v>1059</v>
      </c>
      <c r="D985" s="9">
        <f>VLOOKUP(A985,[2]Sheet1!$A:$C,3,0)</f>
        <v>9</v>
      </c>
      <c r="J985" s="1"/>
      <c r="K985" s="2">
        <v>0</v>
      </c>
      <c r="L985" s="1">
        <v>3300</v>
      </c>
      <c r="M985" s="1">
        <v>3385</v>
      </c>
      <c r="N985" s="1">
        <v>3450</v>
      </c>
      <c r="O985" s="1">
        <v>3650</v>
      </c>
    </row>
    <row r="986" spans="1:15" x14ac:dyDescent="0.3">
      <c r="A986" t="s">
        <v>1058</v>
      </c>
      <c r="B986" s="3" t="s">
        <v>2848</v>
      </c>
      <c r="C986" t="s">
        <v>1057</v>
      </c>
      <c r="D986" s="9">
        <f>VLOOKUP(A986,[2]Sheet1!$A:$C,3,0)</f>
        <v>5</v>
      </c>
      <c r="J986" s="1"/>
      <c r="K986" s="2">
        <v>0</v>
      </c>
      <c r="L986" s="1">
        <v>1560</v>
      </c>
      <c r="M986" s="1">
        <v>1600</v>
      </c>
      <c r="N986" s="1">
        <v>1660</v>
      </c>
      <c r="O986" s="1">
        <v>1750</v>
      </c>
    </row>
    <row r="987" spans="1:15" x14ac:dyDescent="0.3">
      <c r="A987" t="s">
        <v>1056</v>
      </c>
      <c r="B987" s="3" t="s">
        <v>2848</v>
      </c>
      <c r="C987" t="s">
        <v>1055</v>
      </c>
      <c r="D987" s="9">
        <f>VLOOKUP(A987,[2]Sheet1!$A:$C,3,0)</f>
        <v>5</v>
      </c>
      <c r="J987" s="1"/>
      <c r="K987" s="2">
        <v>0</v>
      </c>
      <c r="L987" s="1">
        <v>765</v>
      </c>
      <c r="M987" s="1">
        <v>785</v>
      </c>
      <c r="N987" s="1">
        <v>800</v>
      </c>
      <c r="O987" s="1">
        <v>850</v>
      </c>
    </row>
    <row r="988" spans="1:15" x14ac:dyDescent="0.3">
      <c r="A988" t="s">
        <v>1054</v>
      </c>
      <c r="B988" s="3" t="s">
        <v>2848</v>
      </c>
      <c r="C988" t="s">
        <v>1053</v>
      </c>
      <c r="D988" s="9">
        <f>VLOOKUP(A988,[2]Sheet1!$A:$C,3,0)</f>
        <v>13</v>
      </c>
      <c r="J988" s="1"/>
      <c r="K988" s="2">
        <v>0</v>
      </c>
      <c r="L988" s="1">
        <v>2800</v>
      </c>
      <c r="M988" s="1">
        <v>2900</v>
      </c>
      <c r="N988" s="1">
        <v>2950</v>
      </c>
      <c r="O988" s="1">
        <v>3150</v>
      </c>
    </row>
    <row r="989" spans="1:15" x14ac:dyDescent="0.3">
      <c r="A989" t="s">
        <v>1052</v>
      </c>
      <c r="B989" s="3" t="s">
        <v>2848</v>
      </c>
      <c r="C989" t="s">
        <v>1051</v>
      </c>
      <c r="D989" s="9">
        <f>VLOOKUP(A989,[2]Sheet1!$A:$C,3,0)</f>
        <v>7</v>
      </c>
      <c r="J989" s="1"/>
      <c r="K989" s="2">
        <v>0</v>
      </c>
      <c r="L989" s="1">
        <v>64</v>
      </c>
      <c r="M989" s="1">
        <v>68</v>
      </c>
      <c r="N989" s="1">
        <v>70</v>
      </c>
      <c r="O989" s="1">
        <v>73</v>
      </c>
    </row>
    <row r="990" spans="1:15" x14ac:dyDescent="0.3">
      <c r="A990" t="s">
        <v>1050</v>
      </c>
      <c r="B990" s="3" t="s">
        <v>2848</v>
      </c>
      <c r="C990" t="s">
        <v>1049</v>
      </c>
      <c r="D990" s="9">
        <f>VLOOKUP(A990,[2]Sheet1!$A:$C,3,0)</f>
        <v>13</v>
      </c>
      <c r="J990" s="1"/>
      <c r="K990" s="2">
        <v>0</v>
      </c>
      <c r="L990" s="1">
        <v>73</v>
      </c>
      <c r="M990" s="1">
        <v>76</v>
      </c>
      <c r="N990" s="1">
        <v>78</v>
      </c>
      <c r="O990" s="1">
        <v>83</v>
      </c>
    </row>
    <row r="991" spans="1:15" x14ac:dyDescent="0.3">
      <c r="A991" t="s">
        <v>1048</v>
      </c>
      <c r="B991" s="3" t="s">
        <v>2848</v>
      </c>
      <c r="C991" t="s">
        <v>1047</v>
      </c>
      <c r="D991" s="9">
        <f>VLOOKUP(A991,[2]Sheet1!$A:$C,3,0)</f>
        <v>28</v>
      </c>
      <c r="J991" s="1"/>
      <c r="K991" s="2">
        <v>0</v>
      </c>
      <c r="L991" s="1">
        <v>60</v>
      </c>
      <c r="M991" s="1">
        <v>62</v>
      </c>
      <c r="N991" s="1">
        <v>64</v>
      </c>
      <c r="O991" s="1">
        <v>68</v>
      </c>
    </row>
    <row r="992" spans="1:15" x14ac:dyDescent="0.3">
      <c r="A992" t="s">
        <v>1046</v>
      </c>
      <c r="B992" s="3" t="s">
        <v>2848</v>
      </c>
      <c r="C992" t="s">
        <v>1045</v>
      </c>
      <c r="D992" s="9">
        <f>VLOOKUP(A992,[2]Sheet1!$A:$C,3,0)</f>
        <v>36</v>
      </c>
      <c r="J992" s="1"/>
      <c r="K992" s="2">
        <v>0</v>
      </c>
      <c r="L992" s="1">
        <v>60</v>
      </c>
      <c r="M992" s="1">
        <v>62</v>
      </c>
      <c r="N992" s="1">
        <v>65</v>
      </c>
      <c r="O992" s="1">
        <v>70</v>
      </c>
    </row>
    <row r="993" spans="1:15" x14ac:dyDescent="0.3">
      <c r="A993" t="s">
        <v>1044</v>
      </c>
      <c r="B993" s="3" t="s">
        <v>2848</v>
      </c>
      <c r="C993" t="s">
        <v>1043</v>
      </c>
      <c r="D993" s="9">
        <f>VLOOKUP(A993,[2]Sheet1!$A:$C,3,0)</f>
        <v>36</v>
      </c>
      <c r="J993" s="1"/>
      <c r="K993" s="2">
        <v>0</v>
      </c>
      <c r="L993" s="1">
        <v>60</v>
      </c>
      <c r="M993" s="1">
        <v>62</v>
      </c>
      <c r="N993" s="1">
        <v>65</v>
      </c>
      <c r="O993" s="1">
        <v>70</v>
      </c>
    </row>
    <row r="994" spans="1:15" x14ac:dyDescent="0.3">
      <c r="A994" t="s">
        <v>1042</v>
      </c>
      <c r="B994" s="3" t="s">
        <v>2848</v>
      </c>
      <c r="C994" t="s">
        <v>1041</v>
      </c>
      <c r="D994" s="9">
        <f>VLOOKUP(A994,[2]Sheet1!$A:$C,3,0)</f>
        <v>12</v>
      </c>
      <c r="J994" s="1"/>
      <c r="K994" s="2">
        <v>0</v>
      </c>
      <c r="L994" s="1">
        <v>60</v>
      </c>
      <c r="M994" s="1">
        <v>62</v>
      </c>
      <c r="N994" s="1">
        <v>65</v>
      </c>
      <c r="O994" s="1">
        <v>70</v>
      </c>
    </row>
    <row r="995" spans="1:15" x14ac:dyDescent="0.3">
      <c r="A995" t="s">
        <v>1040</v>
      </c>
      <c r="B995" s="3" t="s">
        <v>2848</v>
      </c>
      <c r="C995" t="s">
        <v>1039</v>
      </c>
      <c r="D995" s="9">
        <f>VLOOKUP(A995,[2]Sheet1!$A:$C,3,0)</f>
        <v>20</v>
      </c>
      <c r="J995" s="1"/>
      <c r="K995" s="2">
        <v>0</v>
      </c>
      <c r="L995" s="1">
        <v>22</v>
      </c>
      <c r="M995" s="1">
        <v>23</v>
      </c>
      <c r="N995" s="1">
        <v>24</v>
      </c>
      <c r="O995" s="1">
        <v>25</v>
      </c>
    </row>
    <row r="996" spans="1:15" x14ac:dyDescent="0.3">
      <c r="A996" t="s">
        <v>1038</v>
      </c>
      <c r="B996" s="3" t="s">
        <v>2848</v>
      </c>
      <c r="C996" t="s">
        <v>1037</v>
      </c>
      <c r="D996" s="9">
        <f>VLOOKUP(A996,[2]Sheet1!$A:$C,3,0)</f>
        <v>0</v>
      </c>
      <c r="J996" s="1"/>
      <c r="K996" s="2">
        <v>0</v>
      </c>
      <c r="L996" s="1">
        <v>50</v>
      </c>
      <c r="M996" s="1">
        <v>55</v>
      </c>
      <c r="N996" s="1">
        <v>60</v>
      </c>
      <c r="O996" s="1">
        <v>65</v>
      </c>
    </row>
    <row r="997" spans="1:15" x14ac:dyDescent="0.3">
      <c r="A997" t="s">
        <v>1036</v>
      </c>
      <c r="B997" s="3" t="s">
        <v>2848</v>
      </c>
      <c r="C997" t="s">
        <v>1035</v>
      </c>
      <c r="D997" s="9">
        <f>VLOOKUP(A997,[2]Sheet1!$A:$C,3,0)</f>
        <v>25</v>
      </c>
      <c r="J997" s="1"/>
      <c r="K997" s="2">
        <v>0</v>
      </c>
      <c r="L997" s="1">
        <v>150</v>
      </c>
      <c r="M997" s="1">
        <v>155</v>
      </c>
      <c r="N997" s="1">
        <v>160</v>
      </c>
      <c r="O997" s="1">
        <v>170</v>
      </c>
    </row>
    <row r="998" spans="1:15" x14ac:dyDescent="0.3">
      <c r="A998" t="s">
        <v>1034</v>
      </c>
      <c r="B998" s="3" t="s">
        <v>2848</v>
      </c>
      <c r="C998" t="s">
        <v>1033</v>
      </c>
      <c r="D998" s="9">
        <f>VLOOKUP(A998,[2]Sheet1!$A:$C,3,0)</f>
        <v>5</v>
      </c>
      <c r="J998" s="1"/>
      <c r="K998" s="2">
        <v>0</v>
      </c>
      <c r="L998" s="1">
        <v>55</v>
      </c>
      <c r="M998" s="1">
        <v>56</v>
      </c>
      <c r="N998" s="1">
        <v>58</v>
      </c>
      <c r="O998" s="1">
        <v>62</v>
      </c>
    </row>
    <row r="999" spans="1:15" x14ac:dyDescent="0.3">
      <c r="A999" t="s">
        <v>1032</v>
      </c>
      <c r="B999" s="3" t="s">
        <v>2848</v>
      </c>
      <c r="C999" t="s">
        <v>1031</v>
      </c>
      <c r="D999" s="9">
        <f>VLOOKUP(A999,[2]Sheet1!$A:$C,3,0)</f>
        <v>12</v>
      </c>
      <c r="J999" s="1"/>
      <c r="K999" s="2">
        <v>0</v>
      </c>
      <c r="L999" s="1">
        <v>55</v>
      </c>
      <c r="M999" s="1">
        <v>56</v>
      </c>
      <c r="N999" s="1">
        <v>58</v>
      </c>
      <c r="O999" s="1">
        <v>62</v>
      </c>
    </row>
    <row r="1000" spans="1:15" x14ac:dyDescent="0.3">
      <c r="A1000" t="s">
        <v>1030</v>
      </c>
      <c r="B1000" s="3" t="s">
        <v>2848</v>
      </c>
      <c r="C1000" t="s">
        <v>1029</v>
      </c>
      <c r="D1000" s="9">
        <f>VLOOKUP(A1000,[2]Sheet1!$A:$C,3,0)</f>
        <v>33</v>
      </c>
      <c r="J1000" s="1"/>
      <c r="K1000" s="2">
        <v>0</v>
      </c>
      <c r="L1000" s="1">
        <v>55</v>
      </c>
      <c r="M1000" s="1">
        <v>56</v>
      </c>
      <c r="N1000" s="1">
        <v>58</v>
      </c>
      <c r="O1000" s="1">
        <v>62</v>
      </c>
    </row>
    <row r="1001" spans="1:15" x14ac:dyDescent="0.3">
      <c r="A1001" t="s">
        <v>1028</v>
      </c>
      <c r="B1001" s="3" t="s">
        <v>2848</v>
      </c>
      <c r="C1001" t="s">
        <v>1027</v>
      </c>
      <c r="D1001" s="9">
        <f>VLOOKUP(A1001,[2]Sheet1!$A:$C,3,0)</f>
        <v>33</v>
      </c>
      <c r="J1001" s="1"/>
      <c r="K1001" s="2">
        <v>0</v>
      </c>
      <c r="L1001" s="1">
        <v>55</v>
      </c>
      <c r="M1001" s="1">
        <v>56</v>
      </c>
      <c r="N1001" s="1">
        <v>58</v>
      </c>
      <c r="O1001" s="1">
        <v>62</v>
      </c>
    </row>
    <row r="1002" spans="1:15" x14ac:dyDescent="0.3">
      <c r="A1002" t="s">
        <v>1026</v>
      </c>
      <c r="B1002" s="3" t="s">
        <v>2848</v>
      </c>
      <c r="C1002" t="s">
        <v>1025</v>
      </c>
      <c r="D1002" s="9">
        <f>VLOOKUP(A1002,[2]Sheet1!$A:$C,3,0)</f>
        <v>27</v>
      </c>
      <c r="J1002" s="1"/>
      <c r="K1002" s="2">
        <v>0</v>
      </c>
      <c r="L1002" s="1">
        <v>55</v>
      </c>
      <c r="M1002" s="1">
        <v>56</v>
      </c>
      <c r="N1002" s="1">
        <v>58</v>
      </c>
      <c r="O1002" s="1">
        <v>62</v>
      </c>
    </row>
    <row r="1003" spans="1:15" x14ac:dyDescent="0.3">
      <c r="A1003" t="s">
        <v>1024</v>
      </c>
      <c r="B1003" s="3" t="s">
        <v>2848</v>
      </c>
      <c r="C1003" t="s">
        <v>1023</v>
      </c>
      <c r="D1003" s="9">
        <f>VLOOKUP(A1003,[2]Sheet1!$A:$C,3,0)</f>
        <v>21</v>
      </c>
      <c r="J1003" s="1"/>
      <c r="K1003" s="2">
        <v>0</v>
      </c>
      <c r="L1003" s="1">
        <v>18</v>
      </c>
      <c r="M1003" s="1">
        <v>19</v>
      </c>
      <c r="N1003" s="1">
        <v>20</v>
      </c>
      <c r="O1003" s="1">
        <v>25</v>
      </c>
    </row>
    <row r="1004" spans="1:15" x14ac:dyDescent="0.3">
      <c r="A1004" t="s">
        <v>1304</v>
      </c>
      <c r="B1004" s="3" t="s">
        <v>2848</v>
      </c>
      <c r="C1004" t="s">
        <v>1303</v>
      </c>
      <c r="D1004" s="9">
        <f>VLOOKUP(A1004,[2]Sheet1!$A:$C,3,0)</f>
        <v>100</v>
      </c>
      <c r="J1004" s="1"/>
      <c r="K1004" s="2">
        <v>0</v>
      </c>
      <c r="L1004" s="1">
        <v>115</v>
      </c>
      <c r="M1004" s="1">
        <v>118</v>
      </c>
      <c r="N1004" s="1">
        <v>120</v>
      </c>
      <c r="O1004" s="1">
        <v>130</v>
      </c>
    </row>
    <row r="1005" spans="1:15" x14ac:dyDescent="0.3">
      <c r="A1005" t="s">
        <v>810</v>
      </c>
      <c r="B1005" s="3" t="s">
        <v>2849</v>
      </c>
      <c r="C1005" t="s">
        <v>809</v>
      </c>
      <c r="D1005" s="9">
        <f>VLOOKUP(A1005,[2]Sheet1!$A:$C,3,0)</f>
        <v>53</v>
      </c>
      <c r="J1005" s="1"/>
      <c r="K1005" s="2">
        <v>0</v>
      </c>
      <c r="L1005" s="1">
        <v>175</v>
      </c>
      <c r="M1005" s="1">
        <v>180</v>
      </c>
      <c r="N1005" s="1">
        <v>185</v>
      </c>
      <c r="O1005" s="1">
        <v>190</v>
      </c>
    </row>
    <row r="1006" spans="1:15" x14ac:dyDescent="0.3">
      <c r="A1006" t="s">
        <v>808</v>
      </c>
      <c r="B1006" s="3" t="s">
        <v>2849</v>
      </c>
      <c r="C1006" t="s">
        <v>807</v>
      </c>
      <c r="D1006" s="9">
        <f>VLOOKUP(A1006,[2]Sheet1!$A:$C,3,0)</f>
        <v>8</v>
      </c>
      <c r="J1006" s="1"/>
      <c r="K1006" s="2">
        <v>0</v>
      </c>
      <c r="L1006" s="1">
        <v>165</v>
      </c>
      <c r="M1006" s="1">
        <v>170</v>
      </c>
      <c r="N1006" s="1">
        <v>180</v>
      </c>
      <c r="O1006" s="1">
        <v>185</v>
      </c>
    </row>
    <row r="1007" spans="1:15" x14ac:dyDescent="0.3">
      <c r="A1007" t="s">
        <v>806</v>
      </c>
      <c r="B1007" s="3" t="s">
        <v>2849</v>
      </c>
      <c r="C1007" t="s">
        <v>805</v>
      </c>
      <c r="D1007" s="9">
        <f>VLOOKUP(A1007,[2]Sheet1!$A:$C,3,0)</f>
        <v>23</v>
      </c>
      <c r="J1007" s="1"/>
      <c r="K1007" s="2">
        <v>0</v>
      </c>
      <c r="L1007" s="1">
        <v>62</v>
      </c>
      <c r="M1007" s="1">
        <v>64</v>
      </c>
      <c r="N1007" s="1">
        <v>66</v>
      </c>
      <c r="O1007" s="1">
        <v>70</v>
      </c>
    </row>
    <row r="1008" spans="1:15" x14ac:dyDescent="0.3">
      <c r="A1008" t="s">
        <v>804</v>
      </c>
      <c r="B1008" s="3" t="s">
        <v>2849</v>
      </c>
      <c r="C1008" t="s">
        <v>803</v>
      </c>
      <c r="D1008" s="9">
        <f>VLOOKUP(A1008,[2]Sheet1!$A:$C,3,0)</f>
        <v>12</v>
      </c>
      <c r="J1008" s="1"/>
      <c r="K1008" s="2">
        <v>0</v>
      </c>
      <c r="L1008" s="1">
        <v>165</v>
      </c>
      <c r="M1008" s="1">
        <v>170</v>
      </c>
      <c r="N1008" s="1">
        <v>180</v>
      </c>
      <c r="O1008" s="1">
        <v>185</v>
      </c>
    </row>
    <row r="1009" spans="1:16" x14ac:dyDescent="0.3">
      <c r="A1009" t="s">
        <v>777</v>
      </c>
      <c r="B1009" s="3" t="s">
        <v>2849</v>
      </c>
      <c r="C1009" t="s">
        <v>776</v>
      </c>
      <c r="D1009" s="9">
        <f>VLOOKUP(A1009,[2]Sheet1!$A:$C,3,0)</f>
        <v>10</v>
      </c>
      <c r="J1009" s="1"/>
      <c r="K1009" s="2">
        <v>0</v>
      </c>
      <c r="L1009" s="1">
        <v>250</v>
      </c>
      <c r="M1009" s="1">
        <v>260</v>
      </c>
      <c r="N1009" s="1">
        <v>275</v>
      </c>
      <c r="O1009" s="1">
        <v>295</v>
      </c>
    </row>
    <row r="1010" spans="1:16" x14ac:dyDescent="0.3">
      <c r="A1010" t="s">
        <v>775</v>
      </c>
      <c r="B1010" s="3" t="s">
        <v>2849</v>
      </c>
      <c r="C1010" t="s">
        <v>774</v>
      </c>
      <c r="D1010" s="9">
        <f>VLOOKUP(A1010,[2]Sheet1!$A:$C,3,0)</f>
        <v>69</v>
      </c>
      <c r="J1010" s="1"/>
      <c r="K1010" s="2">
        <v>0</v>
      </c>
      <c r="L1010" s="1">
        <v>340</v>
      </c>
      <c r="M1010" s="1">
        <v>350</v>
      </c>
      <c r="N1010" s="1">
        <v>365</v>
      </c>
      <c r="O1010" s="1">
        <v>385</v>
      </c>
    </row>
    <row r="1011" spans="1:16" x14ac:dyDescent="0.3">
      <c r="A1011" t="s">
        <v>802</v>
      </c>
      <c r="B1011" s="3" t="s">
        <v>2850</v>
      </c>
      <c r="C1011" t="s">
        <v>801</v>
      </c>
      <c r="D1011" s="9">
        <f>VLOOKUP(A1011,[2]Sheet1!$A:$C,3,0)</f>
        <v>0</v>
      </c>
      <c r="J1011" s="1"/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spans="1:16" x14ac:dyDescent="0.3">
      <c r="A1012" s="9" t="s">
        <v>862</v>
      </c>
      <c r="B1012" s="10" t="s">
        <v>2851</v>
      </c>
      <c r="C1012" s="9" t="s">
        <v>861</v>
      </c>
      <c r="D1012" s="9">
        <f>VLOOKUP(A1012,[2]Sheet1!$A:$C,3,0)</f>
        <v>0</v>
      </c>
      <c r="E1012" s="10">
        <v>0</v>
      </c>
      <c r="F1012" s="10"/>
      <c r="G1012" s="28">
        <v>0</v>
      </c>
      <c r="H1012" s="10">
        <v>0</v>
      </c>
      <c r="I1012" s="13">
        <v>0</v>
      </c>
      <c r="J1012" s="10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9"/>
    </row>
    <row r="1013" spans="1:16" x14ac:dyDescent="0.3">
      <c r="A1013" t="s">
        <v>800</v>
      </c>
      <c r="B1013" s="3" t="s">
        <v>2851</v>
      </c>
      <c r="C1013" t="s">
        <v>799</v>
      </c>
      <c r="D1013" s="9">
        <f>VLOOKUP(A1013,[2]Sheet1!$A:$C,3,0)</f>
        <v>45</v>
      </c>
      <c r="J1013" s="1"/>
      <c r="K1013" s="1">
        <v>325</v>
      </c>
      <c r="L1013" s="1">
        <v>330</v>
      </c>
      <c r="M1013" s="1">
        <v>335</v>
      </c>
      <c r="N1013" s="1">
        <v>350</v>
      </c>
      <c r="O1013" s="1">
        <v>365</v>
      </c>
    </row>
    <row r="1014" spans="1:16" x14ac:dyDescent="0.3">
      <c r="A1014" t="s">
        <v>798</v>
      </c>
      <c r="B1014" s="3" t="s">
        <v>2851</v>
      </c>
      <c r="C1014" t="s">
        <v>797</v>
      </c>
      <c r="D1014" s="9">
        <f>VLOOKUP(A1014,[2]Sheet1!$A:$C,3,0)</f>
        <v>3</v>
      </c>
      <c r="J1014" s="1"/>
      <c r="K1014" s="1">
        <v>345</v>
      </c>
      <c r="L1014" s="1">
        <v>350</v>
      </c>
      <c r="M1014" s="1">
        <v>355</v>
      </c>
      <c r="N1014" s="1">
        <v>365</v>
      </c>
      <c r="O1014" s="1">
        <v>390</v>
      </c>
    </row>
    <row r="1015" spans="1:16" x14ac:dyDescent="0.3">
      <c r="A1015" t="s">
        <v>796</v>
      </c>
      <c r="B1015" s="3" t="s">
        <v>2851</v>
      </c>
      <c r="C1015" t="s">
        <v>2711</v>
      </c>
      <c r="D1015" s="9">
        <f>VLOOKUP(A1015,[2]Sheet1!$A:$C,3,0)</f>
        <v>0</v>
      </c>
      <c r="J1015" s="1"/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6" x14ac:dyDescent="0.3">
      <c r="A1016" t="s">
        <v>795</v>
      </c>
      <c r="B1016" s="3" t="s">
        <v>2851</v>
      </c>
      <c r="C1016" t="s">
        <v>794</v>
      </c>
      <c r="D1016" s="9">
        <f>VLOOKUP(A1016,[2]Sheet1!$A:$C,3,0)</f>
        <v>3</v>
      </c>
      <c r="J1016" s="1"/>
      <c r="K1016" s="2">
        <v>0</v>
      </c>
      <c r="L1016" s="1">
        <v>290</v>
      </c>
      <c r="M1016" s="1">
        <v>300</v>
      </c>
      <c r="N1016" s="1">
        <v>310</v>
      </c>
      <c r="O1016" s="1">
        <v>330</v>
      </c>
    </row>
    <row r="1017" spans="1:16" x14ac:dyDescent="0.3">
      <c r="A1017" t="s">
        <v>773</v>
      </c>
      <c r="B1017" s="3" t="s">
        <v>2851</v>
      </c>
      <c r="C1017" t="s">
        <v>772</v>
      </c>
      <c r="D1017" s="9">
        <f>VLOOKUP(A1017,[2]Sheet1!$A:$C,3,0)</f>
        <v>0</v>
      </c>
      <c r="J1017" s="1"/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6" x14ac:dyDescent="0.3">
      <c r="A1018" t="s">
        <v>771</v>
      </c>
      <c r="B1018" s="3" t="s">
        <v>2851</v>
      </c>
      <c r="C1018" t="s">
        <v>770</v>
      </c>
      <c r="D1018" s="9">
        <f>VLOOKUP(A1018,[2]Sheet1!$A:$C,3,0)</f>
        <v>36</v>
      </c>
      <c r="J1018" s="1"/>
      <c r="K1018" s="1">
        <v>382</v>
      </c>
      <c r="L1018" s="1">
        <v>385</v>
      </c>
      <c r="M1018" s="1">
        <v>400</v>
      </c>
      <c r="N1018" s="1">
        <v>415</v>
      </c>
      <c r="O1018" s="1">
        <v>430</v>
      </c>
    </row>
    <row r="1019" spans="1:16" x14ac:dyDescent="0.3">
      <c r="A1019" t="s">
        <v>769</v>
      </c>
      <c r="B1019" s="3" t="s">
        <v>2851</v>
      </c>
      <c r="C1019" t="s">
        <v>768</v>
      </c>
      <c r="D1019" s="9">
        <f>VLOOKUP(A1019,[2]Sheet1!$A:$C,3,0)</f>
        <v>17</v>
      </c>
      <c r="J1019" s="1"/>
      <c r="K1019" s="1">
        <v>440</v>
      </c>
      <c r="L1019" s="1">
        <v>445</v>
      </c>
      <c r="M1019" s="1">
        <v>450</v>
      </c>
      <c r="N1019" s="1">
        <v>465</v>
      </c>
      <c r="O1019" s="1">
        <v>490</v>
      </c>
    </row>
    <row r="1020" spans="1:16" x14ac:dyDescent="0.3">
      <c r="A1020" t="s">
        <v>767</v>
      </c>
      <c r="B1020" s="3" t="s">
        <v>2851</v>
      </c>
      <c r="C1020" t="s">
        <v>766</v>
      </c>
      <c r="D1020" s="9">
        <f>VLOOKUP(A1020,[2]Sheet1!$A:$C,3,0)</f>
        <v>8</v>
      </c>
      <c r="J1020" s="1"/>
      <c r="K1020" s="1">
        <v>530</v>
      </c>
      <c r="L1020" s="1">
        <v>540</v>
      </c>
      <c r="M1020" s="1">
        <v>545</v>
      </c>
      <c r="N1020" s="1">
        <v>560</v>
      </c>
      <c r="O1020" s="1">
        <v>595</v>
      </c>
    </row>
    <row r="1021" spans="1:16" x14ac:dyDescent="0.3">
      <c r="A1021" t="s">
        <v>765</v>
      </c>
      <c r="B1021" s="3" t="s">
        <v>2851</v>
      </c>
      <c r="C1021" t="s">
        <v>2712</v>
      </c>
      <c r="D1021" s="9">
        <f>VLOOKUP(A1021,[2]Sheet1!$A:$C,3,0)</f>
        <v>46</v>
      </c>
      <c r="J1021" s="1"/>
      <c r="K1021" s="2">
        <v>0</v>
      </c>
      <c r="L1021" s="1">
        <v>88</v>
      </c>
      <c r="M1021" s="1">
        <v>92</v>
      </c>
      <c r="N1021" s="1">
        <v>95</v>
      </c>
      <c r="O1021" s="1">
        <v>100</v>
      </c>
    </row>
    <row r="1022" spans="1:16" x14ac:dyDescent="0.3">
      <c r="A1022" t="s">
        <v>750</v>
      </c>
      <c r="B1022" s="3" t="s">
        <v>2851</v>
      </c>
      <c r="C1022" t="s">
        <v>749</v>
      </c>
      <c r="D1022" s="9">
        <f>VLOOKUP(A1022,[2]Sheet1!$A:$C,3,0)</f>
        <v>0</v>
      </c>
      <c r="J1022" s="1"/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6" x14ac:dyDescent="0.3">
      <c r="A1023" t="s">
        <v>748</v>
      </c>
      <c r="B1023" s="3" t="s">
        <v>2851</v>
      </c>
      <c r="C1023" t="s">
        <v>747</v>
      </c>
      <c r="D1023" s="9">
        <f>VLOOKUP(A1023,[2]Sheet1!$A:$C,3,0)</f>
        <v>0</v>
      </c>
      <c r="J1023" s="1"/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6" x14ac:dyDescent="0.3">
      <c r="A1024" t="s">
        <v>2713</v>
      </c>
      <c r="B1024" s="3" t="s">
        <v>2851</v>
      </c>
      <c r="C1024" t="s">
        <v>2714</v>
      </c>
      <c r="D1024" s="9">
        <f>VLOOKUP(A1024,[2]Sheet1!$A:$C,3,0)</f>
        <v>13</v>
      </c>
      <c r="J1024" s="1"/>
      <c r="K1024" s="1">
        <v>550</v>
      </c>
      <c r="L1024" s="1">
        <v>575</v>
      </c>
      <c r="M1024" s="1">
        <v>585</v>
      </c>
      <c r="N1024" s="1">
        <v>625</v>
      </c>
      <c r="O1024" s="1">
        <v>685</v>
      </c>
    </row>
    <row r="1025" spans="1:15" x14ac:dyDescent="0.3">
      <c r="A1025" t="s">
        <v>662</v>
      </c>
      <c r="B1025" s="3" t="s">
        <v>2851</v>
      </c>
      <c r="C1025" t="s">
        <v>661</v>
      </c>
      <c r="D1025" s="9">
        <f>VLOOKUP(A1025,[2]Sheet1!$A:$C,3,0)</f>
        <v>5</v>
      </c>
      <c r="J1025" s="1"/>
      <c r="K1025" s="1">
        <v>430</v>
      </c>
      <c r="L1025" s="1">
        <v>435</v>
      </c>
      <c r="M1025" s="1">
        <v>440</v>
      </c>
      <c r="N1025" s="1">
        <v>455</v>
      </c>
      <c r="O1025" s="1">
        <v>480</v>
      </c>
    </row>
    <row r="1026" spans="1:15" x14ac:dyDescent="0.3">
      <c r="A1026" t="s">
        <v>660</v>
      </c>
      <c r="B1026" s="3" t="s">
        <v>2851</v>
      </c>
      <c r="C1026" t="s">
        <v>659</v>
      </c>
      <c r="D1026" s="9">
        <f>VLOOKUP(A1026,[2]Sheet1!$A:$C,3,0)</f>
        <v>6</v>
      </c>
      <c r="J1026" s="1"/>
      <c r="K1026" s="1">
        <v>455</v>
      </c>
      <c r="L1026" s="1">
        <v>460</v>
      </c>
      <c r="M1026" s="1">
        <v>470</v>
      </c>
      <c r="N1026" s="1">
        <v>485</v>
      </c>
      <c r="O1026" s="1">
        <v>515</v>
      </c>
    </row>
    <row r="1027" spans="1:15" x14ac:dyDescent="0.3">
      <c r="A1027" t="s">
        <v>860</v>
      </c>
      <c r="B1027" s="3" t="s">
        <v>2852</v>
      </c>
      <c r="C1027" t="s">
        <v>859</v>
      </c>
      <c r="D1027" s="9">
        <f>VLOOKUP(A1027,[2]Sheet1!$A:$C,3,0)</f>
        <v>0</v>
      </c>
      <c r="J1027" s="1"/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 x14ac:dyDescent="0.3">
      <c r="A1028" t="s">
        <v>858</v>
      </c>
      <c r="B1028" s="3" t="s">
        <v>2852</v>
      </c>
      <c r="C1028" t="s">
        <v>857</v>
      </c>
      <c r="D1028" s="9">
        <f>VLOOKUP(A1028,[2]Sheet1!$A:$C,3,0)</f>
        <v>0</v>
      </c>
      <c r="J1028" s="1"/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 x14ac:dyDescent="0.3">
      <c r="A1029" t="s">
        <v>746</v>
      </c>
      <c r="B1029" s="3" t="s">
        <v>2852</v>
      </c>
      <c r="C1029" t="s">
        <v>745</v>
      </c>
      <c r="D1029" s="9">
        <f>VLOOKUP(A1029,[2]Sheet1!$A:$C,3,0)</f>
        <v>0</v>
      </c>
      <c r="J1029" s="1"/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 x14ac:dyDescent="0.3">
      <c r="A1030" t="s">
        <v>744</v>
      </c>
      <c r="B1030" s="3" t="s">
        <v>2852</v>
      </c>
      <c r="C1030" t="s">
        <v>743</v>
      </c>
      <c r="D1030" s="9">
        <f>VLOOKUP(A1030,[2]Sheet1!$A:$C,3,0)</f>
        <v>32</v>
      </c>
      <c r="J1030" s="1"/>
      <c r="K1030" s="1">
        <v>175</v>
      </c>
      <c r="L1030" s="1">
        <v>180</v>
      </c>
      <c r="M1030" s="1">
        <v>215</v>
      </c>
      <c r="N1030" s="1">
        <v>235</v>
      </c>
      <c r="O1030" s="1">
        <v>250</v>
      </c>
    </row>
    <row r="1031" spans="1:15" x14ac:dyDescent="0.3">
      <c r="A1031" t="s">
        <v>742</v>
      </c>
      <c r="B1031" s="3" t="s">
        <v>2852</v>
      </c>
      <c r="C1031" t="s">
        <v>741</v>
      </c>
      <c r="D1031" s="9">
        <f>VLOOKUP(A1031,[2]Sheet1!$A:$C,3,0)</f>
        <v>0</v>
      </c>
      <c r="J1031" s="1"/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 x14ac:dyDescent="0.3">
      <c r="A1032" t="s">
        <v>740</v>
      </c>
      <c r="B1032" s="3" t="s">
        <v>2852</v>
      </c>
      <c r="C1032" t="s">
        <v>739</v>
      </c>
      <c r="D1032" s="9">
        <f>VLOOKUP(A1032,[2]Sheet1!$A:$C,3,0)</f>
        <v>24</v>
      </c>
      <c r="J1032" s="1"/>
      <c r="K1032" s="1">
        <v>180</v>
      </c>
      <c r="L1032" s="1">
        <v>185</v>
      </c>
      <c r="M1032" s="1">
        <v>225</v>
      </c>
      <c r="N1032" s="1">
        <v>250</v>
      </c>
      <c r="O1032" s="1">
        <v>265</v>
      </c>
    </row>
    <row r="1033" spans="1:15" x14ac:dyDescent="0.3">
      <c r="A1033" t="s">
        <v>658</v>
      </c>
      <c r="B1033" s="3" t="s">
        <v>2852</v>
      </c>
      <c r="C1033" t="s">
        <v>657</v>
      </c>
      <c r="D1033" s="9">
        <f>VLOOKUP(A1033,[2]Sheet1!$A:$C,3,0)</f>
        <v>0</v>
      </c>
      <c r="J1033" s="1"/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 x14ac:dyDescent="0.3">
      <c r="A1034" t="s">
        <v>656</v>
      </c>
      <c r="B1034" s="3" t="s">
        <v>2852</v>
      </c>
      <c r="C1034" t="s">
        <v>655</v>
      </c>
      <c r="D1034" s="9">
        <f>VLOOKUP(A1034,[2]Sheet1!$A:$C,3,0)</f>
        <v>2</v>
      </c>
      <c r="J1034" s="1"/>
      <c r="K1034" s="1">
        <v>175</v>
      </c>
      <c r="L1034" s="1">
        <v>180</v>
      </c>
      <c r="M1034" s="1">
        <v>215</v>
      </c>
      <c r="N1034" s="1">
        <v>235</v>
      </c>
      <c r="O1034" s="1">
        <v>250</v>
      </c>
    </row>
    <row r="1035" spans="1:15" x14ac:dyDescent="0.3">
      <c r="A1035" t="s">
        <v>654</v>
      </c>
      <c r="B1035" s="3" t="s">
        <v>2852</v>
      </c>
      <c r="C1035" t="s">
        <v>653</v>
      </c>
      <c r="D1035" s="9">
        <f>VLOOKUP(A1035,[2]Sheet1!$A:$C,3,0)</f>
        <v>0</v>
      </c>
      <c r="J1035" s="1"/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 x14ac:dyDescent="0.3">
      <c r="A1036" t="s">
        <v>652</v>
      </c>
      <c r="B1036" s="3" t="s">
        <v>2852</v>
      </c>
      <c r="C1036" t="s">
        <v>651</v>
      </c>
      <c r="D1036" s="9">
        <f>VLOOKUP(A1036,[2]Sheet1!$A:$C,3,0)</f>
        <v>8</v>
      </c>
      <c r="J1036" s="1"/>
      <c r="K1036" s="1">
        <v>180</v>
      </c>
      <c r="L1036" s="1">
        <v>185</v>
      </c>
      <c r="M1036" s="1">
        <v>225</v>
      </c>
      <c r="N1036" s="1">
        <v>250</v>
      </c>
      <c r="O1036" s="1">
        <v>265</v>
      </c>
    </row>
    <row r="1037" spans="1:15" x14ac:dyDescent="0.3">
      <c r="A1037" t="s">
        <v>2715</v>
      </c>
      <c r="B1037" s="3" t="s">
        <v>2852</v>
      </c>
      <c r="C1037" t="s">
        <v>2716</v>
      </c>
      <c r="D1037" s="9">
        <f>VLOOKUP(A1037,[2]Sheet1!$A:$C,3,0)</f>
        <v>16</v>
      </c>
      <c r="J1037" s="1"/>
      <c r="K1037" s="1">
        <v>85</v>
      </c>
      <c r="L1037" s="1">
        <v>90</v>
      </c>
      <c r="M1037" s="1">
        <v>95</v>
      </c>
      <c r="N1037" s="1">
        <v>105</v>
      </c>
      <c r="O1037" s="1">
        <v>115</v>
      </c>
    </row>
    <row r="1038" spans="1:15" x14ac:dyDescent="0.3">
      <c r="A1038" t="s">
        <v>2717</v>
      </c>
      <c r="B1038" s="3" t="s">
        <v>2852</v>
      </c>
      <c r="C1038" t="s">
        <v>2718</v>
      </c>
      <c r="D1038" s="9">
        <f>VLOOKUP(A1038,[2]Sheet1!$A:$C,3,0)</f>
        <v>28</v>
      </c>
      <c r="J1038" s="1"/>
      <c r="K1038" s="1">
        <v>110</v>
      </c>
      <c r="L1038" s="1">
        <v>125</v>
      </c>
      <c r="M1038" s="1">
        <v>135</v>
      </c>
      <c r="N1038" s="1">
        <v>150</v>
      </c>
      <c r="O1038" s="1">
        <v>160</v>
      </c>
    </row>
    <row r="1039" spans="1:15" x14ac:dyDescent="0.3">
      <c r="A1039" t="s">
        <v>2719</v>
      </c>
      <c r="B1039" s="3" t="s">
        <v>2852</v>
      </c>
      <c r="C1039" t="s">
        <v>2720</v>
      </c>
      <c r="D1039" s="9">
        <f>VLOOKUP(A1039,[2]Sheet1!$A:$C,3,0)</f>
        <v>22</v>
      </c>
      <c r="J1039" s="1"/>
      <c r="K1039" s="1">
        <v>55</v>
      </c>
      <c r="L1039" s="1">
        <v>60</v>
      </c>
      <c r="M1039" s="1">
        <v>65</v>
      </c>
      <c r="N1039" s="1">
        <v>70</v>
      </c>
      <c r="O1039" s="1">
        <v>75</v>
      </c>
    </row>
    <row r="1040" spans="1:15" x14ac:dyDescent="0.3">
      <c r="A1040" t="s">
        <v>2721</v>
      </c>
      <c r="B1040" s="3" t="s">
        <v>2852</v>
      </c>
      <c r="C1040" t="s">
        <v>2722</v>
      </c>
      <c r="D1040" s="9">
        <f>VLOOKUP(A1040,[2]Sheet1!$A:$C,3,0)</f>
        <v>20</v>
      </c>
      <c r="J1040" s="1"/>
      <c r="K1040" s="1">
        <v>85</v>
      </c>
      <c r="L1040" s="1">
        <v>90</v>
      </c>
      <c r="M1040" s="1">
        <v>95</v>
      </c>
      <c r="N1040" s="1">
        <v>105</v>
      </c>
      <c r="O1040" s="1">
        <v>115</v>
      </c>
    </row>
    <row r="1041" spans="1:15" x14ac:dyDescent="0.3">
      <c r="A1041" t="s">
        <v>2723</v>
      </c>
      <c r="B1041" s="3" t="s">
        <v>2852</v>
      </c>
      <c r="C1041" t="s">
        <v>2724</v>
      </c>
      <c r="D1041" s="9">
        <f>VLOOKUP(A1041,[2]Sheet1!$A:$C,3,0)</f>
        <v>20</v>
      </c>
      <c r="J1041" s="1"/>
      <c r="K1041" s="1">
        <v>110</v>
      </c>
      <c r="L1041" s="1">
        <v>125</v>
      </c>
      <c r="M1041" s="1">
        <v>135</v>
      </c>
      <c r="N1041" s="1">
        <v>150</v>
      </c>
      <c r="O1041" s="1">
        <v>160</v>
      </c>
    </row>
    <row r="1042" spans="1:15" x14ac:dyDescent="0.3">
      <c r="A1042" t="s">
        <v>2725</v>
      </c>
      <c r="B1042" s="3" t="s">
        <v>2852</v>
      </c>
      <c r="C1042" t="s">
        <v>2726</v>
      </c>
      <c r="D1042" s="9">
        <f>VLOOKUP(A1042,[2]Sheet1!$A:$C,3,0)</f>
        <v>20</v>
      </c>
      <c r="J1042" s="1"/>
      <c r="K1042" s="1">
        <v>55</v>
      </c>
      <c r="L1042" s="1">
        <v>60</v>
      </c>
      <c r="M1042" s="1">
        <v>65</v>
      </c>
      <c r="N1042" s="1">
        <v>70</v>
      </c>
      <c r="O1042" s="1">
        <v>75</v>
      </c>
    </row>
    <row r="1043" spans="1:15" x14ac:dyDescent="0.3">
      <c r="A1043" t="s">
        <v>738</v>
      </c>
      <c r="B1043" s="3" t="s">
        <v>2852</v>
      </c>
      <c r="C1043" t="s">
        <v>2727</v>
      </c>
      <c r="D1043" s="9">
        <f>VLOOKUP(A1043,[2]Sheet1!$A:$C,3,0)</f>
        <v>35</v>
      </c>
      <c r="J1043" s="1"/>
      <c r="K1043" s="1">
        <v>75</v>
      </c>
      <c r="L1043" s="1">
        <v>85</v>
      </c>
      <c r="M1043" s="1">
        <v>90</v>
      </c>
      <c r="N1043" s="1">
        <v>100</v>
      </c>
      <c r="O1043" s="1">
        <v>110</v>
      </c>
    </row>
    <row r="1044" spans="1:15" x14ac:dyDescent="0.3">
      <c r="A1044" t="s">
        <v>650</v>
      </c>
      <c r="B1044" s="3" t="s">
        <v>2852</v>
      </c>
      <c r="C1044" t="s">
        <v>2728</v>
      </c>
      <c r="D1044" s="9">
        <f>VLOOKUP(A1044,[2]Sheet1!$A:$C,3,0)</f>
        <v>24</v>
      </c>
      <c r="J1044" s="1"/>
      <c r="K1044" s="1">
        <v>75</v>
      </c>
      <c r="L1044" s="1">
        <v>85</v>
      </c>
      <c r="M1044" s="1">
        <v>90</v>
      </c>
      <c r="N1044" s="1">
        <v>100</v>
      </c>
      <c r="O1044" s="1">
        <v>110</v>
      </c>
    </row>
    <row r="1045" spans="1:15" x14ac:dyDescent="0.3">
      <c r="A1045" t="s">
        <v>856</v>
      </c>
      <c r="B1045" s="3" t="s">
        <v>2852</v>
      </c>
      <c r="C1045" t="s">
        <v>855</v>
      </c>
      <c r="D1045" s="9">
        <f>VLOOKUP(A1045,[2]Sheet1!$A:$C,3,0)</f>
        <v>134</v>
      </c>
      <c r="J1045" s="1"/>
      <c r="K1045" s="1">
        <v>28</v>
      </c>
      <c r="L1045" s="1">
        <v>30</v>
      </c>
      <c r="M1045" s="1">
        <v>35</v>
      </c>
      <c r="N1045" s="1">
        <v>40</v>
      </c>
      <c r="O1045" s="1">
        <v>50</v>
      </c>
    </row>
    <row r="1046" spans="1:15" x14ac:dyDescent="0.3">
      <c r="A1046" t="s">
        <v>2729</v>
      </c>
      <c r="B1046" s="3" t="s">
        <v>2852</v>
      </c>
      <c r="C1046" t="s">
        <v>2730</v>
      </c>
      <c r="D1046" s="9">
        <f>VLOOKUP(A1046,[2]Sheet1!$A:$C,3,0)</f>
        <v>99</v>
      </c>
      <c r="J1046" s="1"/>
      <c r="K1046" s="1">
        <v>30</v>
      </c>
      <c r="L1046" s="1">
        <v>55</v>
      </c>
      <c r="M1046" s="1">
        <v>60</v>
      </c>
      <c r="N1046" s="1">
        <v>75</v>
      </c>
      <c r="O1046" s="1">
        <v>85</v>
      </c>
    </row>
    <row r="1047" spans="1:15" x14ac:dyDescent="0.3">
      <c r="A1047" t="s">
        <v>2731</v>
      </c>
      <c r="B1047" s="3" t="s">
        <v>2852</v>
      </c>
      <c r="C1047" t="s">
        <v>2732</v>
      </c>
      <c r="D1047" s="9">
        <f>VLOOKUP(A1047,[2]Sheet1!$A:$C,3,0)</f>
        <v>10</v>
      </c>
      <c r="J1047" s="1"/>
      <c r="K1047" s="1">
        <v>185</v>
      </c>
      <c r="L1047" s="1">
        <v>200</v>
      </c>
      <c r="M1047" s="1">
        <v>215</v>
      </c>
      <c r="N1047" s="1">
        <v>235</v>
      </c>
      <c r="O1047" s="1">
        <v>250</v>
      </c>
    </row>
    <row r="1048" spans="1:15" x14ac:dyDescent="0.3">
      <c r="A1048" t="s">
        <v>854</v>
      </c>
      <c r="B1048" s="3" t="s">
        <v>2852</v>
      </c>
      <c r="C1048" t="s">
        <v>853</v>
      </c>
      <c r="D1048" s="9">
        <f>VLOOKUP(A1048,[2]Sheet1!$A:$C,3,0)</f>
        <v>46</v>
      </c>
      <c r="J1048" s="1"/>
      <c r="K1048" s="1">
        <v>19.5</v>
      </c>
      <c r="L1048" s="1">
        <v>22</v>
      </c>
      <c r="M1048" s="1">
        <v>24</v>
      </c>
      <c r="N1048" s="1">
        <v>26</v>
      </c>
      <c r="O1048" s="1">
        <v>28</v>
      </c>
    </row>
    <row r="1049" spans="1:15" x14ac:dyDescent="0.3">
      <c r="A1049" t="s">
        <v>852</v>
      </c>
      <c r="B1049" s="3" t="s">
        <v>2852</v>
      </c>
      <c r="C1049" t="s">
        <v>851</v>
      </c>
      <c r="D1049" s="9">
        <f>VLOOKUP(A1049,[2]Sheet1!$A:$C,3,0)</f>
        <v>133</v>
      </c>
      <c r="J1049" s="1"/>
      <c r="K1049" s="1">
        <v>120</v>
      </c>
      <c r="L1049" s="1">
        <v>130</v>
      </c>
      <c r="M1049" s="1">
        <v>140</v>
      </c>
      <c r="N1049" s="1">
        <v>160</v>
      </c>
      <c r="O1049" s="1">
        <v>180</v>
      </c>
    </row>
    <row r="1050" spans="1:15" x14ac:dyDescent="0.3">
      <c r="A1050" t="s">
        <v>850</v>
      </c>
      <c r="B1050" s="3" t="s">
        <v>2852</v>
      </c>
      <c r="C1050" t="s">
        <v>849</v>
      </c>
      <c r="D1050" s="9">
        <f>VLOOKUP(A1050,[2]Sheet1!$A:$C,3,0)</f>
        <v>126</v>
      </c>
      <c r="J1050" s="1"/>
      <c r="K1050" s="1">
        <v>75</v>
      </c>
      <c r="L1050" s="1">
        <v>85</v>
      </c>
      <c r="M1050" s="1">
        <v>90</v>
      </c>
      <c r="N1050" s="1">
        <v>100</v>
      </c>
      <c r="O1050" s="1">
        <v>110</v>
      </c>
    </row>
    <row r="1051" spans="1:15" x14ac:dyDescent="0.3">
      <c r="A1051" t="s">
        <v>848</v>
      </c>
      <c r="B1051" s="3" t="s">
        <v>2852</v>
      </c>
      <c r="C1051" t="s">
        <v>2733</v>
      </c>
      <c r="D1051" s="9">
        <f>VLOOKUP(A1051,[2]Sheet1!$A:$C,3,0)</f>
        <v>50</v>
      </c>
      <c r="J1051" s="1"/>
      <c r="K1051" s="1">
        <v>15</v>
      </c>
      <c r="L1051" s="1">
        <v>18</v>
      </c>
      <c r="M1051" s="1">
        <v>20</v>
      </c>
      <c r="N1051" s="1">
        <v>25</v>
      </c>
      <c r="O1051" s="1">
        <v>30</v>
      </c>
    </row>
    <row r="1052" spans="1:15" x14ac:dyDescent="0.3">
      <c r="A1052" t="s">
        <v>847</v>
      </c>
      <c r="B1052" s="3" t="s">
        <v>2852</v>
      </c>
      <c r="C1052" t="s">
        <v>846</v>
      </c>
      <c r="D1052" s="9">
        <f>VLOOKUP(A1052,[2]Sheet1!$A:$C,3,0)</f>
        <v>14</v>
      </c>
      <c r="J1052" s="1"/>
      <c r="K1052" s="1">
        <v>63</v>
      </c>
      <c r="L1052" s="1">
        <v>65</v>
      </c>
      <c r="M1052" s="1">
        <v>67</v>
      </c>
      <c r="N1052" s="1">
        <v>68</v>
      </c>
      <c r="O1052" s="1">
        <v>70</v>
      </c>
    </row>
    <row r="1053" spans="1:15" x14ac:dyDescent="0.3">
      <c r="A1053" t="s">
        <v>845</v>
      </c>
      <c r="B1053" s="3" t="s">
        <v>2852</v>
      </c>
      <c r="C1053" t="s">
        <v>844</v>
      </c>
      <c r="D1053" s="9">
        <f>VLOOKUP(A1053,[2]Sheet1!$A:$C,3,0)</f>
        <v>17</v>
      </c>
      <c r="J1053" s="1"/>
      <c r="K1053" s="1">
        <v>265</v>
      </c>
      <c r="L1053" s="1">
        <v>270</v>
      </c>
      <c r="M1053" s="1">
        <v>285</v>
      </c>
      <c r="N1053" s="1">
        <v>300</v>
      </c>
      <c r="O1053" s="1">
        <v>350</v>
      </c>
    </row>
    <row r="1054" spans="1:15" x14ac:dyDescent="0.3">
      <c r="A1054" t="s">
        <v>843</v>
      </c>
      <c r="B1054" s="3" t="s">
        <v>2852</v>
      </c>
      <c r="C1054" t="s">
        <v>2734</v>
      </c>
      <c r="D1054" s="9">
        <f>VLOOKUP(A1054,[2]Sheet1!$A:$C,3,0)</f>
        <v>14</v>
      </c>
      <c r="J1054" s="1"/>
      <c r="K1054" s="1">
        <v>215</v>
      </c>
      <c r="L1054" s="1">
        <v>225</v>
      </c>
      <c r="M1054" s="1">
        <v>235</v>
      </c>
      <c r="N1054" s="1">
        <v>250</v>
      </c>
      <c r="O1054" s="1">
        <v>275</v>
      </c>
    </row>
    <row r="1055" spans="1:15" x14ac:dyDescent="0.3">
      <c r="A1055" t="s">
        <v>842</v>
      </c>
      <c r="B1055" s="3" t="s">
        <v>2852</v>
      </c>
      <c r="C1055" t="s">
        <v>841</v>
      </c>
      <c r="D1055" s="9">
        <f>VLOOKUP(A1055,[2]Sheet1!$A:$C,3,0)</f>
        <v>24</v>
      </c>
      <c r="J1055" s="1"/>
      <c r="K1055" s="1">
        <v>185</v>
      </c>
      <c r="L1055" s="1">
        <v>215</v>
      </c>
      <c r="M1055" s="1">
        <v>230</v>
      </c>
      <c r="N1055" s="1">
        <v>240</v>
      </c>
      <c r="O1055" s="1">
        <v>250</v>
      </c>
    </row>
    <row r="1056" spans="1:15" x14ac:dyDescent="0.3">
      <c r="A1056" t="s">
        <v>737</v>
      </c>
      <c r="B1056" s="3" t="s">
        <v>2852</v>
      </c>
      <c r="C1056" t="s">
        <v>2735</v>
      </c>
      <c r="D1056" s="9">
        <f>VLOOKUP(A1056,[2]Sheet1!$A:$C,3,0)</f>
        <v>89</v>
      </c>
      <c r="J1056" s="1"/>
      <c r="K1056" s="1">
        <v>80</v>
      </c>
      <c r="L1056" s="1">
        <v>85</v>
      </c>
      <c r="M1056" s="1">
        <v>90</v>
      </c>
      <c r="N1056" s="1">
        <v>100</v>
      </c>
      <c r="O1056" s="1">
        <v>110</v>
      </c>
    </row>
    <row r="1057" spans="1:15" x14ac:dyDescent="0.3">
      <c r="A1057" t="s">
        <v>649</v>
      </c>
      <c r="B1057" s="3" t="s">
        <v>2852</v>
      </c>
      <c r="C1057" t="s">
        <v>648</v>
      </c>
      <c r="D1057" s="9">
        <f>VLOOKUP(A1057,[2]Sheet1!$A:$C,3,0)</f>
        <v>30</v>
      </c>
      <c r="J1057" s="1"/>
      <c r="K1057" s="1">
        <v>80</v>
      </c>
      <c r="L1057" s="1">
        <v>85</v>
      </c>
      <c r="M1057" s="1">
        <v>90</v>
      </c>
      <c r="N1057" s="1">
        <v>100</v>
      </c>
      <c r="O1057" s="1">
        <v>110</v>
      </c>
    </row>
    <row r="1058" spans="1:15" x14ac:dyDescent="0.3">
      <c r="A1058" t="s">
        <v>736</v>
      </c>
      <c r="B1058" s="3" t="s">
        <v>2852</v>
      </c>
      <c r="C1058" t="s">
        <v>735</v>
      </c>
      <c r="D1058" s="9">
        <f>VLOOKUP(A1058,[2]Sheet1!$A:$C,3,0)</f>
        <v>40</v>
      </c>
      <c r="J1058" s="1"/>
      <c r="K1058" s="1">
        <v>53</v>
      </c>
      <c r="L1058" s="1">
        <v>55</v>
      </c>
      <c r="M1058" s="1">
        <v>65</v>
      </c>
      <c r="N1058" s="1">
        <v>85</v>
      </c>
      <c r="O1058" s="1">
        <v>105</v>
      </c>
    </row>
    <row r="1059" spans="1:15" x14ac:dyDescent="0.3">
      <c r="A1059" t="s">
        <v>734</v>
      </c>
      <c r="B1059" s="3" t="s">
        <v>2852</v>
      </c>
      <c r="C1059" t="s">
        <v>733</v>
      </c>
      <c r="D1059" s="9">
        <f>VLOOKUP(A1059,[2]Sheet1!$A:$C,3,0)</f>
        <v>100</v>
      </c>
      <c r="J1059" s="1"/>
      <c r="K1059" s="1">
        <v>85</v>
      </c>
      <c r="L1059" s="1">
        <v>95</v>
      </c>
      <c r="M1059" s="1">
        <v>115</v>
      </c>
      <c r="N1059" s="1">
        <v>145</v>
      </c>
      <c r="O1059" s="1">
        <v>165</v>
      </c>
    </row>
    <row r="1060" spans="1:15" x14ac:dyDescent="0.3">
      <c r="A1060" t="s">
        <v>647</v>
      </c>
      <c r="B1060" s="3" t="s">
        <v>2852</v>
      </c>
      <c r="C1060" t="s">
        <v>646</v>
      </c>
      <c r="D1060" s="9">
        <f>VLOOKUP(A1060,[2]Sheet1!$A:$C,3,0)</f>
        <v>100</v>
      </c>
      <c r="J1060" s="1"/>
      <c r="K1060" s="1">
        <v>53</v>
      </c>
      <c r="L1060" s="1">
        <v>55</v>
      </c>
      <c r="M1060" s="1">
        <v>65</v>
      </c>
      <c r="N1060" s="1">
        <v>85</v>
      </c>
      <c r="O1060" s="1">
        <v>105</v>
      </c>
    </row>
    <row r="1061" spans="1:15" x14ac:dyDescent="0.3">
      <c r="A1061" t="s">
        <v>645</v>
      </c>
      <c r="B1061" s="3" t="s">
        <v>2852</v>
      </c>
      <c r="C1061" t="s">
        <v>644</v>
      </c>
      <c r="D1061" s="9">
        <f>VLOOKUP(A1061,[2]Sheet1!$A:$C,3,0)</f>
        <v>50</v>
      </c>
      <c r="J1061" s="1"/>
      <c r="K1061" s="1">
        <v>85</v>
      </c>
      <c r="L1061" s="1">
        <v>95</v>
      </c>
      <c r="M1061" s="1">
        <v>115</v>
      </c>
      <c r="N1061" s="1">
        <v>145</v>
      </c>
      <c r="O1061" s="1">
        <v>165</v>
      </c>
    </row>
    <row r="1062" spans="1:15" x14ac:dyDescent="0.3">
      <c r="A1062" t="s">
        <v>732</v>
      </c>
      <c r="B1062" s="3" t="s">
        <v>2852</v>
      </c>
      <c r="C1062" t="s">
        <v>731</v>
      </c>
      <c r="D1062" s="9">
        <f>VLOOKUP(A1062,[2]Sheet1!$A:$C,3,0)</f>
        <v>140</v>
      </c>
      <c r="J1062" s="1"/>
      <c r="K1062" s="1">
        <v>305</v>
      </c>
      <c r="L1062" s="1">
        <v>315</v>
      </c>
      <c r="M1062" s="1">
        <v>350</v>
      </c>
      <c r="N1062" s="1">
        <v>375</v>
      </c>
      <c r="O1062" s="1">
        <v>395</v>
      </c>
    </row>
    <row r="1063" spans="1:15" x14ac:dyDescent="0.3">
      <c r="A1063" t="s">
        <v>730</v>
      </c>
      <c r="B1063" s="3" t="s">
        <v>2852</v>
      </c>
      <c r="C1063" t="s">
        <v>729</v>
      </c>
      <c r="D1063" s="9">
        <f>VLOOKUP(A1063,[2]Sheet1!$A:$C,3,0)</f>
        <v>89</v>
      </c>
      <c r="J1063" s="1"/>
      <c r="K1063" s="1">
        <v>285</v>
      </c>
      <c r="L1063" s="1">
        <v>295</v>
      </c>
      <c r="M1063" s="1">
        <v>300</v>
      </c>
      <c r="N1063" s="1">
        <v>325</v>
      </c>
      <c r="O1063" s="1">
        <v>350</v>
      </c>
    </row>
    <row r="1064" spans="1:15" x14ac:dyDescent="0.3">
      <c r="A1064" t="s">
        <v>728</v>
      </c>
      <c r="B1064" s="3" t="s">
        <v>2852</v>
      </c>
      <c r="C1064" t="s">
        <v>727</v>
      </c>
      <c r="D1064" s="9">
        <f>VLOOKUP(A1064,[2]Sheet1!$A:$C,3,0)</f>
        <v>41</v>
      </c>
      <c r="J1064" s="1"/>
      <c r="K1064" s="1">
        <v>305</v>
      </c>
      <c r="L1064" s="1">
        <v>315</v>
      </c>
      <c r="M1064" s="1">
        <v>350</v>
      </c>
      <c r="N1064" s="1">
        <v>375</v>
      </c>
      <c r="O1064" s="1">
        <v>395</v>
      </c>
    </row>
    <row r="1065" spans="1:15" x14ac:dyDescent="0.3">
      <c r="A1065" t="s">
        <v>726</v>
      </c>
      <c r="B1065" s="3" t="s">
        <v>2852</v>
      </c>
      <c r="C1065" t="s">
        <v>725</v>
      </c>
      <c r="D1065" s="9">
        <f>VLOOKUP(A1065,[2]Sheet1!$A:$C,3,0)</f>
        <v>89</v>
      </c>
      <c r="J1065" s="1"/>
      <c r="K1065" s="1">
        <v>285</v>
      </c>
      <c r="L1065" s="1">
        <v>295</v>
      </c>
      <c r="M1065" s="1">
        <v>300</v>
      </c>
      <c r="N1065" s="1">
        <v>325</v>
      </c>
      <c r="O1065" s="1">
        <v>350</v>
      </c>
    </row>
    <row r="1066" spans="1:15" x14ac:dyDescent="0.3">
      <c r="A1066" t="s">
        <v>724</v>
      </c>
      <c r="B1066" s="3" t="s">
        <v>2852</v>
      </c>
      <c r="C1066" t="s">
        <v>723</v>
      </c>
      <c r="D1066" s="9">
        <f>VLOOKUP(A1066,[2]Sheet1!$A:$C,3,0)</f>
        <v>168</v>
      </c>
      <c r="J1066" s="1"/>
      <c r="K1066" s="1">
        <v>75</v>
      </c>
      <c r="L1066" s="1">
        <v>80</v>
      </c>
      <c r="M1066" s="1">
        <v>90</v>
      </c>
      <c r="N1066" s="1">
        <v>95</v>
      </c>
      <c r="O1066" s="1">
        <v>100</v>
      </c>
    </row>
    <row r="1067" spans="1:15" x14ac:dyDescent="0.3">
      <c r="A1067" t="s">
        <v>722</v>
      </c>
      <c r="B1067" s="3" t="s">
        <v>2852</v>
      </c>
      <c r="C1067" t="s">
        <v>721</v>
      </c>
      <c r="D1067" s="9">
        <f>VLOOKUP(A1067,[2]Sheet1!$A:$C,3,0)</f>
        <v>67</v>
      </c>
      <c r="J1067" s="1"/>
      <c r="K1067" s="1">
        <v>120</v>
      </c>
      <c r="L1067" s="1">
        <v>130</v>
      </c>
      <c r="M1067" s="1">
        <v>140</v>
      </c>
      <c r="N1067" s="1">
        <v>150</v>
      </c>
      <c r="O1067" s="1">
        <v>160</v>
      </c>
    </row>
    <row r="1068" spans="1:15" x14ac:dyDescent="0.3">
      <c r="A1068" t="s">
        <v>643</v>
      </c>
      <c r="B1068" s="3" t="s">
        <v>2852</v>
      </c>
      <c r="C1068" t="s">
        <v>642</v>
      </c>
      <c r="D1068" s="9">
        <f>VLOOKUP(A1068,[2]Sheet1!$A:$C,3,0)</f>
        <v>75</v>
      </c>
      <c r="J1068" s="1"/>
      <c r="K1068" s="1">
        <v>305</v>
      </c>
      <c r="L1068" s="1">
        <v>315</v>
      </c>
      <c r="M1068" s="1">
        <v>350</v>
      </c>
      <c r="N1068" s="1">
        <v>375</v>
      </c>
      <c r="O1068" s="1">
        <v>395</v>
      </c>
    </row>
    <row r="1069" spans="1:15" x14ac:dyDescent="0.3">
      <c r="A1069" t="s">
        <v>641</v>
      </c>
      <c r="B1069" s="3" t="s">
        <v>2852</v>
      </c>
      <c r="C1069" t="s">
        <v>640</v>
      </c>
      <c r="D1069" s="9">
        <f>VLOOKUP(A1069,[2]Sheet1!$A:$C,3,0)</f>
        <v>21</v>
      </c>
      <c r="J1069" s="1"/>
      <c r="K1069" s="1">
        <v>285</v>
      </c>
      <c r="L1069" s="1">
        <v>295</v>
      </c>
      <c r="M1069" s="1">
        <v>300</v>
      </c>
      <c r="N1069" s="1">
        <v>325</v>
      </c>
      <c r="O1069" s="1">
        <v>350</v>
      </c>
    </row>
    <row r="1070" spans="1:15" x14ac:dyDescent="0.3">
      <c r="A1070" t="s">
        <v>639</v>
      </c>
      <c r="B1070" s="3" t="s">
        <v>2852</v>
      </c>
      <c r="C1070" t="s">
        <v>638</v>
      </c>
      <c r="D1070" s="9">
        <f>VLOOKUP(A1070,[2]Sheet1!$A:$C,3,0)</f>
        <v>21</v>
      </c>
      <c r="J1070" s="1"/>
      <c r="K1070" s="1">
        <v>305</v>
      </c>
      <c r="L1070" s="1">
        <v>315</v>
      </c>
      <c r="M1070" s="1">
        <v>350</v>
      </c>
      <c r="N1070" s="1">
        <v>375</v>
      </c>
      <c r="O1070" s="1">
        <v>395</v>
      </c>
    </row>
    <row r="1071" spans="1:15" x14ac:dyDescent="0.3">
      <c r="A1071" t="s">
        <v>637</v>
      </c>
      <c r="B1071" s="3" t="s">
        <v>2852</v>
      </c>
      <c r="C1071" t="s">
        <v>636</v>
      </c>
      <c r="D1071" s="9">
        <f>VLOOKUP(A1071,[2]Sheet1!$A:$C,3,0)</f>
        <v>22</v>
      </c>
      <c r="J1071" s="1"/>
      <c r="K1071" s="1">
        <v>285</v>
      </c>
      <c r="L1071" s="1">
        <v>295</v>
      </c>
      <c r="M1071" s="1">
        <v>300</v>
      </c>
      <c r="N1071" s="1">
        <v>325</v>
      </c>
      <c r="O1071" s="1">
        <v>350</v>
      </c>
    </row>
    <row r="1072" spans="1:15" x14ac:dyDescent="0.3">
      <c r="A1072" t="s">
        <v>635</v>
      </c>
      <c r="B1072" s="3" t="s">
        <v>2852</v>
      </c>
      <c r="C1072" t="s">
        <v>634</v>
      </c>
      <c r="D1072" s="9">
        <f>VLOOKUP(A1072,[2]Sheet1!$A:$C,3,0)</f>
        <v>43</v>
      </c>
      <c r="J1072" s="1"/>
      <c r="K1072" s="1">
        <v>75</v>
      </c>
      <c r="L1072" s="1">
        <v>80</v>
      </c>
      <c r="M1072" s="1">
        <v>90</v>
      </c>
      <c r="N1072" s="1">
        <v>95</v>
      </c>
      <c r="O1072" s="1">
        <v>100</v>
      </c>
    </row>
    <row r="1073" spans="1:16" x14ac:dyDescent="0.3">
      <c r="A1073" t="s">
        <v>633</v>
      </c>
      <c r="B1073" s="3" t="s">
        <v>2852</v>
      </c>
      <c r="C1073" t="s">
        <v>632</v>
      </c>
      <c r="D1073" s="9">
        <f>VLOOKUP(A1073,[2]Sheet1!$A:$C,3,0)</f>
        <v>50</v>
      </c>
      <c r="J1073" s="1"/>
      <c r="K1073" s="1">
        <v>120</v>
      </c>
      <c r="L1073" s="1">
        <v>130</v>
      </c>
      <c r="M1073" s="1">
        <v>140</v>
      </c>
      <c r="N1073" s="1">
        <v>150</v>
      </c>
      <c r="O1073" s="1">
        <v>160</v>
      </c>
    </row>
    <row r="1074" spans="1:16" x14ac:dyDescent="0.3">
      <c r="A1074" s="9" t="s">
        <v>840</v>
      </c>
      <c r="B1074" s="10" t="s">
        <v>2852</v>
      </c>
      <c r="C1074" s="9" t="s">
        <v>839</v>
      </c>
      <c r="D1074" s="9">
        <f>VLOOKUP(A1074,[2]Sheet1!$A:$C,3,0)</f>
        <v>0</v>
      </c>
      <c r="E1074" s="10">
        <v>0</v>
      </c>
      <c r="F1074" s="10"/>
      <c r="G1074" s="28">
        <v>0</v>
      </c>
      <c r="H1074" s="10">
        <v>0</v>
      </c>
      <c r="I1074" s="13">
        <v>0</v>
      </c>
      <c r="J1074" s="10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9"/>
    </row>
    <row r="1075" spans="1:16" x14ac:dyDescent="0.3">
      <c r="A1075" t="s">
        <v>838</v>
      </c>
      <c r="B1075" s="3" t="s">
        <v>2852</v>
      </c>
      <c r="C1075" t="s">
        <v>837</v>
      </c>
      <c r="D1075" s="9">
        <f>VLOOKUP(A1075,[2]Sheet1!$A:$C,3,0)</f>
        <v>58</v>
      </c>
      <c r="J1075" s="1"/>
      <c r="K1075" s="1">
        <v>20</v>
      </c>
      <c r="L1075" s="1">
        <v>25</v>
      </c>
      <c r="M1075" s="1">
        <v>30</v>
      </c>
      <c r="N1075" s="1">
        <v>35</v>
      </c>
      <c r="O1075" s="1">
        <v>45</v>
      </c>
    </row>
    <row r="1076" spans="1:16" x14ac:dyDescent="0.3">
      <c r="A1076" t="s">
        <v>836</v>
      </c>
      <c r="B1076" s="3" t="s">
        <v>2852</v>
      </c>
      <c r="C1076" t="s">
        <v>835</v>
      </c>
      <c r="D1076" s="9">
        <f>VLOOKUP(A1076,[2]Sheet1!$A:$C,3,0)</f>
        <v>4</v>
      </c>
      <c r="J1076" s="1"/>
      <c r="K1076" s="1">
        <v>10</v>
      </c>
      <c r="L1076" s="1">
        <v>12</v>
      </c>
      <c r="M1076" s="1">
        <v>15</v>
      </c>
      <c r="N1076" s="1">
        <v>20</v>
      </c>
      <c r="O1076" s="1">
        <v>25</v>
      </c>
    </row>
    <row r="1077" spans="1:16" x14ac:dyDescent="0.3">
      <c r="A1077" t="s">
        <v>834</v>
      </c>
      <c r="B1077" s="3" t="s">
        <v>2852</v>
      </c>
      <c r="C1077" t="s">
        <v>833</v>
      </c>
      <c r="D1077" s="9">
        <f>VLOOKUP(A1077,[2]Sheet1!$A:$C,3,0)</f>
        <v>208</v>
      </c>
      <c r="J1077" s="1"/>
      <c r="K1077" s="1">
        <v>25</v>
      </c>
      <c r="L1077" s="1">
        <v>28</v>
      </c>
      <c r="M1077" s="1">
        <v>30</v>
      </c>
      <c r="N1077" s="1">
        <v>35</v>
      </c>
      <c r="O1077" s="1">
        <v>45</v>
      </c>
    </row>
    <row r="1078" spans="1:16" x14ac:dyDescent="0.3">
      <c r="A1078" t="s">
        <v>720</v>
      </c>
      <c r="B1078" s="3" t="s">
        <v>2852</v>
      </c>
      <c r="C1078" t="s">
        <v>719</v>
      </c>
      <c r="D1078" s="9">
        <f>VLOOKUP(A1078,[2]Sheet1!$A:$C,3,0)</f>
        <v>60</v>
      </c>
      <c r="J1078" s="1"/>
      <c r="K1078" s="1">
        <v>7.5</v>
      </c>
      <c r="L1078" s="1">
        <v>8</v>
      </c>
      <c r="M1078" s="1">
        <v>10</v>
      </c>
      <c r="N1078" s="1">
        <v>12</v>
      </c>
      <c r="O1078" s="1">
        <v>15</v>
      </c>
    </row>
    <row r="1079" spans="1:16" x14ac:dyDescent="0.3">
      <c r="A1079" t="s">
        <v>718</v>
      </c>
      <c r="B1079" s="3" t="s">
        <v>2852</v>
      </c>
      <c r="C1079" t="s">
        <v>717</v>
      </c>
      <c r="D1079" s="9">
        <f>VLOOKUP(A1079,[2]Sheet1!$A:$C,3,0)</f>
        <v>5</v>
      </c>
      <c r="J1079" s="1"/>
      <c r="K1079" s="1">
        <v>6</v>
      </c>
      <c r="L1079" s="1">
        <v>8</v>
      </c>
      <c r="M1079" s="1">
        <v>12</v>
      </c>
      <c r="N1079" s="1">
        <v>15</v>
      </c>
      <c r="O1079" s="1">
        <v>20</v>
      </c>
    </row>
    <row r="1080" spans="1:16" x14ac:dyDescent="0.3">
      <c r="A1080" t="s">
        <v>832</v>
      </c>
      <c r="B1080" s="3" t="s">
        <v>2852</v>
      </c>
      <c r="C1080" t="s">
        <v>831</v>
      </c>
      <c r="D1080" s="9">
        <f>VLOOKUP(A1080,[2]Sheet1!$A:$C,3,0)</f>
        <v>1416</v>
      </c>
      <c r="J1080" s="1"/>
      <c r="K1080" s="1">
        <v>1.5</v>
      </c>
      <c r="L1080" s="1">
        <v>2</v>
      </c>
      <c r="M1080" s="1">
        <v>2.5</v>
      </c>
      <c r="N1080" s="1">
        <v>3</v>
      </c>
      <c r="O1080" s="1">
        <v>4</v>
      </c>
    </row>
    <row r="1081" spans="1:16" x14ac:dyDescent="0.3">
      <c r="A1081" t="s">
        <v>830</v>
      </c>
      <c r="B1081" s="3" t="s">
        <v>2852</v>
      </c>
      <c r="C1081" t="s">
        <v>829</v>
      </c>
      <c r="D1081" s="9">
        <f>VLOOKUP(A1081,[2]Sheet1!$A:$C,3,0)</f>
        <v>4</v>
      </c>
      <c r="J1081" s="1"/>
      <c r="K1081" s="1">
        <v>40</v>
      </c>
      <c r="L1081" s="1">
        <v>42</v>
      </c>
      <c r="M1081" s="1">
        <v>45</v>
      </c>
      <c r="N1081" s="1">
        <v>48</v>
      </c>
      <c r="O1081" s="1">
        <v>55</v>
      </c>
    </row>
    <row r="1082" spans="1:16" x14ac:dyDescent="0.3">
      <c r="A1082" t="s">
        <v>828</v>
      </c>
      <c r="B1082" s="3" t="s">
        <v>2852</v>
      </c>
      <c r="C1082" t="s">
        <v>827</v>
      </c>
      <c r="D1082" s="9">
        <f>VLOOKUP(A1082,[2]Sheet1!$A:$C,3,0)</f>
        <v>76</v>
      </c>
      <c r="J1082" s="1"/>
      <c r="K1082" s="1">
        <v>10</v>
      </c>
      <c r="L1082" s="1">
        <v>12</v>
      </c>
      <c r="M1082" s="1">
        <v>13</v>
      </c>
      <c r="N1082" s="1">
        <v>15</v>
      </c>
      <c r="O1082" s="1">
        <v>18</v>
      </c>
    </row>
    <row r="1083" spans="1:16" x14ac:dyDescent="0.3">
      <c r="A1083" t="s">
        <v>826</v>
      </c>
      <c r="B1083" s="3" t="s">
        <v>2852</v>
      </c>
      <c r="C1083" t="s">
        <v>825</v>
      </c>
      <c r="D1083" s="9">
        <f>VLOOKUP(A1083,[2]Sheet1!$A:$C,3,0)</f>
        <v>186</v>
      </c>
      <c r="J1083" s="1"/>
      <c r="K1083" s="1">
        <v>10</v>
      </c>
      <c r="L1083" s="1">
        <v>12</v>
      </c>
      <c r="M1083" s="1">
        <v>13</v>
      </c>
      <c r="N1083" s="1">
        <v>15</v>
      </c>
      <c r="O1083" s="1">
        <v>18</v>
      </c>
    </row>
    <row r="1084" spans="1:16" x14ac:dyDescent="0.3">
      <c r="A1084" t="s">
        <v>824</v>
      </c>
      <c r="B1084" s="3" t="s">
        <v>2852</v>
      </c>
      <c r="C1084" t="s">
        <v>823</v>
      </c>
      <c r="D1084" s="9">
        <f>VLOOKUP(A1084,[2]Sheet1!$A:$C,3,0)</f>
        <v>304</v>
      </c>
      <c r="J1084" s="1"/>
      <c r="K1084" s="1">
        <v>12</v>
      </c>
      <c r="L1084" s="1">
        <v>13</v>
      </c>
      <c r="M1084" s="1">
        <v>15</v>
      </c>
      <c r="N1084" s="1">
        <v>20</v>
      </c>
      <c r="O1084" s="1">
        <v>25</v>
      </c>
    </row>
    <row r="1085" spans="1:16" x14ac:dyDescent="0.3">
      <c r="A1085" t="s">
        <v>822</v>
      </c>
      <c r="B1085" s="3" t="s">
        <v>2852</v>
      </c>
      <c r="C1085" t="s">
        <v>821</v>
      </c>
      <c r="D1085" s="9">
        <f>VLOOKUP(A1085,[2]Sheet1!$A:$C,3,0)</f>
        <v>162</v>
      </c>
      <c r="J1085" s="1"/>
      <c r="K1085" s="1">
        <v>13</v>
      </c>
      <c r="L1085" s="1">
        <v>15</v>
      </c>
      <c r="M1085" s="1">
        <v>16</v>
      </c>
      <c r="N1085" s="1">
        <v>18</v>
      </c>
      <c r="O1085" s="1">
        <v>20</v>
      </c>
    </row>
    <row r="1086" spans="1:16" x14ac:dyDescent="0.3">
      <c r="A1086" t="s">
        <v>820</v>
      </c>
      <c r="B1086" s="3" t="s">
        <v>2852</v>
      </c>
      <c r="C1086" t="s">
        <v>819</v>
      </c>
      <c r="D1086" s="9">
        <f>VLOOKUP(A1086,[2]Sheet1!$A:$C,3,0)</f>
        <v>146</v>
      </c>
      <c r="J1086" s="1"/>
      <c r="K1086" s="1">
        <v>20</v>
      </c>
      <c r="L1086" s="1">
        <v>25</v>
      </c>
      <c r="M1086" s="1">
        <v>30</v>
      </c>
      <c r="N1086" s="1">
        <v>35</v>
      </c>
      <c r="O1086" s="1">
        <v>45</v>
      </c>
    </row>
    <row r="1087" spans="1:16" x14ac:dyDescent="0.3">
      <c r="A1087" t="s">
        <v>631</v>
      </c>
      <c r="B1087" s="3" t="s">
        <v>2853</v>
      </c>
      <c r="C1087" t="s">
        <v>630</v>
      </c>
      <c r="D1087" s="9">
        <f>VLOOKUP(A1087,[2]Sheet1!$A:$C,3,0)</f>
        <v>389</v>
      </c>
      <c r="J1087" s="1"/>
      <c r="K1087" s="2">
        <v>0</v>
      </c>
      <c r="L1087" s="1">
        <v>38</v>
      </c>
      <c r="M1087" s="1">
        <v>39.5</v>
      </c>
      <c r="N1087" s="1">
        <v>41</v>
      </c>
      <c r="O1087" s="1">
        <v>45</v>
      </c>
    </row>
    <row r="1088" spans="1:16" x14ac:dyDescent="0.3">
      <c r="A1088" t="s">
        <v>629</v>
      </c>
      <c r="B1088" s="3" t="s">
        <v>2853</v>
      </c>
      <c r="C1088" t="s">
        <v>628</v>
      </c>
      <c r="D1088" s="9">
        <f>VLOOKUP(A1088,[2]Sheet1!$A:$C,3,0)</f>
        <v>180</v>
      </c>
      <c r="J1088" s="1"/>
      <c r="K1088" s="2">
        <v>0</v>
      </c>
      <c r="L1088" s="1">
        <v>21.5</v>
      </c>
      <c r="M1088" s="1">
        <v>22</v>
      </c>
      <c r="N1088" s="1">
        <v>23</v>
      </c>
      <c r="O1088" s="1">
        <v>25</v>
      </c>
    </row>
    <row r="1089" spans="1:15" x14ac:dyDescent="0.3">
      <c r="A1089" t="s">
        <v>627</v>
      </c>
      <c r="B1089" s="3" t="s">
        <v>2853</v>
      </c>
      <c r="C1089" t="s">
        <v>626</v>
      </c>
      <c r="D1089" s="9">
        <f>VLOOKUP(A1089,[2]Sheet1!$A:$C,3,0)</f>
        <v>88</v>
      </c>
      <c r="J1089" s="1"/>
      <c r="K1089" s="2">
        <v>0</v>
      </c>
      <c r="L1089" s="1">
        <v>56</v>
      </c>
      <c r="M1089" s="1">
        <v>58</v>
      </c>
      <c r="N1089" s="1">
        <v>59.5</v>
      </c>
      <c r="O1089" s="1">
        <v>63</v>
      </c>
    </row>
    <row r="1090" spans="1:15" x14ac:dyDescent="0.3">
      <c r="A1090" t="s">
        <v>625</v>
      </c>
      <c r="B1090" s="3" t="s">
        <v>2853</v>
      </c>
      <c r="C1090" t="s">
        <v>624</v>
      </c>
      <c r="D1090" s="9">
        <f>VLOOKUP(A1090,[2]Sheet1!$A:$C,3,0)</f>
        <v>66</v>
      </c>
      <c r="J1090" s="1"/>
      <c r="K1090" s="2">
        <v>0</v>
      </c>
      <c r="L1090" s="1">
        <v>21.5</v>
      </c>
      <c r="M1090" s="1">
        <v>22</v>
      </c>
      <c r="N1090" s="1">
        <v>23</v>
      </c>
      <c r="O1090" s="1">
        <v>25</v>
      </c>
    </row>
    <row r="1091" spans="1:15" x14ac:dyDescent="0.3">
      <c r="A1091" t="s">
        <v>623</v>
      </c>
      <c r="B1091" s="3" t="s">
        <v>2853</v>
      </c>
      <c r="C1091" t="s">
        <v>622</v>
      </c>
      <c r="D1091" s="9">
        <f>VLOOKUP(A1091,[2]Sheet1!$A:$C,3,0)</f>
        <v>37</v>
      </c>
      <c r="J1091" s="1"/>
      <c r="K1091" s="2">
        <v>0</v>
      </c>
      <c r="L1091" s="1">
        <v>21.5</v>
      </c>
      <c r="M1091" s="1">
        <v>22</v>
      </c>
      <c r="N1091" s="1">
        <v>23</v>
      </c>
      <c r="O1091" s="1">
        <v>25</v>
      </c>
    </row>
    <row r="1092" spans="1:15" x14ac:dyDescent="0.3">
      <c r="A1092" t="s">
        <v>818</v>
      </c>
      <c r="B1092" s="3" t="s">
        <v>2853</v>
      </c>
      <c r="C1092" t="s">
        <v>817</v>
      </c>
      <c r="D1092" s="9">
        <f>VLOOKUP(A1092,[2]Sheet1!$A:$C,3,0)</f>
        <v>186</v>
      </c>
      <c r="J1092" s="1"/>
      <c r="K1092" s="2">
        <v>0</v>
      </c>
      <c r="L1092" s="1">
        <v>125</v>
      </c>
      <c r="M1092" s="1">
        <v>128</v>
      </c>
      <c r="N1092" s="1">
        <v>135</v>
      </c>
      <c r="O1092" s="1">
        <v>140</v>
      </c>
    </row>
    <row r="1093" spans="1:15" x14ac:dyDescent="0.3">
      <c r="A1093" t="s">
        <v>816</v>
      </c>
      <c r="B1093" s="3" t="s">
        <v>2853</v>
      </c>
      <c r="C1093" t="s">
        <v>815</v>
      </c>
      <c r="D1093" s="9">
        <f>VLOOKUP(A1093,[2]Sheet1!$A:$C,3,0)</f>
        <v>0</v>
      </c>
      <c r="J1093" s="1"/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 x14ac:dyDescent="0.3">
      <c r="A1094" t="s">
        <v>716</v>
      </c>
      <c r="B1094" s="3" t="s">
        <v>2853</v>
      </c>
      <c r="C1094" t="s">
        <v>715</v>
      </c>
      <c r="D1094" s="9">
        <f>VLOOKUP(A1094,[2]Sheet1!$A:$C,3,0)</f>
        <v>108</v>
      </c>
      <c r="J1094" s="1"/>
      <c r="K1094" s="2">
        <v>0</v>
      </c>
      <c r="L1094" s="1">
        <v>125</v>
      </c>
      <c r="M1094" s="1">
        <v>128</v>
      </c>
      <c r="N1094" s="1">
        <v>135</v>
      </c>
      <c r="O1094" s="1">
        <v>140</v>
      </c>
    </row>
    <row r="1095" spans="1:15" x14ac:dyDescent="0.3">
      <c r="A1095" t="s">
        <v>864</v>
      </c>
      <c r="B1095" s="3" t="s">
        <v>2853</v>
      </c>
      <c r="C1095" t="s">
        <v>863</v>
      </c>
      <c r="D1095" s="9">
        <f>VLOOKUP(A1095,[2]Sheet1!$A:$C,3,0)</f>
        <v>214</v>
      </c>
      <c r="J1095" s="1"/>
      <c r="K1095" s="2">
        <v>0</v>
      </c>
      <c r="L1095" s="1">
        <v>125</v>
      </c>
      <c r="M1095" s="1">
        <v>128</v>
      </c>
      <c r="N1095" s="1">
        <v>135</v>
      </c>
      <c r="O1095" s="1">
        <v>140</v>
      </c>
    </row>
    <row r="1096" spans="1:15" x14ac:dyDescent="0.3">
      <c r="A1096" t="s">
        <v>814</v>
      </c>
      <c r="B1096" s="3" t="s">
        <v>2853</v>
      </c>
      <c r="C1096" t="s">
        <v>813</v>
      </c>
      <c r="D1096" s="9">
        <f>VLOOKUP(A1096,[2]Sheet1!$A:$C,3,0)</f>
        <v>6</v>
      </c>
      <c r="J1096" s="1"/>
      <c r="K1096" s="2">
        <v>0</v>
      </c>
      <c r="L1096" s="1">
        <v>125</v>
      </c>
      <c r="M1096" s="1">
        <v>130</v>
      </c>
      <c r="N1096" s="1">
        <v>135</v>
      </c>
      <c r="O1096" s="1">
        <v>140</v>
      </c>
    </row>
    <row r="1097" spans="1:15" x14ac:dyDescent="0.3">
      <c r="A1097" t="s">
        <v>793</v>
      </c>
      <c r="B1097" s="3" t="s">
        <v>2853</v>
      </c>
      <c r="C1097" t="s">
        <v>792</v>
      </c>
      <c r="D1097" s="9">
        <f>VLOOKUP(A1097,[2]Sheet1!$A:$C,3,0)</f>
        <v>3</v>
      </c>
      <c r="J1097" s="1"/>
      <c r="K1097" s="2">
        <v>0</v>
      </c>
      <c r="L1097" s="1">
        <v>116</v>
      </c>
      <c r="M1097" s="1">
        <v>120</v>
      </c>
      <c r="N1097" s="1">
        <v>125</v>
      </c>
      <c r="O1097" s="1">
        <v>135</v>
      </c>
    </row>
    <row r="1098" spans="1:15" x14ac:dyDescent="0.3">
      <c r="A1098" t="s">
        <v>714</v>
      </c>
      <c r="B1098" s="3" t="s">
        <v>2853</v>
      </c>
      <c r="C1098" t="s">
        <v>713</v>
      </c>
      <c r="D1098" s="9">
        <f>VLOOKUP(A1098,[2]Sheet1!$A:$C,3,0)</f>
        <v>23</v>
      </c>
      <c r="J1098" s="1"/>
      <c r="K1098" s="2">
        <v>0</v>
      </c>
      <c r="L1098" s="1">
        <v>212</v>
      </c>
      <c r="M1098" s="1">
        <v>220</v>
      </c>
      <c r="N1098" s="1">
        <v>225</v>
      </c>
      <c r="O1098" s="1">
        <v>240</v>
      </c>
    </row>
    <row r="1099" spans="1:15" x14ac:dyDescent="0.3">
      <c r="A1099" t="s">
        <v>621</v>
      </c>
      <c r="B1099" s="3" t="s">
        <v>2853</v>
      </c>
      <c r="C1099" t="s">
        <v>620</v>
      </c>
      <c r="D1099" s="9">
        <f>VLOOKUP(A1099,[2]Sheet1!$A:$C,3,0)</f>
        <v>32</v>
      </c>
      <c r="J1099" s="1"/>
      <c r="K1099" s="2">
        <v>0</v>
      </c>
      <c r="L1099" s="1">
        <v>212</v>
      </c>
      <c r="M1099" s="1">
        <v>220</v>
      </c>
      <c r="N1099" s="1">
        <v>225</v>
      </c>
      <c r="O1099" s="1">
        <v>240</v>
      </c>
    </row>
    <row r="1100" spans="1:15" x14ac:dyDescent="0.3">
      <c r="A1100" t="s">
        <v>712</v>
      </c>
      <c r="B1100" s="3" t="s">
        <v>2854</v>
      </c>
      <c r="C1100" t="s">
        <v>711</v>
      </c>
      <c r="D1100" s="9">
        <f>VLOOKUP(A1100,[2]Sheet1!$A:$C,3,0)</f>
        <v>1</v>
      </c>
      <c r="J1100" s="1"/>
      <c r="K1100" s="1">
        <v>1035</v>
      </c>
      <c r="L1100" s="1">
        <v>1050</v>
      </c>
      <c r="M1100" s="1">
        <v>1085</v>
      </c>
      <c r="N1100" s="1">
        <v>1115</v>
      </c>
      <c r="O1100" s="1">
        <v>1175</v>
      </c>
    </row>
    <row r="1101" spans="1:15" x14ac:dyDescent="0.3">
      <c r="A1101" t="s">
        <v>710</v>
      </c>
      <c r="B1101" s="3" t="s">
        <v>2854</v>
      </c>
      <c r="C1101" t="s">
        <v>709</v>
      </c>
      <c r="D1101" s="9">
        <f>VLOOKUP(A1101,[2]Sheet1!$A:$C,3,0)</f>
        <v>0</v>
      </c>
      <c r="J1101" s="1"/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 x14ac:dyDescent="0.3">
      <c r="A1102" t="s">
        <v>708</v>
      </c>
      <c r="B1102" s="3" t="s">
        <v>2854</v>
      </c>
      <c r="C1102" t="s">
        <v>707</v>
      </c>
      <c r="D1102" s="9">
        <f>VLOOKUP(A1102,[2]Sheet1!$A:$C,3,0)</f>
        <v>1</v>
      </c>
      <c r="J1102" s="1"/>
      <c r="K1102" s="1">
        <v>1325</v>
      </c>
      <c r="L1102" s="1">
        <v>1350</v>
      </c>
      <c r="M1102" s="1">
        <v>1390</v>
      </c>
      <c r="N1102" s="1">
        <v>1450</v>
      </c>
      <c r="O1102" s="1">
        <v>1525</v>
      </c>
    </row>
    <row r="1103" spans="1:15" x14ac:dyDescent="0.3">
      <c r="A1103" t="s">
        <v>613</v>
      </c>
      <c r="B1103" s="3" t="s">
        <v>2854</v>
      </c>
      <c r="C1103" t="s">
        <v>612</v>
      </c>
      <c r="D1103" s="9">
        <f>VLOOKUP(A1103,[2]Sheet1!$A:$C,3,0)</f>
        <v>0</v>
      </c>
      <c r="J1103" s="1"/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spans="1:15" x14ac:dyDescent="0.3">
      <c r="A1104" t="s">
        <v>611</v>
      </c>
      <c r="B1104" s="3" t="s">
        <v>2854</v>
      </c>
      <c r="C1104" t="s">
        <v>610</v>
      </c>
      <c r="D1104" s="9">
        <f>VLOOKUP(A1104,[2]Sheet1!$A:$C,3,0)</f>
        <v>0</v>
      </c>
      <c r="J1104" s="1"/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6" x14ac:dyDescent="0.3">
      <c r="A1105" t="s">
        <v>609</v>
      </c>
      <c r="B1105" s="3" t="s">
        <v>2854</v>
      </c>
      <c r="C1105" t="s">
        <v>608</v>
      </c>
      <c r="D1105" s="9">
        <f>VLOOKUP(A1105,[2]Sheet1!$A:$C,3,0)</f>
        <v>0</v>
      </c>
      <c r="J1105" s="1"/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6" x14ac:dyDescent="0.3">
      <c r="A1106" t="s">
        <v>607</v>
      </c>
      <c r="B1106" s="3" t="s">
        <v>2854</v>
      </c>
      <c r="C1106" t="s">
        <v>606</v>
      </c>
      <c r="D1106" s="9">
        <f>VLOOKUP(A1106,[2]Sheet1!$A:$C,3,0)</f>
        <v>3</v>
      </c>
      <c r="J1106" s="1"/>
      <c r="K1106" s="1">
        <v>850</v>
      </c>
      <c r="L1106" s="1">
        <v>865</v>
      </c>
      <c r="M1106" s="1">
        <v>890</v>
      </c>
      <c r="N1106" s="1">
        <v>950</v>
      </c>
      <c r="O1106" s="1">
        <v>1000</v>
      </c>
    </row>
    <row r="1107" spans="1:16" x14ac:dyDescent="0.3">
      <c r="A1107" t="s">
        <v>605</v>
      </c>
      <c r="B1107" s="3" t="s">
        <v>2854</v>
      </c>
      <c r="C1107" t="s">
        <v>604</v>
      </c>
      <c r="D1107" s="9">
        <f>VLOOKUP(A1107,[2]Sheet1!$A:$C,3,0)</f>
        <v>9</v>
      </c>
      <c r="J1107" s="1"/>
      <c r="K1107" s="1">
        <v>1115</v>
      </c>
      <c r="L1107" s="1">
        <v>1125</v>
      </c>
      <c r="M1107" s="1">
        <v>1150</v>
      </c>
      <c r="N1107" s="1">
        <v>1190</v>
      </c>
      <c r="O1107" s="1">
        <v>1260</v>
      </c>
    </row>
    <row r="1108" spans="1:16" x14ac:dyDescent="0.3">
      <c r="A1108" t="s">
        <v>603</v>
      </c>
      <c r="B1108" s="3" t="s">
        <v>2854</v>
      </c>
      <c r="C1108" t="s">
        <v>602</v>
      </c>
      <c r="D1108" s="9">
        <f>VLOOKUP(A1108,[2]Sheet1!$A:$C,3,0)</f>
        <v>3</v>
      </c>
      <c r="J1108" s="1"/>
      <c r="K1108" s="1">
        <v>1270</v>
      </c>
      <c r="L1108" s="1">
        <v>1285</v>
      </c>
      <c r="M1108" s="1">
        <v>1310</v>
      </c>
      <c r="N1108" s="1">
        <v>1365</v>
      </c>
      <c r="O1108" s="1">
        <v>1435</v>
      </c>
    </row>
    <row r="1109" spans="1:16" x14ac:dyDescent="0.3">
      <c r="A1109" t="s">
        <v>706</v>
      </c>
      <c r="B1109" s="3" t="s">
        <v>2855</v>
      </c>
      <c r="C1109" t="s">
        <v>705</v>
      </c>
      <c r="D1109" s="9">
        <f>VLOOKUP(A1109,[2]Sheet1!$A:$C,3,0)</f>
        <v>37</v>
      </c>
      <c r="J1109" s="1"/>
      <c r="K1109" s="1">
        <v>1055</v>
      </c>
      <c r="L1109" s="1">
        <v>1065</v>
      </c>
      <c r="M1109" s="1">
        <v>1110</v>
      </c>
      <c r="N1109" s="1">
        <v>1145</v>
      </c>
      <c r="O1109" s="1">
        <v>1220</v>
      </c>
    </row>
    <row r="1110" spans="1:16" x14ac:dyDescent="0.3">
      <c r="A1110" t="s">
        <v>704</v>
      </c>
      <c r="B1110" s="3" t="s">
        <v>2855</v>
      </c>
      <c r="C1110" t="s">
        <v>703</v>
      </c>
      <c r="D1110" s="9">
        <f>VLOOKUP(A1110,[2]Sheet1!$A:$C,3,0)</f>
        <v>19</v>
      </c>
      <c r="J1110" s="1"/>
      <c r="K1110" s="1">
        <v>1215</v>
      </c>
      <c r="L1110" s="1">
        <v>1230</v>
      </c>
      <c r="M1110" s="1">
        <v>1265</v>
      </c>
      <c r="N1110" s="1">
        <v>1315</v>
      </c>
      <c r="O1110" s="1">
        <v>1385</v>
      </c>
    </row>
    <row r="1111" spans="1:16" x14ac:dyDescent="0.3">
      <c r="A1111" t="s">
        <v>702</v>
      </c>
      <c r="B1111" s="3" t="s">
        <v>2855</v>
      </c>
      <c r="C1111" t="s">
        <v>701</v>
      </c>
      <c r="D1111" s="9">
        <f>VLOOKUP(A1111,[2]Sheet1!$A:$C,3,0)</f>
        <v>36</v>
      </c>
      <c r="J1111" s="1"/>
      <c r="K1111" s="1">
        <v>1380</v>
      </c>
      <c r="L1111" s="1">
        <v>1400</v>
      </c>
      <c r="M1111" s="1">
        <v>1440</v>
      </c>
      <c r="N1111" s="1">
        <v>1485</v>
      </c>
      <c r="O1111" s="1">
        <v>1580</v>
      </c>
    </row>
    <row r="1112" spans="1:16" x14ac:dyDescent="0.3">
      <c r="A1112" t="s">
        <v>601</v>
      </c>
      <c r="B1112" s="3" t="s">
        <v>2855</v>
      </c>
      <c r="C1112" t="s">
        <v>600</v>
      </c>
      <c r="D1112" s="9">
        <f>VLOOKUP(A1112,[2]Sheet1!$A:$C,3,0)</f>
        <v>2</v>
      </c>
      <c r="J1112" s="1"/>
      <c r="K1112" s="1">
        <v>835</v>
      </c>
      <c r="L1112" s="1">
        <v>845</v>
      </c>
      <c r="M1112" s="1">
        <v>875</v>
      </c>
      <c r="N1112" s="1">
        <v>895</v>
      </c>
      <c r="O1112" s="1">
        <v>965</v>
      </c>
    </row>
    <row r="1113" spans="1:16" x14ac:dyDescent="0.3">
      <c r="A1113" t="s">
        <v>599</v>
      </c>
      <c r="B1113" s="3" t="s">
        <v>2855</v>
      </c>
      <c r="C1113" t="s">
        <v>598</v>
      </c>
      <c r="D1113" s="9">
        <f>VLOOKUP(A1113,[2]Sheet1!$A:$C,3,0)</f>
        <v>2</v>
      </c>
      <c r="J1113" s="1"/>
      <c r="K1113" s="1">
        <v>870</v>
      </c>
      <c r="L1113" s="1">
        <v>885</v>
      </c>
      <c r="M1113" s="1">
        <v>915</v>
      </c>
      <c r="N1113" s="1">
        <v>945</v>
      </c>
      <c r="O1113" s="1">
        <v>1000</v>
      </c>
    </row>
    <row r="1114" spans="1:16" x14ac:dyDescent="0.3">
      <c r="A1114" t="s">
        <v>597</v>
      </c>
      <c r="B1114" s="3" t="s">
        <v>2855</v>
      </c>
      <c r="C1114" t="s">
        <v>596</v>
      </c>
      <c r="D1114" s="9">
        <f>VLOOKUP(A1114,[2]Sheet1!$A:$C,3,0)</f>
        <v>2</v>
      </c>
      <c r="J1114" s="1"/>
      <c r="K1114" s="1">
        <v>910</v>
      </c>
      <c r="L1114" s="1">
        <v>920</v>
      </c>
      <c r="M1114" s="1">
        <v>950</v>
      </c>
      <c r="N1114" s="1">
        <v>980</v>
      </c>
      <c r="O1114" s="1">
        <v>1035</v>
      </c>
    </row>
    <row r="1115" spans="1:16" x14ac:dyDescent="0.3">
      <c r="A1115" t="s">
        <v>595</v>
      </c>
      <c r="B1115" s="3" t="s">
        <v>2855</v>
      </c>
      <c r="C1115" t="s">
        <v>594</v>
      </c>
      <c r="D1115" s="9">
        <f>VLOOKUP(A1115,[2]Sheet1!$A:$C,3,0)</f>
        <v>25</v>
      </c>
      <c r="J1115" s="1"/>
      <c r="K1115" s="1">
        <v>985</v>
      </c>
      <c r="L1115" s="1">
        <v>995</v>
      </c>
      <c r="M1115" s="1">
        <v>1025</v>
      </c>
      <c r="N1115" s="1">
        <v>1050</v>
      </c>
      <c r="O1115" s="1">
        <v>1125</v>
      </c>
    </row>
    <row r="1116" spans="1:16" x14ac:dyDescent="0.3">
      <c r="A1116" t="s">
        <v>593</v>
      </c>
      <c r="B1116" s="3" t="s">
        <v>2855</v>
      </c>
      <c r="C1116" t="s">
        <v>592</v>
      </c>
      <c r="D1116" s="9">
        <f>VLOOKUP(A1116,[2]Sheet1!$A:$C,3,0)</f>
        <v>0</v>
      </c>
      <c r="J1116" s="1"/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6" x14ac:dyDescent="0.3">
      <c r="A1117" t="s">
        <v>591</v>
      </c>
      <c r="B1117" s="3" t="s">
        <v>2855</v>
      </c>
      <c r="C1117" t="s">
        <v>590</v>
      </c>
      <c r="D1117" s="9">
        <f>VLOOKUP(A1117,[2]Sheet1!$A:$C,3,0)</f>
        <v>34</v>
      </c>
      <c r="J1117" s="1"/>
      <c r="K1117" s="1">
        <v>1140</v>
      </c>
      <c r="L1117" s="1">
        <v>1150</v>
      </c>
      <c r="M1117" s="1">
        <v>1175</v>
      </c>
      <c r="N1117" s="1">
        <v>1215</v>
      </c>
      <c r="O1117" s="1">
        <v>1290</v>
      </c>
    </row>
    <row r="1118" spans="1:16" x14ac:dyDescent="0.3">
      <c r="A1118" t="s">
        <v>589</v>
      </c>
      <c r="B1118" s="3" t="s">
        <v>2855</v>
      </c>
      <c r="C1118" t="s">
        <v>588</v>
      </c>
      <c r="D1118" s="9">
        <f>VLOOKUP(A1118,[2]Sheet1!$A:$C,3,0)</f>
        <v>47</v>
      </c>
      <c r="J1118" s="1"/>
      <c r="K1118" s="1">
        <v>1300</v>
      </c>
      <c r="L1118" s="1">
        <v>1315</v>
      </c>
      <c r="M1118" s="1">
        <v>1360</v>
      </c>
      <c r="N1118" s="1">
        <v>1410</v>
      </c>
      <c r="O1118" s="1">
        <v>1485</v>
      </c>
    </row>
    <row r="1119" spans="1:16" x14ac:dyDescent="0.3">
      <c r="A1119" s="9" t="s">
        <v>812</v>
      </c>
      <c r="B1119" s="10" t="s">
        <v>2856</v>
      </c>
      <c r="C1119" s="9" t="s">
        <v>811</v>
      </c>
      <c r="D1119" s="9">
        <f>VLOOKUP(A1119,[2]Sheet1!$A:$C,3,0)</f>
        <v>0</v>
      </c>
      <c r="E1119" s="10">
        <v>0</v>
      </c>
      <c r="F1119" s="10"/>
      <c r="G1119" s="28">
        <v>0</v>
      </c>
      <c r="H1119" s="10">
        <v>0</v>
      </c>
      <c r="I1119" s="13">
        <v>0</v>
      </c>
      <c r="J1119" s="10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9"/>
    </row>
    <row r="1120" spans="1:16" x14ac:dyDescent="0.3">
      <c r="A1120" t="s">
        <v>791</v>
      </c>
      <c r="B1120" s="3" t="s">
        <v>2856</v>
      </c>
      <c r="C1120" t="s">
        <v>790</v>
      </c>
      <c r="D1120" s="9">
        <f>VLOOKUP(A1120,[2]Sheet1!$A:$C,3,0)</f>
        <v>28</v>
      </c>
      <c r="J1120" s="1"/>
      <c r="K1120" s="1">
        <v>1320</v>
      </c>
      <c r="L1120" s="1">
        <v>1340</v>
      </c>
      <c r="M1120" s="1">
        <v>1380</v>
      </c>
      <c r="N1120" s="1">
        <v>1450</v>
      </c>
      <c r="O1120" s="1">
        <v>1515</v>
      </c>
    </row>
    <row r="1121" spans="1:15" x14ac:dyDescent="0.3">
      <c r="A1121" t="s">
        <v>789</v>
      </c>
      <c r="B1121" s="3" t="s">
        <v>2856</v>
      </c>
      <c r="C1121" t="s">
        <v>788</v>
      </c>
      <c r="D1121" s="9">
        <f>VLOOKUP(A1121,[2]Sheet1!$A:$C,3,0)</f>
        <v>27</v>
      </c>
      <c r="J1121" s="1"/>
      <c r="K1121" s="1">
        <v>1495</v>
      </c>
      <c r="L1121" s="1">
        <v>1515</v>
      </c>
      <c r="M1121" s="1">
        <v>1560</v>
      </c>
      <c r="N1121" s="1">
        <v>1625</v>
      </c>
      <c r="O1121" s="1">
        <v>1715</v>
      </c>
    </row>
    <row r="1122" spans="1:15" x14ac:dyDescent="0.3">
      <c r="A1122" t="s">
        <v>787</v>
      </c>
      <c r="B1122" s="3" t="s">
        <v>2856</v>
      </c>
      <c r="C1122" t="s">
        <v>786</v>
      </c>
      <c r="D1122" s="9">
        <f>VLOOKUP(A1122,[2]Sheet1!$A:$C,3,0)</f>
        <v>23</v>
      </c>
      <c r="J1122" s="1"/>
      <c r="K1122" s="1">
        <v>1630</v>
      </c>
      <c r="L1122" s="1">
        <v>1650</v>
      </c>
      <c r="M1122" s="1">
        <v>1700</v>
      </c>
      <c r="N1122" s="1">
        <v>1765</v>
      </c>
      <c r="O1122" s="1">
        <v>1865</v>
      </c>
    </row>
    <row r="1123" spans="1:15" x14ac:dyDescent="0.3">
      <c r="A1123" t="s">
        <v>700</v>
      </c>
      <c r="B1123" s="3" t="s">
        <v>2856</v>
      </c>
      <c r="C1123" t="s">
        <v>699</v>
      </c>
      <c r="D1123" s="9">
        <f>VLOOKUP(A1123,[2]Sheet1!$A:$C,3,0)</f>
        <v>0</v>
      </c>
      <c r="J1123" s="1"/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 x14ac:dyDescent="0.3">
      <c r="A1124" t="s">
        <v>698</v>
      </c>
      <c r="B1124" s="3" t="s">
        <v>2856</v>
      </c>
      <c r="C1124" t="s">
        <v>697</v>
      </c>
      <c r="D1124" s="9">
        <f>VLOOKUP(A1124,[2]Sheet1!$A:$C,3,0)</f>
        <v>0</v>
      </c>
      <c r="J1124" s="1"/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 x14ac:dyDescent="0.3">
      <c r="A1125" t="s">
        <v>696</v>
      </c>
      <c r="B1125" s="3" t="s">
        <v>2856</v>
      </c>
      <c r="C1125" t="s">
        <v>695</v>
      </c>
      <c r="D1125" s="9">
        <f>VLOOKUP(A1125,[2]Sheet1!$A:$C,3,0)</f>
        <v>6</v>
      </c>
      <c r="J1125" s="1"/>
      <c r="K1125" s="2">
        <v>0</v>
      </c>
      <c r="L1125" s="1">
        <v>680</v>
      </c>
      <c r="M1125" s="1">
        <v>700</v>
      </c>
      <c r="N1125" s="1">
        <v>725</v>
      </c>
      <c r="O1125" s="1">
        <v>800</v>
      </c>
    </row>
    <row r="1126" spans="1:15" x14ac:dyDescent="0.3">
      <c r="A1126" t="s">
        <v>694</v>
      </c>
      <c r="B1126" s="3" t="s">
        <v>2856</v>
      </c>
      <c r="C1126" t="s">
        <v>693</v>
      </c>
      <c r="D1126" s="9">
        <f>VLOOKUP(A1126,[2]Sheet1!$A:$C,3,0)</f>
        <v>65</v>
      </c>
      <c r="J1126" s="1"/>
      <c r="K1126" s="2">
        <v>0</v>
      </c>
      <c r="L1126" s="1">
        <v>540</v>
      </c>
      <c r="M1126" s="1">
        <v>555</v>
      </c>
      <c r="N1126" s="1">
        <v>575</v>
      </c>
      <c r="O1126" s="1">
        <v>605</v>
      </c>
    </row>
    <row r="1127" spans="1:15" x14ac:dyDescent="0.3">
      <c r="A1127" t="s">
        <v>692</v>
      </c>
      <c r="B1127" s="3" t="s">
        <v>2856</v>
      </c>
      <c r="C1127" t="s">
        <v>691</v>
      </c>
      <c r="D1127" s="9">
        <f>VLOOKUP(A1127,[2]Sheet1!$A:$C,3,0)</f>
        <v>58</v>
      </c>
      <c r="J1127" s="1"/>
      <c r="K1127" s="2">
        <v>0</v>
      </c>
      <c r="L1127" s="1">
        <v>625</v>
      </c>
      <c r="M1127" s="1">
        <v>645</v>
      </c>
      <c r="N1127" s="1">
        <v>670</v>
      </c>
      <c r="O1127" s="1">
        <v>710</v>
      </c>
    </row>
    <row r="1128" spans="1:15" x14ac:dyDescent="0.3">
      <c r="A1128" t="s">
        <v>690</v>
      </c>
      <c r="B1128" s="3" t="s">
        <v>2856</v>
      </c>
      <c r="C1128" t="s">
        <v>689</v>
      </c>
      <c r="D1128" s="9">
        <f>VLOOKUP(A1128,[2]Sheet1!$A:$C,3,0)</f>
        <v>98</v>
      </c>
      <c r="J1128" s="1"/>
      <c r="K1128" s="2">
        <v>0</v>
      </c>
      <c r="L1128" s="1">
        <v>715</v>
      </c>
      <c r="M1128" s="1">
        <v>740</v>
      </c>
      <c r="N1128" s="1">
        <v>765</v>
      </c>
      <c r="O1128" s="1">
        <v>810</v>
      </c>
    </row>
    <row r="1129" spans="1:15" x14ac:dyDescent="0.3">
      <c r="A1129" t="s">
        <v>688</v>
      </c>
      <c r="B1129" s="3" t="s">
        <v>2856</v>
      </c>
      <c r="C1129" t="s">
        <v>687</v>
      </c>
      <c r="D1129" s="9">
        <f>VLOOKUP(A1129,[2]Sheet1!$A:$C,3,0)</f>
        <v>0</v>
      </c>
      <c r="J1129" s="1"/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 x14ac:dyDescent="0.3">
      <c r="A1130" t="s">
        <v>619</v>
      </c>
      <c r="B1130" s="3" t="s">
        <v>2856</v>
      </c>
      <c r="C1130" t="s">
        <v>618</v>
      </c>
      <c r="D1130" s="9">
        <f>VLOOKUP(A1130,[2]Sheet1!$A:$C,3,0)</f>
        <v>16</v>
      </c>
      <c r="J1130" s="1"/>
      <c r="K1130" s="2">
        <v>0</v>
      </c>
      <c r="L1130" s="1">
        <f>VLOOKUP(A1130,'[1]ACC-NA '!$B:$K,10,0)</f>
        <v>685</v>
      </c>
      <c r="M1130" s="1">
        <f>VLOOKUP(A1130,'[1]ACC-NA '!$B:$L,11,0)</f>
        <v>705</v>
      </c>
      <c r="N1130" s="1">
        <f>VLOOKUP(A1130,'[1]ACC-NA '!$B:$M,12,0)</f>
        <v>730</v>
      </c>
      <c r="O1130" s="1">
        <f>VLOOKUP(A1130,'[1]ACC-NA '!$B:$N,13,0)</f>
        <v>775</v>
      </c>
    </row>
    <row r="1131" spans="1:15" x14ac:dyDescent="0.3">
      <c r="A1131" t="s">
        <v>617</v>
      </c>
      <c r="B1131" s="3" t="s">
        <v>2856</v>
      </c>
      <c r="C1131" t="s">
        <v>616</v>
      </c>
      <c r="D1131" s="9">
        <f>VLOOKUP(A1131,[2]Sheet1!$A:$C,3,0)</f>
        <v>5</v>
      </c>
      <c r="J1131" s="1"/>
      <c r="K1131" s="2">
        <v>0</v>
      </c>
      <c r="L1131" s="1">
        <f>VLOOKUP(A1131,'[1]ACC-NA '!$B:$K,10,0)</f>
        <v>800</v>
      </c>
      <c r="M1131" s="1">
        <f>VLOOKUP(A1131,'[1]ACC-NA '!$B:$L,11,0)</f>
        <v>825</v>
      </c>
      <c r="N1131" s="1">
        <f>VLOOKUP(A1131,'[1]ACC-NA '!$B:$M,12,0)</f>
        <v>850</v>
      </c>
      <c r="O1131" s="1">
        <f>VLOOKUP(A1131,'[1]ACC-NA '!$B:$N,13,0)</f>
        <v>900</v>
      </c>
    </row>
    <row r="1132" spans="1:15" x14ac:dyDescent="0.3">
      <c r="A1132" t="s">
        <v>615</v>
      </c>
      <c r="B1132" s="3" t="s">
        <v>2856</v>
      </c>
      <c r="C1132" t="s">
        <v>614</v>
      </c>
      <c r="D1132" s="9">
        <f>VLOOKUP(A1132,[2]Sheet1!$A:$C,3,0)</f>
        <v>5</v>
      </c>
      <c r="J1132" s="1"/>
      <c r="K1132" s="2">
        <v>0</v>
      </c>
      <c r="L1132" s="1">
        <f>VLOOKUP(A1132,'[1]ACC-NA '!$B:$K,10,0)</f>
        <v>915</v>
      </c>
      <c r="M1132" s="1">
        <f>VLOOKUP(A1132,'[1]ACC-NA '!$B:$L,11,0)</f>
        <v>940</v>
      </c>
      <c r="N1132" s="1">
        <f>VLOOKUP(A1132,'[1]ACC-NA '!$B:$M,12,0)</f>
        <v>970</v>
      </c>
      <c r="O1132" s="1">
        <f>VLOOKUP(A1132,'[1]ACC-NA '!$B:$N,13,0)</f>
        <v>1030</v>
      </c>
    </row>
    <row r="1133" spans="1:15" x14ac:dyDescent="0.3">
      <c r="A1133" t="s">
        <v>587</v>
      </c>
      <c r="B1133" s="3" t="s">
        <v>2856</v>
      </c>
      <c r="C1133" t="s">
        <v>586</v>
      </c>
      <c r="D1133" s="9">
        <f>VLOOKUP(A1133,[2]Sheet1!$A:$C,3,0)</f>
        <v>0</v>
      </c>
      <c r="J1133" s="1"/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 x14ac:dyDescent="0.3">
      <c r="A1134" t="s">
        <v>585</v>
      </c>
      <c r="B1134" s="3" t="s">
        <v>2856</v>
      </c>
      <c r="C1134" t="s">
        <v>584</v>
      </c>
      <c r="D1134" s="9">
        <f>VLOOKUP(A1134,[2]Sheet1!$A:$C,3,0)</f>
        <v>0</v>
      </c>
      <c r="J1134" s="1"/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 x14ac:dyDescent="0.3">
      <c r="A1135" t="s">
        <v>583</v>
      </c>
      <c r="B1135" s="3" t="s">
        <v>2856</v>
      </c>
      <c r="C1135" t="s">
        <v>582</v>
      </c>
      <c r="D1135" s="9">
        <f>VLOOKUP(A1135,[2]Sheet1!$A:$C,3,0)</f>
        <v>2</v>
      </c>
      <c r="J1135" s="1"/>
      <c r="K1135" s="2">
        <v>0</v>
      </c>
      <c r="L1135" s="1">
        <v>680</v>
      </c>
      <c r="M1135" s="1">
        <v>700</v>
      </c>
      <c r="N1135" s="1">
        <v>725</v>
      </c>
      <c r="O1135" s="1">
        <v>800</v>
      </c>
    </row>
    <row r="1136" spans="1:15" x14ac:dyDescent="0.3">
      <c r="A1136" t="s">
        <v>581</v>
      </c>
      <c r="B1136" s="3" t="s">
        <v>2856</v>
      </c>
      <c r="C1136" t="s">
        <v>580</v>
      </c>
      <c r="D1136" s="9">
        <f>VLOOKUP(A1136,[2]Sheet1!$A:$C,3,0)</f>
        <v>138</v>
      </c>
      <c r="J1136" s="1"/>
      <c r="K1136" s="2">
        <v>0</v>
      </c>
      <c r="L1136" s="1">
        <v>540</v>
      </c>
      <c r="M1136" s="1">
        <v>555</v>
      </c>
      <c r="N1136" s="1">
        <v>575</v>
      </c>
      <c r="O1136" s="1">
        <v>605</v>
      </c>
    </row>
    <row r="1137" spans="1:15" x14ac:dyDescent="0.3">
      <c r="A1137" t="s">
        <v>579</v>
      </c>
      <c r="B1137" s="3" t="s">
        <v>2856</v>
      </c>
      <c r="C1137" t="s">
        <v>578</v>
      </c>
      <c r="D1137" s="9">
        <f>VLOOKUP(A1137,[2]Sheet1!$A:$C,3,0)</f>
        <v>66</v>
      </c>
      <c r="J1137" s="1"/>
      <c r="K1137" s="2">
        <v>0</v>
      </c>
      <c r="L1137" s="1">
        <v>625</v>
      </c>
      <c r="M1137" s="1">
        <v>645</v>
      </c>
      <c r="N1137" s="1">
        <v>670</v>
      </c>
      <c r="O1137" s="1">
        <v>710</v>
      </c>
    </row>
    <row r="1138" spans="1:15" x14ac:dyDescent="0.3">
      <c r="A1138" t="s">
        <v>577</v>
      </c>
      <c r="B1138" s="3" t="s">
        <v>2856</v>
      </c>
      <c r="C1138" t="s">
        <v>576</v>
      </c>
      <c r="D1138" s="9">
        <f>VLOOKUP(A1138,[2]Sheet1!$A:$C,3,0)</f>
        <v>100</v>
      </c>
      <c r="J1138" s="1"/>
      <c r="K1138" s="2">
        <v>0</v>
      </c>
      <c r="L1138" s="1">
        <v>715</v>
      </c>
      <c r="M1138" s="1">
        <v>740</v>
      </c>
      <c r="N1138" s="1">
        <v>765</v>
      </c>
      <c r="O1138" s="1">
        <v>810</v>
      </c>
    </row>
    <row r="1139" spans="1:15" x14ac:dyDescent="0.3">
      <c r="A1139" t="s">
        <v>575</v>
      </c>
      <c r="B1139" s="3" t="s">
        <v>2856</v>
      </c>
      <c r="C1139" t="s">
        <v>574</v>
      </c>
      <c r="D1139" s="9">
        <f>VLOOKUP(A1139,[2]Sheet1!$A:$C,3,0)</f>
        <v>4</v>
      </c>
      <c r="J1139" s="1"/>
      <c r="K1139" s="2">
        <v>0</v>
      </c>
      <c r="L1139" s="1">
        <v>895</v>
      </c>
      <c r="M1139" s="1">
        <v>925</v>
      </c>
      <c r="N1139" s="1">
        <v>955</v>
      </c>
      <c r="O1139" s="1">
        <v>1010</v>
      </c>
    </row>
    <row r="1140" spans="1:15" x14ac:dyDescent="0.3">
      <c r="A1140" t="s">
        <v>785</v>
      </c>
      <c r="B1140" s="3" t="s">
        <v>2857</v>
      </c>
      <c r="C1140" t="s">
        <v>784</v>
      </c>
      <c r="D1140" s="9">
        <f>VLOOKUP(A1140,[2]Sheet1!$A:$C,3,0)</f>
        <v>2</v>
      </c>
      <c r="J1140" s="1"/>
      <c r="K1140" s="2">
        <v>0</v>
      </c>
      <c r="L1140" s="1">
        <v>1350</v>
      </c>
      <c r="M1140" s="1">
        <v>1390</v>
      </c>
      <c r="N1140" s="1">
        <v>1440</v>
      </c>
      <c r="O1140" s="1">
        <v>1525</v>
      </c>
    </row>
    <row r="1141" spans="1:15" x14ac:dyDescent="0.3">
      <c r="A1141" t="s">
        <v>783</v>
      </c>
      <c r="B1141" s="3" t="s">
        <v>2857</v>
      </c>
      <c r="C1141" t="s">
        <v>782</v>
      </c>
      <c r="D1141" s="9">
        <f>VLOOKUP(A1141,[2]Sheet1!$A:$C,3,0)</f>
        <v>0</v>
      </c>
      <c r="J1141" s="1"/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 x14ac:dyDescent="0.3">
      <c r="A1142" t="s">
        <v>781</v>
      </c>
      <c r="B1142" s="3" t="s">
        <v>2857</v>
      </c>
      <c r="C1142" t="s">
        <v>780</v>
      </c>
      <c r="D1142" s="9">
        <f>VLOOKUP(A1142,[2]Sheet1!$A:$C,3,0)</f>
        <v>0</v>
      </c>
      <c r="J1142" s="1"/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 x14ac:dyDescent="0.3">
      <c r="A1143" t="s">
        <v>779</v>
      </c>
      <c r="B1143" s="3" t="s">
        <v>2857</v>
      </c>
      <c r="C1143" t="s">
        <v>778</v>
      </c>
      <c r="D1143" s="9">
        <f>VLOOKUP(A1143,[2]Sheet1!$A:$C,3,0)</f>
        <v>2</v>
      </c>
      <c r="J1143" s="1"/>
      <c r="K1143" s="2">
        <v>0</v>
      </c>
      <c r="L1143" s="1">
        <v>1665</v>
      </c>
      <c r="M1143" s="1">
        <v>1720</v>
      </c>
      <c r="N1143" s="1">
        <v>1775</v>
      </c>
      <c r="O1143" s="1">
        <v>1880</v>
      </c>
    </row>
    <row r="1144" spans="1:15" x14ac:dyDescent="0.3">
      <c r="A1144" t="s">
        <v>764</v>
      </c>
      <c r="B1144" s="3" t="s">
        <v>2857</v>
      </c>
      <c r="C1144" t="s">
        <v>763</v>
      </c>
      <c r="D1144" s="9">
        <f>VLOOKUP(A1144,[2]Sheet1!$A:$C,3,0)</f>
        <v>1</v>
      </c>
      <c r="J1144" s="1"/>
      <c r="K1144" s="1">
        <v>1000</v>
      </c>
      <c r="L1144" s="1">
        <v>1025</v>
      </c>
      <c r="M1144" s="1">
        <v>1050</v>
      </c>
      <c r="N1144" s="1">
        <v>1100</v>
      </c>
      <c r="O1144" s="1">
        <v>1150</v>
      </c>
    </row>
    <row r="1145" spans="1:15" x14ac:dyDescent="0.3">
      <c r="A1145" t="s">
        <v>762</v>
      </c>
      <c r="B1145" s="3" t="s">
        <v>2857</v>
      </c>
      <c r="C1145" t="s">
        <v>761</v>
      </c>
      <c r="D1145" s="9">
        <f>VLOOKUP(A1145,[2]Sheet1!$A:$C,3,0)</f>
        <v>7</v>
      </c>
      <c r="J1145" s="1"/>
      <c r="K1145" s="2">
        <v>0</v>
      </c>
      <c r="L1145" s="1">
        <v>1625</v>
      </c>
      <c r="M1145" s="1">
        <v>1670</v>
      </c>
      <c r="N1145" s="1">
        <v>1730</v>
      </c>
      <c r="O1145" s="1">
        <v>1850</v>
      </c>
    </row>
    <row r="1146" spans="1:15" x14ac:dyDescent="0.3">
      <c r="A1146" t="s">
        <v>760</v>
      </c>
      <c r="B1146" s="3" t="s">
        <v>2857</v>
      </c>
      <c r="C1146" t="s">
        <v>759</v>
      </c>
      <c r="D1146" s="9">
        <f>VLOOKUP(A1146,[2]Sheet1!$A:$C,3,0)</f>
        <v>6</v>
      </c>
      <c r="J1146" s="1"/>
      <c r="K1146" s="2">
        <v>0</v>
      </c>
      <c r="L1146" s="1">
        <v>1720</v>
      </c>
      <c r="M1146" s="1">
        <v>1770</v>
      </c>
      <c r="N1146" s="1">
        <v>1850</v>
      </c>
      <c r="O1146" s="1">
        <v>1950</v>
      </c>
    </row>
    <row r="1147" spans="1:15" x14ac:dyDescent="0.3">
      <c r="A1147" t="s">
        <v>758</v>
      </c>
      <c r="B1147" s="3" t="s">
        <v>2857</v>
      </c>
      <c r="C1147" t="s">
        <v>757</v>
      </c>
      <c r="D1147" s="9">
        <f>VLOOKUP(A1147,[2]Sheet1!$A:$C,3,0)</f>
        <v>5</v>
      </c>
      <c r="J1147" s="1"/>
      <c r="K1147" s="2">
        <v>0</v>
      </c>
      <c r="L1147" s="1">
        <v>1905</v>
      </c>
      <c r="M1147" s="1">
        <v>1965</v>
      </c>
      <c r="N1147" s="1">
        <v>2030</v>
      </c>
      <c r="O1147" s="1">
        <v>2150</v>
      </c>
    </row>
    <row r="1148" spans="1:15" x14ac:dyDescent="0.3">
      <c r="A1148" t="s">
        <v>756</v>
      </c>
      <c r="B1148" s="3" t="s">
        <v>2857</v>
      </c>
      <c r="C1148" t="s">
        <v>755</v>
      </c>
      <c r="D1148" s="9">
        <f>VLOOKUP(A1148,[2]Sheet1!$A:$C,3,0)</f>
        <v>7</v>
      </c>
      <c r="J1148" s="1"/>
      <c r="K1148" s="1">
        <v>1430</v>
      </c>
      <c r="L1148" s="1">
        <v>1480</v>
      </c>
      <c r="M1148" s="1">
        <v>1525</v>
      </c>
      <c r="N1148" s="1">
        <v>1625</v>
      </c>
      <c r="O1148" s="1">
        <v>1725</v>
      </c>
    </row>
    <row r="1149" spans="1:15" x14ac:dyDescent="0.3">
      <c r="A1149" t="s">
        <v>754</v>
      </c>
      <c r="B1149" s="3" t="s">
        <v>2857</v>
      </c>
      <c r="C1149" t="s">
        <v>753</v>
      </c>
      <c r="D1149" s="9">
        <f>VLOOKUP(A1149,[2]Sheet1!$A:$C,3,0)</f>
        <v>1</v>
      </c>
      <c r="J1149" s="1"/>
      <c r="K1149" s="2">
        <v>0</v>
      </c>
      <c r="L1149" s="1">
        <v>2360</v>
      </c>
      <c r="M1149" s="1">
        <v>2435</v>
      </c>
      <c r="N1149" s="1">
        <v>2520</v>
      </c>
      <c r="O1149" s="1">
        <v>2665</v>
      </c>
    </row>
    <row r="1150" spans="1:15" x14ac:dyDescent="0.3">
      <c r="A1150" t="s">
        <v>752</v>
      </c>
      <c r="B1150" s="3" t="s">
        <v>2857</v>
      </c>
      <c r="C1150" t="s">
        <v>751</v>
      </c>
      <c r="D1150" s="9">
        <f>VLOOKUP(A1150,[2]Sheet1!$A:$C,3,0)</f>
        <v>3</v>
      </c>
      <c r="J1150" s="1"/>
      <c r="K1150" s="2">
        <v>0</v>
      </c>
      <c r="L1150" s="1">
        <v>2740</v>
      </c>
      <c r="M1150" s="1">
        <v>2830</v>
      </c>
      <c r="N1150" s="1">
        <v>2925</v>
      </c>
      <c r="O1150" s="1">
        <v>3095</v>
      </c>
    </row>
    <row r="1151" spans="1:15" x14ac:dyDescent="0.3">
      <c r="A1151" t="s">
        <v>686</v>
      </c>
      <c r="B1151" s="3" t="s">
        <v>2857</v>
      </c>
      <c r="C1151" t="s">
        <v>685</v>
      </c>
      <c r="D1151" s="9">
        <f>VLOOKUP(A1151,[2]Sheet1!$A:$C,3,0)</f>
        <v>0</v>
      </c>
      <c r="J1151" s="1"/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 x14ac:dyDescent="0.3">
      <c r="A1152" t="s">
        <v>684</v>
      </c>
      <c r="B1152" s="3" t="s">
        <v>2857</v>
      </c>
      <c r="C1152" t="s">
        <v>683</v>
      </c>
      <c r="D1152" s="9">
        <f>VLOOKUP(A1152,[2]Sheet1!$A:$C,3,0)</f>
        <v>0</v>
      </c>
      <c r="J1152" s="1"/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6" x14ac:dyDescent="0.3">
      <c r="A1153" t="s">
        <v>682</v>
      </c>
      <c r="B1153" s="3" t="s">
        <v>2857</v>
      </c>
      <c r="C1153" t="s">
        <v>681</v>
      </c>
      <c r="D1153" s="9">
        <f>VLOOKUP(A1153,[2]Sheet1!$A:$C,3,0)</f>
        <v>2</v>
      </c>
      <c r="J1153" s="1"/>
      <c r="K1153" s="2">
        <v>0</v>
      </c>
      <c r="L1153" s="1">
        <v>1720</v>
      </c>
      <c r="M1153" s="1">
        <v>1770</v>
      </c>
      <c r="N1153" s="1">
        <v>1850</v>
      </c>
      <c r="O1153" s="1">
        <v>1950</v>
      </c>
    </row>
    <row r="1154" spans="1:16" x14ac:dyDescent="0.3">
      <c r="A1154" t="s">
        <v>680</v>
      </c>
      <c r="B1154" s="3" t="s">
        <v>2857</v>
      </c>
      <c r="C1154" t="s">
        <v>679</v>
      </c>
      <c r="D1154" s="9">
        <f>VLOOKUP(A1154,[2]Sheet1!$A:$C,3,0)</f>
        <v>0</v>
      </c>
      <c r="J1154" s="1"/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6" x14ac:dyDescent="0.3">
      <c r="A1155" t="s">
        <v>678</v>
      </c>
      <c r="B1155" s="3" t="s">
        <v>2857</v>
      </c>
      <c r="C1155" t="s">
        <v>677</v>
      </c>
      <c r="D1155" s="9">
        <f>VLOOKUP(A1155,[2]Sheet1!$A:$C,3,0)</f>
        <v>0</v>
      </c>
      <c r="J1155" s="1"/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spans="1:16" x14ac:dyDescent="0.3">
      <c r="A1156" t="s">
        <v>676</v>
      </c>
      <c r="B1156" s="3" t="s">
        <v>2857</v>
      </c>
      <c r="C1156" t="s">
        <v>675</v>
      </c>
      <c r="D1156" s="9">
        <f>VLOOKUP(A1156,[2]Sheet1!$A:$C,3,0)</f>
        <v>0</v>
      </c>
      <c r="J1156" s="1"/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6" x14ac:dyDescent="0.3">
      <c r="A1157" t="s">
        <v>674</v>
      </c>
      <c r="B1157" s="3" t="s">
        <v>2857</v>
      </c>
      <c r="C1157" t="s">
        <v>673</v>
      </c>
      <c r="D1157" s="9">
        <f>VLOOKUP(A1157,[2]Sheet1!$A:$C,3,0)</f>
        <v>5</v>
      </c>
      <c r="J1157" s="1"/>
      <c r="K1157" s="2">
        <v>0</v>
      </c>
      <c r="L1157" s="1">
        <v>2360</v>
      </c>
      <c r="M1157" s="1">
        <v>2435</v>
      </c>
      <c r="N1157" s="1">
        <v>2520</v>
      </c>
      <c r="O1157" s="1">
        <v>2665</v>
      </c>
    </row>
    <row r="1158" spans="1:16" x14ac:dyDescent="0.3">
      <c r="A1158" t="s">
        <v>672</v>
      </c>
      <c r="B1158" s="3" t="s">
        <v>2857</v>
      </c>
      <c r="C1158" t="s">
        <v>671</v>
      </c>
      <c r="D1158" s="9">
        <f>VLOOKUP(A1158,[2]Sheet1!$A:$C,3,0)</f>
        <v>8</v>
      </c>
      <c r="J1158" s="1"/>
      <c r="K1158" s="2">
        <v>0</v>
      </c>
      <c r="L1158" s="1">
        <v>2740</v>
      </c>
      <c r="M1158" s="1">
        <v>2830</v>
      </c>
      <c r="N1158" s="1">
        <v>2925</v>
      </c>
      <c r="O1158" s="1">
        <v>3095</v>
      </c>
    </row>
    <row r="1159" spans="1:16" x14ac:dyDescent="0.3">
      <c r="A1159" t="s">
        <v>670</v>
      </c>
      <c r="B1159" s="3" t="s">
        <v>2857</v>
      </c>
      <c r="C1159" t="s">
        <v>669</v>
      </c>
      <c r="D1159" s="9">
        <f>VLOOKUP(A1159,[2]Sheet1!$A:$C,3,0)</f>
        <v>2</v>
      </c>
      <c r="J1159" s="1"/>
      <c r="K1159" s="2">
        <v>0</v>
      </c>
      <c r="L1159" s="1">
        <v>680</v>
      </c>
      <c r="M1159" s="1">
        <v>700</v>
      </c>
      <c r="N1159" s="1">
        <v>725</v>
      </c>
      <c r="O1159" s="1">
        <v>800</v>
      </c>
    </row>
    <row r="1160" spans="1:16" x14ac:dyDescent="0.3">
      <c r="A1160" t="s">
        <v>668</v>
      </c>
      <c r="B1160" s="3" t="s">
        <v>2857</v>
      </c>
      <c r="C1160" t="s">
        <v>667</v>
      </c>
      <c r="D1160" s="9">
        <f>VLOOKUP(A1160,[2]Sheet1!$A:$C,3,0)</f>
        <v>0</v>
      </c>
      <c r="J1160" s="1"/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6" x14ac:dyDescent="0.3">
      <c r="A1161" t="s">
        <v>666</v>
      </c>
      <c r="B1161" s="3" t="s">
        <v>2857</v>
      </c>
      <c r="C1161" t="s">
        <v>665</v>
      </c>
      <c r="D1161" s="9">
        <f>VLOOKUP(A1161,[2]Sheet1!$A:$C,3,0)</f>
        <v>0</v>
      </c>
      <c r="J1161" s="1"/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6" x14ac:dyDescent="0.3">
      <c r="A1162" t="s">
        <v>664</v>
      </c>
      <c r="B1162" s="3" t="s">
        <v>2857</v>
      </c>
      <c r="C1162" t="s">
        <v>663</v>
      </c>
      <c r="D1162" s="9">
        <f>VLOOKUP(A1162,[2]Sheet1!$A:$C,3,0)</f>
        <v>0</v>
      </c>
      <c r="J1162" s="1"/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6" x14ac:dyDescent="0.3">
      <c r="A1163" t="s">
        <v>541</v>
      </c>
      <c r="B1163" s="3" t="s">
        <v>2858</v>
      </c>
      <c r="C1163" t="s">
        <v>540</v>
      </c>
      <c r="D1163" s="9">
        <f>VLOOKUP(A1163,[2]Sheet1!$A:$C,3,0)</f>
        <v>184</v>
      </c>
      <c r="J1163" s="1"/>
      <c r="K1163" s="2">
        <v>0</v>
      </c>
      <c r="L1163" s="1">
        <v>27</v>
      </c>
      <c r="M1163" s="1">
        <v>28</v>
      </c>
      <c r="N1163" s="1">
        <v>28.5</v>
      </c>
      <c r="O1163" s="1">
        <v>31</v>
      </c>
      <c r="P1163" t="s">
        <v>2795</v>
      </c>
    </row>
    <row r="1164" spans="1:16" x14ac:dyDescent="0.3">
      <c r="A1164" t="s">
        <v>539</v>
      </c>
      <c r="B1164" s="3" t="s">
        <v>2858</v>
      </c>
      <c r="C1164" t="s">
        <v>538</v>
      </c>
      <c r="D1164" s="9">
        <f>VLOOKUP(A1164,[2]Sheet1!$A:$C,3,0)</f>
        <v>0</v>
      </c>
      <c r="J1164" s="1"/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t="s">
        <v>2795</v>
      </c>
    </row>
    <row r="1165" spans="1:16" x14ac:dyDescent="0.3">
      <c r="A1165" t="s">
        <v>537</v>
      </c>
      <c r="B1165" s="3" t="s">
        <v>2858</v>
      </c>
      <c r="C1165" t="s">
        <v>536</v>
      </c>
      <c r="D1165" s="9">
        <f>VLOOKUP(A1165,[2]Sheet1!$A:$C,3,0)</f>
        <v>0</v>
      </c>
      <c r="J1165" s="1"/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t="s">
        <v>2795</v>
      </c>
    </row>
    <row r="1166" spans="1:16" x14ac:dyDescent="0.3">
      <c r="A1166" t="s">
        <v>535</v>
      </c>
      <c r="B1166" s="3" t="s">
        <v>2858</v>
      </c>
      <c r="C1166" t="s">
        <v>534</v>
      </c>
      <c r="D1166" s="9">
        <f>VLOOKUP(A1166,[2]Sheet1!$A:$C,3,0)</f>
        <v>0</v>
      </c>
      <c r="J1166" s="1"/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t="s">
        <v>2795</v>
      </c>
    </row>
    <row r="1167" spans="1:16" x14ac:dyDescent="0.3">
      <c r="A1167" t="s">
        <v>533</v>
      </c>
      <c r="B1167" s="3" t="s">
        <v>2858</v>
      </c>
      <c r="C1167" t="s">
        <v>532</v>
      </c>
      <c r="D1167" s="9">
        <f>VLOOKUP(A1167,[2]Sheet1!$A:$C,3,0)</f>
        <v>217</v>
      </c>
      <c r="J1167" s="1"/>
      <c r="K1167" s="2">
        <v>0</v>
      </c>
      <c r="L1167" s="1">
        <v>50</v>
      </c>
      <c r="M1167" s="1">
        <v>52</v>
      </c>
      <c r="N1167" s="1">
        <v>55</v>
      </c>
      <c r="O1167" s="1">
        <v>58</v>
      </c>
      <c r="P1167" t="s">
        <v>2795</v>
      </c>
    </row>
    <row r="1168" spans="1:16" x14ac:dyDescent="0.3">
      <c r="A1168" t="s">
        <v>523</v>
      </c>
      <c r="B1168" s="3" t="s">
        <v>2859</v>
      </c>
      <c r="C1168" t="s">
        <v>522</v>
      </c>
      <c r="D1168" s="9">
        <f>VLOOKUP(A1168,[2]Sheet1!$A:$C,3,0)</f>
        <v>1030</v>
      </c>
      <c r="J1168" s="1"/>
      <c r="K1168" s="1">
        <v>76</v>
      </c>
      <c r="L1168" s="1">
        <v>78</v>
      </c>
      <c r="M1168" s="1">
        <v>80</v>
      </c>
      <c r="N1168" s="1">
        <v>85</v>
      </c>
      <c r="O1168" s="1">
        <v>90</v>
      </c>
    </row>
    <row r="1169" spans="1:16" x14ac:dyDescent="0.3">
      <c r="A1169" t="s">
        <v>521</v>
      </c>
      <c r="B1169" s="3" t="s">
        <v>2859</v>
      </c>
      <c r="C1169" t="s">
        <v>520</v>
      </c>
      <c r="D1169" s="9">
        <f>VLOOKUP(A1169,[2]Sheet1!$A:$C,3,0)</f>
        <v>268</v>
      </c>
      <c r="J1169" s="1"/>
      <c r="K1169" s="1">
        <v>355</v>
      </c>
      <c r="L1169" s="1">
        <v>365</v>
      </c>
      <c r="M1169" s="1">
        <v>375</v>
      </c>
      <c r="N1169" s="1">
        <v>385</v>
      </c>
      <c r="O1169" s="1">
        <v>415</v>
      </c>
    </row>
    <row r="1170" spans="1:16" x14ac:dyDescent="0.3">
      <c r="A1170" t="s">
        <v>519</v>
      </c>
      <c r="B1170" s="3" t="s">
        <v>2859</v>
      </c>
      <c r="C1170" t="s">
        <v>518</v>
      </c>
      <c r="D1170" s="9">
        <f>VLOOKUP(A1170,[2]Sheet1!$A:$C,3,0)</f>
        <v>751</v>
      </c>
      <c r="J1170" s="1"/>
      <c r="K1170" s="1">
        <v>67</v>
      </c>
      <c r="L1170" s="1">
        <v>68</v>
      </c>
      <c r="M1170" s="1">
        <v>70</v>
      </c>
      <c r="N1170" s="1">
        <v>75</v>
      </c>
      <c r="O1170" s="1">
        <v>80</v>
      </c>
    </row>
    <row r="1171" spans="1:16" x14ac:dyDescent="0.3">
      <c r="A1171" t="s">
        <v>517</v>
      </c>
      <c r="B1171" s="3" t="s">
        <v>2859</v>
      </c>
      <c r="C1171" t="s">
        <v>516</v>
      </c>
      <c r="D1171" s="9">
        <f>VLOOKUP(A1171,[2]Sheet1!$A:$C,3,0)</f>
        <v>126</v>
      </c>
      <c r="J1171" s="1"/>
      <c r="K1171" s="1">
        <v>310</v>
      </c>
      <c r="L1171" s="1">
        <v>315</v>
      </c>
      <c r="M1171" s="1">
        <v>320</v>
      </c>
      <c r="N1171" s="1">
        <v>350</v>
      </c>
      <c r="O1171" s="1">
        <v>365</v>
      </c>
    </row>
    <row r="1172" spans="1:16" x14ac:dyDescent="0.3">
      <c r="A1172" t="s">
        <v>515</v>
      </c>
      <c r="B1172" s="3" t="s">
        <v>2860</v>
      </c>
      <c r="C1172" t="s">
        <v>514</v>
      </c>
      <c r="D1172" s="9">
        <f>VLOOKUP(A1172,[2]Sheet1!$A:$C,3,0)</f>
        <v>0</v>
      </c>
      <c r="J1172" s="1"/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6" x14ac:dyDescent="0.3">
      <c r="A1173" t="s">
        <v>513</v>
      </c>
      <c r="B1173" s="3" t="s">
        <v>2860</v>
      </c>
      <c r="C1173" t="s">
        <v>512</v>
      </c>
      <c r="D1173" s="9">
        <f>VLOOKUP(A1173,[2]Sheet1!$A:$C,3,0)</f>
        <v>0</v>
      </c>
      <c r="J1173" s="1"/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6" x14ac:dyDescent="0.3">
      <c r="A1174" s="9" t="s">
        <v>573</v>
      </c>
      <c r="B1174" s="10" t="s">
        <v>2861</v>
      </c>
      <c r="C1174" s="9" t="s">
        <v>572</v>
      </c>
      <c r="D1174" s="9">
        <f>VLOOKUP(A1174,[2]Sheet1!$A:$C,3,0)</f>
        <v>0</v>
      </c>
      <c r="E1174" s="10">
        <v>0</v>
      </c>
      <c r="F1174" s="10"/>
      <c r="G1174" s="28">
        <v>0</v>
      </c>
      <c r="H1174" s="10">
        <v>0</v>
      </c>
      <c r="I1174" s="13">
        <v>0</v>
      </c>
      <c r="J1174" s="10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9"/>
    </row>
    <row r="1175" spans="1:16" x14ac:dyDescent="0.3">
      <c r="A1175" t="s">
        <v>571</v>
      </c>
      <c r="B1175" s="3" t="s">
        <v>2861</v>
      </c>
      <c r="C1175" t="s">
        <v>570</v>
      </c>
      <c r="D1175" s="9">
        <f>VLOOKUP(A1175,[2]Sheet1!$A:$C,3,0)</f>
        <v>545</v>
      </c>
      <c r="J1175" s="1"/>
      <c r="K1175" s="2">
        <v>0</v>
      </c>
      <c r="L1175" s="1">
        <v>54</v>
      </c>
      <c r="M1175" s="1">
        <v>55</v>
      </c>
      <c r="N1175" s="1">
        <v>57</v>
      </c>
      <c r="O1175" s="1">
        <v>60</v>
      </c>
    </row>
    <row r="1176" spans="1:16" x14ac:dyDescent="0.3">
      <c r="A1176" t="s">
        <v>569</v>
      </c>
      <c r="B1176" s="3" t="s">
        <v>2861</v>
      </c>
      <c r="C1176" t="s">
        <v>568</v>
      </c>
      <c r="D1176" s="9">
        <f>VLOOKUP(A1176,[2]Sheet1!$A:$C,3,0)</f>
        <v>2</v>
      </c>
      <c r="J1176" s="1"/>
      <c r="K1176" s="2">
        <v>0</v>
      </c>
      <c r="L1176" s="1">
        <v>1900</v>
      </c>
      <c r="M1176" s="1">
        <v>1950</v>
      </c>
      <c r="N1176" s="1">
        <v>1990</v>
      </c>
      <c r="O1176" s="1">
        <v>2150</v>
      </c>
    </row>
    <row r="1177" spans="1:16" x14ac:dyDescent="0.3">
      <c r="A1177" t="s">
        <v>567</v>
      </c>
      <c r="B1177" s="3" t="s">
        <v>2861</v>
      </c>
      <c r="C1177" t="s">
        <v>566</v>
      </c>
      <c r="D1177" s="9">
        <f>VLOOKUP(A1177,[2]Sheet1!$A:$C,3,0)</f>
        <v>8</v>
      </c>
      <c r="J1177" s="1"/>
      <c r="K1177" s="2">
        <v>0</v>
      </c>
      <c r="L1177" s="1">
        <v>1950</v>
      </c>
      <c r="M1177" s="1">
        <v>2030</v>
      </c>
      <c r="N1177" s="1">
        <v>2100</v>
      </c>
      <c r="O1177" s="1">
        <v>2180</v>
      </c>
    </row>
    <row r="1178" spans="1:16" x14ac:dyDescent="0.3">
      <c r="A1178" t="s">
        <v>565</v>
      </c>
      <c r="B1178" s="3" t="s">
        <v>2861</v>
      </c>
      <c r="C1178" t="s">
        <v>564</v>
      </c>
      <c r="D1178" s="9">
        <f>VLOOKUP(A1178,[2]Sheet1!$A:$C,3,0)</f>
        <v>9</v>
      </c>
      <c r="J1178" s="1"/>
      <c r="K1178" s="2">
        <v>0</v>
      </c>
      <c r="L1178" s="1">
        <v>2020</v>
      </c>
      <c r="M1178" s="1">
        <v>2080</v>
      </c>
      <c r="N1178" s="1">
        <v>2150</v>
      </c>
      <c r="O1178" s="1">
        <v>2200</v>
      </c>
    </row>
    <row r="1179" spans="1:16" x14ac:dyDescent="0.3">
      <c r="A1179" t="s">
        <v>563</v>
      </c>
      <c r="B1179" s="3" t="s">
        <v>2861</v>
      </c>
      <c r="C1179" t="s">
        <v>562</v>
      </c>
      <c r="D1179" s="9">
        <f>VLOOKUP(A1179,[2]Sheet1!$A:$C,3,0)</f>
        <v>24</v>
      </c>
      <c r="J1179" s="1"/>
      <c r="K1179" s="2">
        <v>0</v>
      </c>
      <c r="L1179" s="1">
        <v>430</v>
      </c>
      <c r="M1179" s="1">
        <v>440</v>
      </c>
      <c r="N1179" s="1">
        <v>460</v>
      </c>
      <c r="O1179" s="1">
        <v>480</v>
      </c>
    </row>
    <row r="1180" spans="1:16" x14ac:dyDescent="0.3">
      <c r="A1180" t="s">
        <v>561</v>
      </c>
      <c r="B1180" s="3" t="s">
        <v>2861</v>
      </c>
      <c r="C1180" t="s">
        <v>560</v>
      </c>
      <c r="D1180" s="9">
        <f>VLOOKUP(A1180,[2]Sheet1!$A:$C,3,0)</f>
        <v>147</v>
      </c>
      <c r="J1180" s="1"/>
      <c r="K1180" s="2">
        <v>0</v>
      </c>
      <c r="L1180" s="1">
        <v>180</v>
      </c>
      <c r="M1180" s="1">
        <v>183</v>
      </c>
      <c r="N1180" s="1">
        <v>190</v>
      </c>
      <c r="O1180" s="1">
        <v>200</v>
      </c>
    </row>
    <row r="1181" spans="1:16" x14ac:dyDescent="0.3">
      <c r="A1181" t="s">
        <v>559</v>
      </c>
      <c r="B1181" s="3" t="s">
        <v>2862</v>
      </c>
      <c r="C1181" t="s">
        <v>558</v>
      </c>
      <c r="D1181" s="9">
        <f>VLOOKUP(A1181,[2]Sheet1!$A:$C,3,0)</f>
        <v>20</v>
      </c>
      <c r="J1181" s="1"/>
      <c r="K1181" s="2">
        <v>0</v>
      </c>
      <c r="L1181" s="1">
        <v>2250</v>
      </c>
      <c r="M1181" s="1">
        <v>2350</v>
      </c>
      <c r="N1181" s="1">
        <v>2400</v>
      </c>
      <c r="O1181" s="1">
        <v>2550</v>
      </c>
    </row>
    <row r="1182" spans="1:16" x14ac:dyDescent="0.3">
      <c r="A1182" t="s">
        <v>557</v>
      </c>
      <c r="B1182" s="3" t="s">
        <v>2862</v>
      </c>
      <c r="C1182" t="s">
        <v>556</v>
      </c>
      <c r="D1182" s="9">
        <f>VLOOKUP(A1182,[2]Sheet1!$A:$C,3,0)</f>
        <v>28</v>
      </c>
      <c r="J1182" s="1"/>
      <c r="K1182" s="2">
        <v>0</v>
      </c>
      <c r="L1182" s="1">
        <v>625</v>
      </c>
      <c r="M1182" s="1">
        <v>700</v>
      </c>
      <c r="N1182" s="1">
        <v>750</v>
      </c>
      <c r="O1182" s="1">
        <v>850</v>
      </c>
    </row>
    <row r="1183" spans="1:16" x14ac:dyDescent="0.3">
      <c r="A1183" t="s">
        <v>531</v>
      </c>
      <c r="B1183" s="3" t="s">
        <v>2863</v>
      </c>
      <c r="C1183" t="s">
        <v>530</v>
      </c>
      <c r="D1183" s="9">
        <f>VLOOKUP(A1183,[2]Sheet1!$A:$C,3,0)</f>
        <v>0</v>
      </c>
      <c r="J1183" s="1"/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6" x14ac:dyDescent="0.3">
      <c r="A1184" t="s">
        <v>529</v>
      </c>
      <c r="B1184" s="3" t="s">
        <v>2863</v>
      </c>
      <c r="C1184" t="s">
        <v>528</v>
      </c>
      <c r="D1184" s="9">
        <f>VLOOKUP(A1184,[2]Sheet1!$A:$C,3,0)</f>
        <v>0</v>
      </c>
      <c r="J1184" s="1"/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spans="1:16" x14ac:dyDescent="0.3">
      <c r="A1185" t="s">
        <v>527</v>
      </c>
      <c r="B1185" s="3" t="s">
        <v>2863</v>
      </c>
      <c r="C1185" t="s">
        <v>526</v>
      </c>
      <c r="D1185" s="9">
        <f>VLOOKUP(A1185,[2]Sheet1!$A:$C,3,0)</f>
        <v>11</v>
      </c>
      <c r="J1185" s="1"/>
      <c r="K1185" s="2">
        <v>0</v>
      </c>
      <c r="L1185" s="1">
        <v>38</v>
      </c>
      <c r="M1185" s="1">
        <v>40</v>
      </c>
      <c r="N1185" s="1">
        <v>45</v>
      </c>
      <c r="O1185" s="1">
        <v>50</v>
      </c>
    </row>
    <row r="1186" spans="1:16" x14ac:dyDescent="0.3">
      <c r="A1186" t="s">
        <v>525</v>
      </c>
      <c r="B1186" s="3" t="s">
        <v>2863</v>
      </c>
      <c r="C1186" t="s">
        <v>524</v>
      </c>
      <c r="D1186" s="9">
        <f>VLOOKUP(A1186,[2]Sheet1!$A:$C,3,0)</f>
        <v>0</v>
      </c>
      <c r="J1186" s="1"/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6" x14ac:dyDescent="0.3">
      <c r="A1187" t="s">
        <v>555</v>
      </c>
      <c r="B1187" s="3" t="s">
        <v>2863</v>
      </c>
      <c r="C1187" t="s">
        <v>554</v>
      </c>
      <c r="D1187" s="9">
        <f>VLOOKUP(A1187,[2]Sheet1!$A:$C,3,0)</f>
        <v>24</v>
      </c>
      <c r="J1187" s="1"/>
      <c r="K1187" s="2">
        <v>0</v>
      </c>
      <c r="L1187" s="1">
        <v>100</v>
      </c>
      <c r="M1187" s="1">
        <v>105</v>
      </c>
      <c r="N1187" s="1">
        <v>110</v>
      </c>
      <c r="O1187" s="1">
        <v>115</v>
      </c>
    </row>
    <row r="1188" spans="1:16" x14ac:dyDescent="0.3">
      <c r="A1188" s="9" t="s">
        <v>553</v>
      </c>
      <c r="B1188" s="10" t="s">
        <v>2864</v>
      </c>
      <c r="C1188" s="9" t="s">
        <v>552</v>
      </c>
      <c r="D1188" s="9">
        <f>VLOOKUP(A1188,[2]Sheet1!$A:$C,3,0)</f>
        <v>0</v>
      </c>
      <c r="E1188" s="10">
        <v>0</v>
      </c>
      <c r="F1188" s="10"/>
      <c r="G1188" s="28">
        <v>0</v>
      </c>
      <c r="H1188" s="10">
        <v>0</v>
      </c>
      <c r="I1188" s="13">
        <v>0</v>
      </c>
      <c r="J1188" s="10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9"/>
    </row>
    <row r="1189" spans="1:16" x14ac:dyDescent="0.3">
      <c r="A1189" t="s">
        <v>551</v>
      </c>
      <c r="B1189" s="3" t="s">
        <v>2864</v>
      </c>
      <c r="C1189" t="s">
        <v>550</v>
      </c>
      <c r="D1189" s="9">
        <f>VLOOKUP(A1189,[2]Sheet1!$A:$C,3,0)</f>
        <v>4</v>
      </c>
      <c r="J1189" s="1"/>
      <c r="K1189" s="2">
        <v>0</v>
      </c>
      <c r="L1189" s="1">
        <v>3350</v>
      </c>
      <c r="M1189" s="1">
        <v>3450</v>
      </c>
      <c r="N1189" s="1">
        <v>3580</v>
      </c>
      <c r="O1189" s="1">
        <v>3850</v>
      </c>
    </row>
    <row r="1190" spans="1:16" x14ac:dyDescent="0.3">
      <c r="A1190" t="s">
        <v>549</v>
      </c>
      <c r="B1190" s="3" t="s">
        <v>2864</v>
      </c>
      <c r="C1190" t="s">
        <v>548</v>
      </c>
      <c r="D1190" s="9">
        <f>VLOOKUP(A1190,[2]Sheet1!$A:$C,3,0)</f>
        <v>0</v>
      </c>
      <c r="J1190" s="1"/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6" x14ac:dyDescent="0.3">
      <c r="A1191" t="s">
        <v>547</v>
      </c>
      <c r="B1191" s="3" t="s">
        <v>2864</v>
      </c>
      <c r="C1191" t="s">
        <v>546</v>
      </c>
      <c r="D1191" s="9">
        <f>VLOOKUP(A1191,[2]Sheet1!$A:$C,3,0)</f>
        <v>0</v>
      </c>
      <c r="J1191" s="1"/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6" x14ac:dyDescent="0.3">
      <c r="A1192" t="s">
        <v>545</v>
      </c>
      <c r="B1192" s="3" t="s">
        <v>2865</v>
      </c>
      <c r="C1192" t="s">
        <v>544</v>
      </c>
      <c r="D1192" s="9">
        <f>VLOOKUP(A1192,[2]Sheet1!$A:$C,3,0)</f>
        <v>830</v>
      </c>
      <c r="J1192" s="1"/>
      <c r="K1192" s="1">
        <v>23.5</v>
      </c>
      <c r="L1192" s="1">
        <v>24.5</v>
      </c>
      <c r="M1192" s="1">
        <v>25.5</v>
      </c>
      <c r="N1192" s="1">
        <v>26.5</v>
      </c>
      <c r="O1192" s="1">
        <v>29</v>
      </c>
      <c r="P1192" t="s">
        <v>2796</v>
      </c>
    </row>
    <row r="1193" spans="1:16" x14ac:dyDescent="0.3">
      <c r="A1193" t="s">
        <v>543</v>
      </c>
      <c r="B1193" s="3" t="s">
        <v>2865</v>
      </c>
      <c r="C1193" t="s">
        <v>542</v>
      </c>
      <c r="D1193" s="9">
        <f>VLOOKUP(A1193,[2]Sheet1!$A:$C,3,0)</f>
        <v>767</v>
      </c>
      <c r="J1193" s="1"/>
      <c r="K1193" s="1">
        <v>23.5</v>
      </c>
      <c r="L1193" s="1">
        <v>24.5</v>
      </c>
      <c r="M1193" s="1">
        <v>25.5</v>
      </c>
      <c r="N1193" s="1">
        <v>26.5</v>
      </c>
      <c r="O1193" s="1">
        <v>29</v>
      </c>
      <c r="P1193" t="s">
        <v>2796</v>
      </c>
    </row>
    <row r="1194" spans="1:16" x14ac:dyDescent="0.3">
      <c r="A1194" t="s">
        <v>507</v>
      </c>
      <c r="B1194" s="3" t="s">
        <v>2866</v>
      </c>
      <c r="C1194" t="s">
        <v>506</v>
      </c>
      <c r="D1194" s="9">
        <f>VLOOKUP(A1194,[2]Sheet1!$A:$C,3,0)</f>
        <v>178</v>
      </c>
      <c r="J1194" s="1"/>
      <c r="K1194" s="2">
        <v>0</v>
      </c>
      <c r="L1194" s="1">
        <v>270</v>
      </c>
      <c r="M1194" s="1">
        <v>280</v>
      </c>
      <c r="N1194" s="1">
        <v>285</v>
      </c>
      <c r="O1194" s="1">
        <v>305</v>
      </c>
    </row>
    <row r="1195" spans="1:16" x14ac:dyDescent="0.3">
      <c r="A1195" t="s">
        <v>505</v>
      </c>
      <c r="B1195" s="3" t="s">
        <v>2867</v>
      </c>
      <c r="C1195" t="s">
        <v>504</v>
      </c>
      <c r="D1195" s="9">
        <f>VLOOKUP(A1195,[2]Sheet1!$A:$C,3,0)</f>
        <v>2372</v>
      </c>
      <c r="J1195" s="1"/>
      <c r="K1195" s="2">
        <v>0</v>
      </c>
      <c r="L1195" s="1">
        <v>12</v>
      </c>
      <c r="M1195" s="1">
        <v>12.5</v>
      </c>
      <c r="N1195" s="1">
        <v>12.75</v>
      </c>
      <c r="O1195" s="1">
        <v>13</v>
      </c>
    </row>
    <row r="1196" spans="1:16" x14ac:dyDescent="0.3">
      <c r="A1196" t="s">
        <v>503</v>
      </c>
      <c r="B1196" s="3" t="s">
        <v>2867</v>
      </c>
      <c r="C1196" t="s">
        <v>502</v>
      </c>
      <c r="D1196" s="9">
        <f>VLOOKUP(A1196,[2]Sheet1!$A:$C,3,0)</f>
        <v>1816</v>
      </c>
      <c r="J1196" s="1"/>
      <c r="K1196" s="2">
        <v>0</v>
      </c>
      <c r="L1196" s="1">
        <v>13</v>
      </c>
      <c r="M1196" s="1">
        <v>13.5</v>
      </c>
      <c r="N1196" s="1">
        <v>14</v>
      </c>
      <c r="O1196" s="1">
        <v>14.5</v>
      </c>
    </row>
    <row r="1197" spans="1:16" x14ac:dyDescent="0.3">
      <c r="A1197" s="9" t="s">
        <v>501</v>
      </c>
      <c r="B1197" s="10" t="s">
        <v>2868</v>
      </c>
      <c r="C1197" s="9" t="s">
        <v>500</v>
      </c>
      <c r="D1197" s="9">
        <f>VLOOKUP(A1197,[2]Sheet1!$A:$C,3,0)</f>
        <v>0</v>
      </c>
      <c r="E1197" s="10">
        <v>0</v>
      </c>
      <c r="F1197" s="10"/>
      <c r="G1197" s="28">
        <v>0</v>
      </c>
      <c r="H1197" s="10">
        <v>0</v>
      </c>
      <c r="I1197" s="13">
        <v>0</v>
      </c>
      <c r="J1197" s="10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9"/>
    </row>
    <row r="1198" spans="1:16" x14ac:dyDescent="0.3">
      <c r="A1198" t="s">
        <v>499</v>
      </c>
      <c r="B1198" s="3" t="s">
        <v>2868</v>
      </c>
      <c r="C1198" t="s">
        <v>498</v>
      </c>
      <c r="D1198" s="9">
        <f>VLOOKUP(A1198,[2]Sheet1!$A:$C,3,0)</f>
        <v>0</v>
      </c>
      <c r="J1198" s="1"/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6" x14ac:dyDescent="0.3">
      <c r="A1199" t="s">
        <v>497</v>
      </c>
      <c r="B1199" s="3" t="s">
        <v>2868</v>
      </c>
      <c r="C1199" t="s">
        <v>496</v>
      </c>
      <c r="D1199" s="9">
        <f>VLOOKUP(A1199,[2]Sheet1!$A:$C,3,0)</f>
        <v>2</v>
      </c>
      <c r="J1199" s="1"/>
      <c r="K1199" s="2">
        <v>0</v>
      </c>
      <c r="L1199" s="1">
        <v>20950</v>
      </c>
      <c r="M1199" s="1">
        <v>21590</v>
      </c>
      <c r="N1199" s="1">
        <v>22390</v>
      </c>
      <c r="O1199" s="1">
        <v>23590</v>
      </c>
    </row>
    <row r="1200" spans="1:16" x14ac:dyDescent="0.3">
      <c r="A1200" t="s">
        <v>495</v>
      </c>
      <c r="B1200" s="3" t="s">
        <v>2868</v>
      </c>
      <c r="C1200" t="s">
        <v>494</v>
      </c>
      <c r="D1200" s="9">
        <f>VLOOKUP(A1200,[2]Sheet1!$A:$C,3,0)</f>
        <v>1</v>
      </c>
      <c r="J1200" s="1"/>
      <c r="K1200" s="1">
        <v>31000</v>
      </c>
      <c r="L1200" s="1">
        <v>32250</v>
      </c>
      <c r="M1200" s="1">
        <v>32500</v>
      </c>
      <c r="N1200" s="1">
        <v>32800</v>
      </c>
      <c r="O1200" s="1">
        <v>33100</v>
      </c>
    </row>
    <row r="1201" spans="1:16" x14ac:dyDescent="0.3">
      <c r="A1201" t="s">
        <v>493</v>
      </c>
      <c r="B1201" s="3" t="s">
        <v>2868</v>
      </c>
      <c r="C1201" t="s">
        <v>492</v>
      </c>
      <c r="D1201" s="9">
        <f>VLOOKUP(A1201,[2]Sheet1!$A:$C,3,0)</f>
        <v>2</v>
      </c>
      <c r="J1201" s="1"/>
      <c r="K1201" s="2">
        <v>0</v>
      </c>
      <c r="L1201" s="1">
        <v>22850</v>
      </c>
      <c r="M1201" s="1">
        <v>23590</v>
      </c>
      <c r="N1201" s="1">
        <v>24390</v>
      </c>
      <c r="O1201" s="1">
        <v>25790</v>
      </c>
    </row>
    <row r="1202" spans="1:16" x14ac:dyDescent="0.3">
      <c r="A1202" t="s">
        <v>491</v>
      </c>
      <c r="B1202" s="3" t="s">
        <v>2869</v>
      </c>
      <c r="C1202" t="s">
        <v>490</v>
      </c>
      <c r="D1202" s="9">
        <f>VLOOKUP(A1202,[2]Sheet1!$A:$C,3,0)</f>
        <v>209</v>
      </c>
      <c r="J1202" s="1"/>
      <c r="K1202" s="1">
        <v>170</v>
      </c>
      <c r="L1202" s="1">
        <v>172</v>
      </c>
      <c r="M1202" s="1">
        <v>180</v>
      </c>
      <c r="N1202" s="1">
        <v>185</v>
      </c>
      <c r="O1202" s="1">
        <v>195</v>
      </c>
      <c r="P1202" t="s">
        <v>2797</v>
      </c>
    </row>
    <row r="1203" spans="1:16" x14ac:dyDescent="0.3">
      <c r="A1203" t="s">
        <v>489</v>
      </c>
      <c r="B1203" s="3" t="s">
        <v>2869</v>
      </c>
      <c r="C1203" t="s">
        <v>488</v>
      </c>
      <c r="D1203" s="9">
        <f>VLOOKUP(A1203,[2]Sheet1!$A:$C,3,0)</f>
        <v>172</v>
      </c>
      <c r="J1203" s="1"/>
      <c r="K1203" s="1">
        <v>130</v>
      </c>
      <c r="L1203" s="1">
        <v>133</v>
      </c>
      <c r="M1203" s="1">
        <v>137</v>
      </c>
      <c r="N1203" s="1">
        <v>142</v>
      </c>
      <c r="O1203" s="1">
        <v>150</v>
      </c>
      <c r="P1203" t="s">
        <v>2797</v>
      </c>
    </row>
    <row r="1204" spans="1:16" x14ac:dyDescent="0.3">
      <c r="A1204" t="s">
        <v>487</v>
      </c>
      <c r="B1204" s="3" t="s">
        <v>2869</v>
      </c>
      <c r="C1204" t="s">
        <v>486</v>
      </c>
      <c r="D1204" s="9">
        <f>VLOOKUP(A1204,[2]Sheet1!$A:$C,3,0)</f>
        <v>190</v>
      </c>
      <c r="J1204" s="1"/>
      <c r="K1204" s="1">
        <v>170</v>
      </c>
      <c r="L1204" s="1">
        <v>175</v>
      </c>
      <c r="M1204" s="1">
        <v>185</v>
      </c>
      <c r="N1204" s="1">
        <v>187</v>
      </c>
      <c r="O1204" s="1">
        <v>198</v>
      </c>
      <c r="P1204" t="s">
        <v>2797</v>
      </c>
    </row>
    <row r="1205" spans="1:16" x14ac:dyDescent="0.3">
      <c r="A1205" t="s">
        <v>485</v>
      </c>
      <c r="B1205" s="3" t="s">
        <v>2869</v>
      </c>
      <c r="C1205" t="s">
        <v>484</v>
      </c>
      <c r="D1205" s="9">
        <f>VLOOKUP(A1205,[2]Sheet1!$A:$C,3,0)</f>
        <v>252</v>
      </c>
      <c r="J1205" s="1"/>
      <c r="K1205" s="1">
        <v>165</v>
      </c>
      <c r="L1205" s="1">
        <v>168</v>
      </c>
      <c r="M1205" s="1">
        <v>175</v>
      </c>
      <c r="N1205" s="1">
        <v>180</v>
      </c>
      <c r="O1205" s="1">
        <v>190</v>
      </c>
      <c r="P1205" t="s">
        <v>2797</v>
      </c>
    </row>
    <row r="1206" spans="1:16" x14ac:dyDescent="0.3">
      <c r="A1206" t="s">
        <v>483</v>
      </c>
      <c r="B1206" s="3" t="s">
        <v>2869</v>
      </c>
      <c r="C1206" t="s">
        <v>482</v>
      </c>
      <c r="D1206" s="9">
        <f>VLOOKUP(A1206,[2]Sheet1!$A:$C,3,0)</f>
        <v>53</v>
      </c>
      <c r="J1206" s="1"/>
      <c r="K1206" s="2">
        <v>0</v>
      </c>
      <c r="L1206" s="1">
        <v>140</v>
      </c>
      <c r="M1206" s="1">
        <v>145</v>
      </c>
      <c r="N1206" s="1">
        <v>148</v>
      </c>
      <c r="O1206" s="1">
        <v>158</v>
      </c>
    </row>
    <row r="1207" spans="1:16" x14ac:dyDescent="0.3">
      <c r="A1207" t="s">
        <v>481</v>
      </c>
      <c r="B1207" s="3" t="s">
        <v>2869</v>
      </c>
      <c r="C1207" t="s">
        <v>480</v>
      </c>
      <c r="D1207" s="9">
        <f>VLOOKUP(A1207,[2]Sheet1!$A:$C,3,0)</f>
        <v>217</v>
      </c>
      <c r="J1207" s="1"/>
      <c r="K1207" s="1">
        <v>190</v>
      </c>
      <c r="L1207" s="1">
        <v>196</v>
      </c>
      <c r="M1207" s="1">
        <v>203</v>
      </c>
      <c r="N1207" s="1">
        <v>210</v>
      </c>
      <c r="O1207" s="1">
        <v>225</v>
      </c>
      <c r="P1207" t="s">
        <v>2797</v>
      </c>
    </row>
    <row r="1208" spans="1:16" x14ac:dyDescent="0.3">
      <c r="A1208" t="s">
        <v>479</v>
      </c>
      <c r="B1208" s="3" t="s">
        <v>2869</v>
      </c>
      <c r="C1208" t="s">
        <v>478</v>
      </c>
      <c r="D1208" s="9">
        <f>VLOOKUP(A1208,[2]Sheet1!$A:$C,3,0)</f>
        <v>348</v>
      </c>
      <c r="J1208" s="1"/>
      <c r="K1208" s="1">
        <v>145</v>
      </c>
      <c r="L1208" s="1">
        <v>150</v>
      </c>
      <c r="M1208" s="1">
        <v>155</v>
      </c>
      <c r="N1208" s="1">
        <v>160</v>
      </c>
      <c r="O1208" s="1">
        <v>170</v>
      </c>
      <c r="P1208" t="s">
        <v>2797</v>
      </c>
    </row>
    <row r="1209" spans="1:16" x14ac:dyDescent="0.3">
      <c r="A1209" t="s">
        <v>477</v>
      </c>
      <c r="B1209" s="3" t="s">
        <v>2869</v>
      </c>
      <c r="C1209" t="s">
        <v>476</v>
      </c>
      <c r="D1209" s="9">
        <f>VLOOKUP(A1209,[2]Sheet1!$A:$C,3,0)</f>
        <v>383</v>
      </c>
      <c r="J1209" s="1"/>
      <c r="K1209" s="1">
        <v>205</v>
      </c>
      <c r="L1209" s="1">
        <v>210</v>
      </c>
      <c r="M1209" s="1">
        <v>218</v>
      </c>
      <c r="N1209" s="1">
        <v>225</v>
      </c>
      <c r="O1209" s="1">
        <v>238</v>
      </c>
      <c r="P1209" t="s">
        <v>2797</v>
      </c>
    </row>
    <row r="1210" spans="1:16" x14ac:dyDescent="0.3">
      <c r="A1210" t="s">
        <v>475</v>
      </c>
      <c r="B1210" s="3" t="s">
        <v>2869</v>
      </c>
      <c r="C1210" t="s">
        <v>474</v>
      </c>
      <c r="D1210" s="9">
        <f>VLOOKUP(A1210,[2]Sheet1!$A:$C,3,0)</f>
        <v>510</v>
      </c>
      <c r="J1210" s="1"/>
      <c r="K1210" s="1">
        <v>205</v>
      </c>
      <c r="L1210" s="1">
        <v>210</v>
      </c>
      <c r="M1210" s="1">
        <v>218</v>
      </c>
      <c r="N1210" s="1">
        <v>225</v>
      </c>
      <c r="O1210" s="1">
        <v>238</v>
      </c>
      <c r="P1210" t="s">
        <v>2797</v>
      </c>
    </row>
    <row r="1211" spans="1:16" x14ac:dyDescent="0.3">
      <c r="A1211" t="s">
        <v>473</v>
      </c>
      <c r="B1211" s="3" t="s">
        <v>2870</v>
      </c>
      <c r="C1211" t="s">
        <v>472</v>
      </c>
      <c r="D1211" s="9">
        <f>VLOOKUP(A1211,[2]Sheet1!$A:$C,3,0)</f>
        <v>332</v>
      </c>
      <c r="J1211" s="1"/>
      <c r="K1211" s="2">
        <v>0</v>
      </c>
      <c r="L1211" s="1">
        <v>13.5</v>
      </c>
      <c r="M1211" s="1">
        <v>14</v>
      </c>
      <c r="N1211" s="1">
        <v>14.5</v>
      </c>
      <c r="O1211" s="1">
        <v>15</v>
      </c>
    </row>
    <row r="1212" spans="1:16" x14ac:dyDescent="0.3">
      <c r="A1212" t="s">
        <v>471</v>
      </c>
      <c r="B1212" s="3" t="s">
        <v>2870</v>
      </c>
      <c r="C1212" t="s">
        <v>470</v>
      </c>
      <c r="D1212" s="9">
        <f>VLOOKUP(A1212,[2]Sheet1!$A:$C,3,0)</f>
        <v>297</v>
      </c>
      <c r="J1212" s="1"/>
      <c r="K1212" s="2">
        <v>0</v>
      </c>
      <c r="L1212" s="1">
        <v>13.5</v>
      </c>
      <c r="M1212" s="1">
        <v>14</v>
      </c>
      <c r="N1212" s="1">
        <v>14.5</v>
      </c>
      <c r="O1212" s="1">
        <v>15</v>
      </c>
    </row>
    <row r="1213" spans="1:16" x14ac:dyDescent="0.3">
      <c r="A1213" t="s">
        <v>469</v>
      </c>
      <c r="B1213" s="3" t="s">
        <v>2870</v>
      </c>
      <c r="C1213" t="s">
        <v>468</v>
      </c>
      <c r="D1213" s="9">
        <f>VLOOKUP(A1213,[2]Sheet1!$A:$C,3,0)</f>
        <v>10</v>
      </c>
      <c r="J1213" s="1"/>
      <c r="K1213" s="2">
        <v>0</v>
      </c>
      <c r="L1213" s="1">
        <v>90</v>
      </c>
      <c r="M1213" s="1">
        <v>93</v>
      </c>
      <c r="N1213" s="1">
        <v>95</v>
      </c>
      <c r="O1213" s="1">
        <v>100</v>
      </c>
    </row>
    <row r="1214" spans="1:16" x14ac:dyDescent="0.3">
      <c r="A1214" s="9" t="s">
        <v>467</v>
      </c>
      <c r="B1214" s="10" t="s">
        <v>2871</v>
      </c>
      <c r="C1214" s="9" t="s">
        <v>466</v>
      </c>
      <c r="D1214" s="9">
        <f>VLOOKUP(A1214,[2]Sheet1!$A:$C,3,0)</f>
        <v>0</v>
      </c>
      <c r="E1214" s="10">
        <v>0</v>
      </c>
      <c r="F1214" s="10"/>
      <c r="G1214" s="28">
        <v>0</v>
      </c>
      <c r="H1214" s="10">
        <v>0</v>
      </c>
      <c r="I1214" s="13">
        <v>0</v>
      </c>
      <c r="J1214" s="10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9"/>
    </row>
    <row r="1215" spans="1:16" x14ac:dyDescent="0.3">
      <c r="A1215" t="s">
        <v>465</v>
      </c>
      <c r="B1215" s="3" t="s">
        <v>2871</v>
      </c>
      <c r="C1215" t="s">
        <v>464</v>
      </c>
      <c r="D1215" s="9">
        <f>VLOOKUP(A1215,[2]Sheet1!$A:$C,3,0)</f>
        <v>14</v>
      </c>
      <c r="J1215" s="1"/>
      <c r="K1215" s="2">
        <v>0</v>
      </c>
      <c r="L1215" s="1">
        <v>27</v>
      </c>
      <c r="M1215" s="1">
        <v>28</v>
      </c>
      <c r="N1215" s="1">
        <v>28.5</v>
      </c>
      <c r="O1215" s="1">
        <v>30</v>
      </c>
    </row>
    <row r="1216" spans="1:16" x14ac:dyDescent="0.3">
      <c r="A1216" t="s">
        <v>463</v>
      </c>
      <c r="B1216" s="3" t="s">
        <v>2871</v>
      </c>
      <c r="C1216" t="s">
        <v>462</v>
      </c>
      <c r="D1216" s="9">
        <f>VLOOKUP(A1216,[2]Sheet1!$A:$C,3,0)</f>
        <v>18</v>
      </c>
      <c r="J1216" s="1"/>
      <c r="K1216" s="2">
        <v>0</v>
      </c>
      <c r="L1216" s="1">
        <v>18.5</v>
      </c>
      <c r="M1216" s="1">
        <v>19</v>
      </c>
      <c r="N1216" s="1">
        <v>20</v>
      </c>
      <c r="O1216" s="1">
        <v>23</v>
      </c>
    </row>
    <row r="1217" spans="1:16" x14ac:dyDescent="0.3">
      <c r="A1217" t="s">
        <v>461</v>
      </c>
      <c r="B1217" s="3" t="s">
        <v>2871</v>
      </c>
      <c r="C1217" t="s">
        <v>460</v>
      </c>
      <c r="D1217" s="9">
        <f>VLOOKUP(A1217,[2]Sheet1!$A:$C,3,0)</f>
        <v>24</v>
      </c>
      <c r="J1217" s="1"/>
      <c r="K1217" s="2">
        <v>0</v>
      </c>
      <c r="L1217" s="1">
        <v>20</v>
      </c>
      <c r="M1217" s="1">
        <v>21</v>
      </c>
      <c r="N1217" s="1">
        <v>22</v>
      </c>
      <c r="O1217" s="1">
        <v>24</v>
      </c>
    </row>
    <row r="1218" spans="1:16" x14ac:dyDescent="0.3">
      <c r="A1218" s="9" t="s">
        <v>459</v>
      </c>
      <c r="B1218" s="10" t="s">
        <v>2872</v>
      </c>
      <c r="C1218" s="9" t="s">
        <v>458</v>
      </c>
      <c r="D1218" s="9">
        <f>VLOOKUP(A1218,[2]Sheet1!$A:$C,3,0)</f>
        <v>0</v>
      </c>
      <c r="E1218" s="10">
        <v>0</v>
      </c>
      <c r="F1218" s="10"/>
      <c r="G1218" s="28">
        <v>0</v>
      </c>
      <c r="H1218" s="10">
        <v>0</v>
      </c>
      <c r="I1218" s="13">
        <v>0</v>
      </c>
      <c r="J1218" s="10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9"/>
    </row>
    <row r="1219" spans="1:16" x14ac:dyDescent="0.3">
      <c r="A1219" t="s">
        <v>369</v>
      </c>
      <c r="B1219" s="3" t="s">
        <v>2872</v>
      </c>
      <c r="C1219" t="s">
        <v>368</v>
      </c>
      <c r="D1219" s="9">
        <f>VLOOKUP(A1219,[2]Sheet1!$A:$C,3,0)</f>
        <v>148</v>
      </c>
      <c r="J1219" s="1"/>
      <c r="K1219" s="1">
        <v>200</v>
      </c>
      <c r="L1219" s="1">
        <v>205</v>
      </c>
      <c r="M1219" s="1">
        <v>210</v>
      </c>
      <c r="N1219" s="1">
        <v>220</v>
      </c>
      <c r="O1219" s="1">
        <v>230</v>
      </c>
    </row>
    <row r="1220" spans="1:16" x14ac:dyDescent="0.3">
      <c r="A1220" t="s">
        <v>367</v>
      </c>
      <c r="B1220" s="3" t="s">
        <v>2872</v>
      </c>
      <c r="C1220" t="s">
        <v>366</v>
      </c>
      <c r="D1220" s="9">
        <f>VLOOKUP(A1220,[2]Sheet1!$A:$C,3,0)</f>
        <v>227</v>
      </c>
      <c r="J1220" s="1"/>
      <c r="K1220" s="1">
        <v>225</v>
      </c>
      <c r="L1220" s="1">
        <v>230</v>
      </c>
      <c r="M1220" s="1">
        <v>235</v>
      </c>
      <c r="N1220" s="1">
        <v>245</v>
      </c>
      <c r="O1220" s="1">
        <v>260</v>
      </c>
    </row>
    <row r="1221" spans="1:16" x14ac:dyDescent="0.3">
      <c r="A1221" t="s">
        <v>365</v>
      </c>
      <c r="B1221" s="3" t="s">
        <v>2872</v>
      </c>
      <c r="C1221" t="s">
        <v>364</v>
      </c>
      <c r="D1221" s="9">
        <f>VLOOKUP(A1221,[2]Sheet1!$A:$C,3,0)</f>
        <v>446</v>
      </c>
      <c r="J1221" s="1"/>
      <c r="K1221" s="1">
        <v>235</v>
      </c>
      <c r="L1221" s="1">
        <v>240</v>
      </c>
      <c r="M1221" s="1">
        <v>250</v>
      </c>
      <c r="N1221" s="1">
        <v>260</v>
      </c>
      <c r="O1221" s="1">
        <v>270</v>
      </c>
    </row>
    <row r="1222" spans="1:16" x14ac:dyDescent="0.3">
      <c r="A1222" t="s">
        <v>363</v>
      </c>
      <c r="B1222" s="3" t="s">
        <v>2872</v>
      </c>
      <c r="C1222" t="s">
        <v>362</v>
      </c>
      <c r="D1222" s="9">
        <f>VLOOKUP(A1222,[2]Sheet1!$A:$C,3,0)</f>
        <v>152</v>
      </c>
      <c r="J1222" s="1"/>
      <c r="K1222" s="1">
        <v>290</v>
      </c>
      <c r="L1222" s="1">
        <v>295</v>
      </c>
      <c r="M1222" s="1">
        <v>305</v>
      </c>
      <c r="N1222" s="1">
        <v>320</v>
      </c>
      <c r="O1222" s="1">
        <v>335</v>
      </c>
    </row>
    <row r="1223" spans="1:16" x14ac:dyDescent="0.3">
      <c r="A1223" t="s">
        <v>337</v>
      </c>
      <c r="B1223" s="3" t="s">
        <v>2872</v>
      </c>
      <c r="C1223" t="s">
        <v>336</v>
      </c>
      <c r="D1223" s="9">
        <f>VLOOKUP(A1223,[2]Sheet1!$A:$C,3,0)</f>
        <v>340</v>
      </c>
      <c r="J1223" s="1"/>
      <c r="K1223" s="1">
        <v>360</v>
      </c>
      <c r="L1223" s="1">
        <v>365</v>
      </c>
      <c r="M1223" s="1">
        <v>380</v>
      </c>
      <c r="N1223" s="1">
        <v>390</v>
      </c>
      <c r="O1223" s="1">
        <v>410</v>
      </c>
    </row>
    <row r="1224" spans="1:16" x14ac:dyDescent="0.3">
      <c r="A1224" t="s">
        <v>335</v>
      </c>
      <c r="B1224" s="3" t="s">
        <v>2872</v>
      </c>
      <c r="C1224" t="s">
        <v>334</v>
      </c>
      <c r="D1224" s="9">
        <f>VLOOKUP(A1224,[2]Sheet1!$A:$C,3,0)</f>
        <v>248</v>
      </c>
      <c r="J1224" s="1"/>
      <c r="K1224" s="1">
        <v>375</v>
      </c>
      <c r="L1224" s="1">
        <v>380</v>
      </c>
      <c r="M1224" s="1">
        <v>390</v>
      </c>
      <c r="N1224" s="1">
        <v>405</v>
      </c>
      <c r="O1224" s="1">
        <v>430</v>
      </c>
    </row>
    <row r="1225" spans="1:16" x14ac:dyDescent="0.3">
      <c r="A1225" t="s">
        <v>333</v>
      </c>
      <c r="B1225" s="3" t="s">
        <v>2872</v>
      </c>
      <c r="C1225" t="s">
        <v>332</v>
      </c>
      <c r="D1225" s="9">
        <f>VLOOKUP(A1225,[2]Sheet1!$A:$C,3,0)</f>
        <v>155</v>
      </c>
      <c r="J1225" s="1"/>
      <c r="K1225" s="1">
        <v>385</v>
      </c>
      <c r="L1225" s="1">
        <v>390</v>
      </c>
      <c r="M1225" s="1">
        <v>400</v>
      </c>
      <c r="N1225" s="1">
        <v>415</v>
      </c>
      <c r="O1225" s="1">
        <v>440</v>
      </c>
    </row>
    <row r="1226" spans="1:16" x14ac:dyDescent="0.3">
      <c r="A1226" t="s">
        <v>331</v>
      </c>
      <c r="B1226" s="3" t="s">
        <v>2872</v>
      </c>
      <c r="C1226" t="s">
        <v>330</v>
      </c>
      <c r="D1226" s="9">
        <f>VLOOKUP(A1226,[2]Sheet1!$A:$C,3,0)</f>
        <v>77</v>
      </c>
      <c r="J1226" s="1"/>
      <c r="K1226" s="1">
        <v>450</v>
      </c>
      <c r="L1226" s="1">
        <v>455</v>
      </c>
      <c r="M1226" s="1">
        <v>470</v>
      </c>
      <c r="N1226" s="1">
        <v>490</v>
      </c>
      <c r="O1226" s="1">
        <v>515</v>
      </c>
    </row>
    <row r="1227" spans="1:16" x14ac:dyDescent="0.3">
      <c r="A1227" t="s">
        <v>329</v>
      </c>
      <c r="B1227" s="3" t="s">
        <v>2872</v>
      </c>
      <c r="C1227" t="s">
        <v>328</v>
      </c>
      <c r="D1227" s="9">
        <f>VLOOKUP(A1227,[2]Sheet1!$A:$C,3,0)</f>
        <v>127</v>
      </c>
      <c r="J1227" s="1"/>
      <c r="K1227" s="1">
        <v>360</v>
      </c>
      <c r="L1227" s="1">
        <v>365</v>
      </c>
      <c r="M1227" s="1">
        <v>380</v>
      </c>
      <c r="N1227" s="1">
        <v>390</v>
      </c>
      <c r="O1227" s="1">
        <v>410</v>
      </c>
    </row>
    <row r="1228" spans="1:16" x14ac:dyDescent="0.3">
      <c r="A1228" t="s">
        <v>327</v>
      </c>
      <c r="B1228" s="3" t="s">
        <v>2872</v>
      </c>
      <c r="C1228" t="s">
        <v>326</v>
      </c>
      <c r="D1228" s="9">
        <f>VLOOKUP(A1228,[2]Sheet1!$A:$C,3,0)</f>
        <v>95</v>
      </c>
      <c r="J1228" s="1"/>
      <c r="K1228" s="1">
        <v>375</v>
      </c>
      <c r="L1228" s="1">
        <v>380</v>
      </c>
      <c r="M1228" s="1">
        <v>390</v>
      </c>
      <c r="N1228" s="1">
        <v>405</v>
      </c>
      <c r="O1228" s="1">
        <v>430</v>
      </c>
    </row>
    <row r="1229" spans="1:16" x14ac:dyDescent="0.3">
      <c r="A1229" t="s">
        <v>325</v>
      </c>
      <c r="B1229" s="3" t="s">
        <v>2872</v>
      </c>
      <c r="C1229" t="s">
        <v>324</v>
      </c>
      <c r="D1229" s="9">
        <f>VLOOKUP(A1229,[2]Sheet1!$A:$C,3,0)</f>
        <v>235</v>
      </c>
      <c r="J1229" s="1"/>
      <c r="K1229" s="1">
        <v>385</v>
      </c>
      <c r="L1229" s="1">
        <v>390</v>
      </c>
      <c r="M1229" s="1">
        <v>400</v>
      </c>
      <c r="N1229" s="1">
        <v>415</v>
      </c>
      <c r="O1229" s="1">
        <v>440</v>
      </c>
    </row>
    <row r="1230" spans="1:16" x14ac:dyDescent="0.3">
      <c r="A1230" t="s">
        <v>323</v>
      </c>
      <c r="B1230" s="3" t="s">
        <v>2872</v>
      </c>
      <c r="C1230" t="s">
        <v>322</v>
      </c>
      <c r="D1230" s="9">
        <f>VLOOKUP(A1230,[2]Sheet1!$A:$C,3,0)</f>
        <v>97</v>
      </c>
      <c r="J1230" s="1"/>
      <c r="K1230" s="1">
        <v>450</v>
      </c>
      <c r="L1230" s="1">
        <v>455</v>
      </c>
      <c r="M1230" s="1">
        <v>470</v>
      </c>
      <c r="N1230" s="1">
        <v>490</v>
      </c>
      <c r="O1230" s="1">
        <v>515</v>
      </c>
    </row>
    <row r="1231" spans="1:16" x14ac:dyDescent="0.3">
      <c r="A1231" t="s">
        <v>315</v>
      </c>
      <c r="B1231" s="3" t="s">
        <v>2872</v>
      </c>
      <c r="C1231" t="s">
        <v>314</v>
      </c>
      <c r="D1231" s="9">
        <f>VLOOKUP(A1231,[2]Sheet1!$A:$C,3,0)</f>
        <v>212</v>
      </c>
      <c r="J1231" s="1"/>
      <c r="K1231" s="1">
        <v>360</v>
      </c>
      <c r="L1231" s="1">
        <v>365</v>
      </c>
      <c r="M1231" s="1">
        <v>380</v>
      </c>
      <c r="N1231" s="1">
        <v>390</v>
      </c>
      <c r="O1231" s="1">
        <v>410</v>
      </c>
    </row>
    <row r="1232" spans="1:16" x14ac:dyDescent="0.3">
      <c r="A1232" t="s">
        <v>313</v>
      </c>
      <c r="B1232" s="3" t="s">
        <v>2872</v>
      </c>
      <c r="C1232" t="s">
        <v>312</v>
      </c>
      <c r="D1232" s="9">
        <f>VLOOKUP(A1232,[2]Sheet1!$A:$C,3,0)</f>
        <v>123</v>
      </c>
      <c r="J1232" s="1"/>
      <c r="K1232" s="1">
        <v>375</v>
      </c>
      <c r="L1232" s="1">
        <v>380</v>
      </c>
      <c r="M1232" s="1">
        <v>390</v>
      </c>
      <c r="N1232" s="1">
        <v>405</v>
      </c>
      <c r="O1232" s="1">
        <v>430</v>
      </c>
    </row>
    <row r="1233" spans="1:15" x14ac:dyDescent="0.3">
      <c r="A1233" t="s">
        <v>311</v>
      </c>
      <c r="B1233" s="3" t="s">
        <v>2872</v>
      </c>
      <c r="C1233" t="s">
        <v>310</v>
      </c>
      <c r="D1233" s="9">
        <f>VLOOKUP(A1233,[2]Sheet1!$A:$C,3,0)</f>
        <v>217</v>
      </c>
      <c r="J1233" s="1"/>
      <c r="K1233" s="1">
        <v>385</v>
      </c>
      <c r="L1233" s="1">
        <v>390</v>
      </c>
      <c r="M1233" s="1">
        <v>400</v>
      </c>
      <c r="N1233" s="1">
        <v>415</v>
      </c>
      <c r="O1233" s="1">
        <v>440</v>
      </c>
    </row>
    <row r="1234" spans="1:15" x14ac:dyDescent="0.3">
      <c r="A1234" t="s">
        <v>309</v>
      </c>
      <c r="B1234" s="3" t="s">
        <v>2872</v>
      </c>
      <c r="C1234" t="s">
        <v>308</v>
      </c>
      <c r="D1234" s="9">
        <f>VLOOKUP(A1234,[2]Sheet1!$A:$C,3,0)</f>
        <v>92</v>
      </c>
      <c r="J1234" s="1"/>
      <c r="K1234" s="1">
        <v>450</v>
      </c>
      <c r="L1234" s="1">
        <v>455</v>
      </c>
      <c r="M1234" s="1">
        <v>470</v>
      </c>
      <c r="N1234" s="1">
        <v>490</v>
      </c>
      <c r="O1234" s="1">
        <v>515</v>
      </c>
    </row>
    <row r="1235" spans="1:15" x14ac:dyDescent="0.3">
      <c r="A1235" t="s">
        <v>457</v>
      </c>
      <c r="B1235" s="3" t="s">
        <v>2873</v>
      </c>
      <c r="C1235" t="s">
        <v>456</v>
      </c>
      <c r="D1235" s="9">
        <f>VLOOKUP(A1235,[2]Sheet1!$A:$C,3,0)</f>
        <v>0</v>
      </c>
      <c r="J1235" s="1"/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 x14ac:dyDescent="0.3">
      <c r="A1236" t="s">
        <v>455</v>
      </c>
      <c r="B1236" s="3" t="s">
        <v>2873</v>
      </c>
      <c r="C1236" t="s">
        <v>454</v>
      </c>
      <c r="D1236" s="9">
        <f>VLOOKUP(A1236,[2]Sheet1!$A:$C,3,0)</f>
        <v>197</v>
      </c>
      <c r="J1236" s="1"/>
      <c r="K1236" s="2">
        <v>0</v>
      </c>
      <c r="L1236" s="1">
        <v>175</v>
      </c>
      <c r="M1236" s="1">
        <v>185</v>
      </c>
      <c r="N1236" s="1">
        <v>195</v>
      </c>
      <c r="O1236" s="1">
        <v>200</v>
      </c>
    </row>
    <row r="1237" spans="1:15" x14ac:dyDescent="0.3">
      <c r="A1237" t="s">
        <v>453</v>
      </c>
      <c r="B1237" s="3" t="s">
        <v>2874</v>
      </c>
      <c r="C1237" t="s">
        <v>452</v>
      </c>
      <c r="D1237" s="9">
        <f>VLOOKUP(A1237,[2]Sheet1!$A:$C,3,0)</f>
        <v>44</v>
      </c>
      <c r="J1237" s="1"/>
      <c r="K1237" s="2">
        <v>0</v>
      </c>
      <c r="L1237" s="1">
        <v>20.5</v>
      </c>
      <c r="M1237" s="1">
        <v>21</v>
      </c>
      <c r="N1237" s="1">
        <v>22</v>
      </c>
      <c r="O1237" s="1">
        <v>23</v>
      </c>
    </row>
    <row r="1238" spans="1:15" x14ac:dyDescent="0.3">
      <c r="A1238" t="s">
        <v>451</v>
      </c>
      <c r="B1238" s="3" t="s">
        <v>2874</v>
      </c>
      <c r="C1238" t="s">
        <v>450</v>
      </c>
      <c r="D1238" s="9">
        <f>VLOOKUP(A1238,[2]Sheet1!$A:$C,3,0)</f>
        <v>81</v>
      </c>
      <c r="J1238" s="1"/>
      <c r="K1238" s="2">
        <v>0</v>
      </c>
      <c r="L1238" s="1">
        <v>20.5</v>
      </c>
      <c r="M1238" s="1">
        <v>21</v>
      </c>
      <c r="N1238" s="1">
        <v>22</v>
      </c>
      <c r="O1238" s="1">
        <v>23</v>
      </c>
    </row>
    <row r="1239" spans="1:15" x14ac:dyDescent="0.3">
      <c r="A1239" t="s">
        <v>449</v>
      </c>
      <c r="B1239" s="3" t="s">
        <v>2874</v>
      </c>
      <c r="C1239" t="s">
        <v>448</v>
      </c>
      <c r="D1239" s="9">
        <f>VLOOKUP(A1239,[2]Sheet1!$A:$C,3,0)</f>
        <v>37</v>
      </c>
      <c r="J1239" s="1"/>
      <c r="K1239" s="2">
        <v>0</v>
      </c>
      <c r="L1239" s="1">
        <v>23</v>
      </c>
      <c r="M1239" s="1">
        <v>24</v>
      </c>
      <c r="N1239" s="1">
        <v>25</v>
      </c>
      <c r="O1239" s="1">
        <v>26</v>
      </c>
    </row>
    <row r="1240" spans="1:15" x14ac:dyDescent="0.3">
      <c r="A1240" t="s">
        <v>447</v>
      </c>
      <c r="B1240" s="3" t="s">
        <v>2874</v>
      </c>
      <c r="C1240" t="s">
        <v>446</v>
      </c>
      <c r="D1240" s="9">
        <f>VLOOKUP(A1240,[2]Sheet1!$A:$C,3,0)</f>
        <v>67</v>
      </c>
      <c r="J1240" s="1"/>
      <c r="K1240" s="2">
        <v>0</v>
      </c>
      <c r="L1240" s="1">
        <v>23</v>
      </c>
      <c r="M1240" s="1">
        <v>24</v>
      </c>
      <c r="N1240" s="1">
        <v>25</v>
      </c>
      <c r="O1240" s="1">
        <v>26</v>
      </c>
    </row>
    <row r="1241" spans="1:15" x14ac:dyDescent="0.3">
      <c r="A1241" t="s">
        <v>445</v>
      </c>
      <c r="B1241" s="3" t="s">
        <v>2874</v>
      </c>
      <c r="C1241" t="s">
        <v>444</v>
      </c>
      <c r="D1241" s="9">
        <f>VLOOKUP(A1241,[2]Sheet1!$A:$C,3,0)</f>
        <v>45</v>
      </c>
      <c r="J1241" s="1"/>
      <c r="K1241" s="2">
        <v>0</v>
      </c>
      <c r="L1241" s="1">
        <v>27</v>
      </c>
      <c r="M1241" s="1">
        <v>28</v>
      </c>
      <c r="N1241" s="1">
        <v>29</v>
      </c>
      <c r="O1241" s="1">
        <v>32</v>
      </c>
    </row>
    <row r="1242" spans="1:15" x14ac:dyDescent="0.3">
      <c r="A1242" t="s">
        <v>443</v>
      </c>
      <c r="B1242" s="3" t="s">
        <v>2874</v>
      </c>
      <c r="C1242" t="s">
        <v>442</v>
      </c>
      <c r="D1242" s="9">
        <f>VLOOKUP(A1242,[2]Sheet1!$A:$C,3,0)</f>
        <v>74</v>
      </c>
      <c r="J1242" s="1"/>
      <c r="K1242" s="2">
        <v>0</v>
      </c>
      <c r="L1242" s="1">
        <v>27</v>
      </c>
      <c r="M1242" s="1">
        <v>28</v>
      </c>
      <c r="N1242" s="1">
        <v>29</v>
      </c>
      <c r="O1242" s="1">
        <v>32</v>
      </c>
    </row>
    <row r="1243" spans="1:15" x14ac:dyDescent="0.3">
      <c r="A1243" t="s">
        <v>441</v>
      </c>
      <c r="B1243" s="3" t="s">
        <v>2874</v>
      </c>
      <c r="C1243" t="s">
        <v>440</v>
      </c>
      <c r="D1243" s="9">
        <f>VLOOKUP(A1243,[2]Sheet1!$A:$C,3,0)</f>
        <v>52</v>
      </c>
      <c r="J1243" s="1"/>
      <c r="K1243" s="2">
        <v>0</v>
      </c>
      <c r="L1243" s="1">
        <v>19</v>
      </c>
      <c r="M1243" s="1">
        <v>20</v>
      </c>
      <c r="N1243" s="1">
        <v>21</v>
      </c>
      <c r="O1243" s="1">
        <v>22</v>
      </c>
    </row>
    <row r="1244" spans="1:15" x14ac:dyDescent="0.3">
      <c r="A1244" t="s">
        <v>439</v>
      </c>
      <c r="B1244" s="3" t="s">
        <v>2874</v>
      </c>
      <c r="C1244" t="s">
        <v>438</v>
      </c>
      <c r="D1244" s="9">
        <f>VLOOKUP(A1244,[2]Sheet1!$A:$C,3,0)</f>
        <v>85</v>
      </c>
      <c r="J1244" s="1"/>
      <c r="K1244" s="2">
        <v>0</v>
      </c>
      <c r="L1244" s="1">
        <v>19</v>
      </c>
      <c r="M1244" s="1">
        <v>20</v>
      </c>
      <c r="N1244" s="1">
        <v>21</v>
      </c>
      <c r="O1244" s="1">
        <v>22</v>
      </c>
    </row>
    <row r="1245" spans="1:15" x14ac:dyDescent="0.3">
      <c r="A1245" t="s">
        <v>437</v>
      </c>
      <c r="B1245" s="3" t="s">
        <v>2874</v>
      </c>
      <c r="C1245" t="s">
        <v>436</v>
      </c>
      <c r="D1245" s="9">
        <f>VLOOKUP(A1245,[2]Sheet1!$A:$C,3,0)</f>
        <v>49</v>
      </c>
      <c r="J1245" s="1"/>
      <c r="K1245" s="2">
        <v>0</v>
      </c>
      <c r="L1245" s="1">
        <v>22</v>
      </c>
      <c r="M1245" s="1">
        <v>23</v>
      </c>
      <c r="N1245" s="1">
        <v>24</v>
      </c>
      <c r="O1245" s="1">
        <v>25</v>
      </c>
    </row>
    <row r="1246" spans="1:15" x14ac:dyDescent="0.3">
      <c r="A1246" t="s">
        <v>435</v>
      </c>
      <c r="B1246" s="3" t="s">
        <v>2874</v>
      </c>
      <c r="C1246" t="s">
        <v>434</v>
      </c>
      <c r="D1246" s="9">
        <f>VLOOKUP(A1246,[2]Sheet1!$A:$C,3,0)</f>
        <v>84</v>
      </c>
      <c r="J1246" s="1"/>
      <c r="K1246" s="2">
        <v>0</v>
      </c>
      <c r="L1246" s="1">
        <v>22</v>
      </c>
      <c r="M1246" s="1">
        <v>23</v>
      </c>
      <c r="N1246" s="1">
        <v>24</v>
      </c>
      <c r="O1246" s="1">
        <v>25</v>
      </c>
    </row>
    <row r="1247" spans="1:15" x14ac:dyDescent="0.3">
      <c r="A1247" t="s">
        <v>433</v>
      </c>
      <c r="B1247" s="3" t="s">
        <v>2874</v>
      </c>
      <c r="C1247" t="s">
        <v>432</v>
      </c>
      <c r="D1247" s="9">
        <f>VLOOKUP(A1247,[2]Sheet1!$A:$C,3,0)</f>
        <v>70</v>
      </c>
      <c r="J1247" s="1"/>
      <c r="K1247" s="2">
        <v>0</v>
      </c>
      <c r="L1247" s="1">
        <v>23</v>
      </c>
      <c r="M1247" s="1">
        <v>24</v>
      </c>
      <c r="N1247" s="1">
        <v>25</v>
      </c>
      <c r="O1247" s="1">
        <v>26</v>
      </c>
    </row>
    <row r="1248" spans="1:15" x14ac:dyDescent="0.3">
      <c r="A1248" t="s">
        <v>431</v>
      </c>
      <c r="B1248" s="3" t="s">
        <v>2874</v>
      </c>
      <c r="C1248" t="s">
        <v>430</v>
      </c>
      <c r="D1248" s="9">
        <f>VLOOKUP(A1248,[2]Sheet1!$A:$C,3,0)</f>
        <v>47</v>
      </c>
      <c r="J1248" s="1"/>
      <c r="K1248" s="2">
        <v>0</v>
      </c>
      <c r="L1248" s="1">
        <v>23</v>
      </c>
      <c r="M1248" s="1">
        <v>24</v>
      </c>
      <c r="N1248" s="1">
        <v>25</v>
      </c>
      <c r="O1248" s="1">
        <v>26</v>
      </c>
    </row>
    <row r="1249" spans="1:15" x14ac:dyDescent="0.3">
      <c r="A1249" t="s">
        <v>429</v>
      </c>
      <c r="B1249" s="3" t="s">
        <v>2874</v>
      </c>
      <c r="C1249" t="s">
        <v>428</v>
      </c>
      <c r="D1249" s="9">
        <f>VLOOKUP(A1249,[2]Sheet1!$A:$C,3,0)</f>
        <v>51</v>
      </c>
      <c r="J1249" s="1"/>
      <c r="K1249" s="2">
        <v>0</v>
      </c>
      <c r="L1249" s="1">
        <v>27</v>
      </c>
      <c r="M1249" s="1">
        <v>28</v>
      </c>
      <c r="N1249" s="1">
        <v>29</v>
      </c>
      <c r="O1249" s="1">
        <v>32</v>
      </c>
    </row>
    <row r="1250" spans="1:15" x14ac:dyDescent="0.3">
      <c r="A1250" t="s">
        <v>427</v>
      </c>
      <c r="B1250" s="3" t="s">
        <v>2874</v>
      </c>
      <c r="C1250" t="s">
        <v>426</v>
      </c>
      <c r="D1250" s="9">
        <f>VLOOKUP(A1250,[2]Sheet1!$A:$C,3,0)</f>
        <v>78</v>
      </c>
      <c r="J1250" s="1"/>
      <c r="K1250" s="2">
        <v>0</v>
      </c>
      <c r="L1250" s="1">
        <v>27</v>
      </c>
      <c r="M1250" s="1">
        <v>28</v>
      </c>
      <c r="N1250" s="1">
        <v>29</v>
      </c>
      <c r="O1250" s="1">
        <v>32</v>
      </c>
    </row>
    <row r="1251" spans="1:15" x14ac:dyDescent="0.3">
      <c r="A1251" t="s">
        <v>425</v>
      </c>
      <c r="B1251" s="3" t="s">
        <v>2874</v>
      </c>
      <c r="C1251" t="s">
        <v>424</v>
      </c>
      <c r="D1251" s="9">
        <f>VLOOKUP(A1251,[2]Sheet1!$A:$C,3,0)</f>
        <v>81</v>
      </c>
      <c r="J1251" s="1"/>
      <c r="K1251" s="2">
        <v>0</v>
      </c>
      <c r="L1251" s="1">
        <v>16</v>
      </c>
      <c r="M1251" s="1">
        <v>16.5</v>
      </c>
      <c r="N1251" s="1">
        <v>17</v>
      </c>
      <c r="O1251" s="1">
        <v>18</v>
      </c>
    </row>
    <row r="1252" spans="1:15" x14ac:dyDescent="0.3">
      <c r="A1252" t="s">
        <v>423</v>
      </c>
      <c r="B1252" s="3" t="s">
        <v>2874</v>
      </c>
      <c r="C1252" t="s">
        <v>422</v>
      </c>
      <c r="D1252" s="9">
        <f>VLOOKUP(A1252,[2]Sheet1!$A:$C,3,0)</f>
        <v>68</v>
      </c>
      <c r="J1252" s="1"/>
      <c r="K1252" s="2">
        <v>0</v>
      </c>
      <c r="L1252" s="1">
        <v>32</v>
      </c>
      <c r="M1252" s="1">
        <v>33</v>
      </c>
      <c r="N1252" s="1">
        <v>34</v>
      </c>
      <c r="O1252" s="1">
        <v>36</v>
      </c>
    </row>
    <row r="1253" spans="1:15" x14ac:dyDescent="0.3">
      <c r="A1253" t="s">
        <v>421</v>
      </c>
      <c r="B1253" s="3" t="s">
        <v>2874</v>
      </c>
      <c r="C1253" t="s">
        <v>420</v>
      </c>
      <c r="D1253" s="9">
        <f>VLOOKUP(A1253,[2]Sheet1!$A:$C,3,0)</f>
        <v>95</v>
      </c>
      <c r="J1253" s="1"/>
      <c r="K1253" s="2">
        <v>0</v>
      </c>
      <c r="L1253" s="1">
        <v>32</v>
      </c>
      <c r="M1253" s="1">
        <v>33</v>
      </c>
      <c r="N1253" s="1">
        <v>34</v>
      </c>
      <c r="O1253" s="1">
        <v>36</v>
      </c>
    </row>
    <row r="1254" spans="1:15" x14ac:dyDescent="0.3">
      <c r="A1254" t="s">
        <v>419</v>
      </c>
      <c r="B1254" s="3" t="s">
        <v>2874</v>
      </c>
      <c r="C1254" t="s">
        <v>418</v>
      </c>
      <c r="D1254" s="9">
        <f>VLOOKUP(A1254,[2]Sheet1!$A:$C,3,0)</f>
        <v>78</v>
      </c>
      <c r="J1254" s="1"/>
      <c r="K1254" s="2">
        <v>0</v>
      </c>
      <c r="L1254" s="1">
        <v>22</v>
      </c>
      <c r="M1254" s="1">
        <v>23</v>
      </c>
      <c r="N1254" s="1">
        <v>24</v>
      </c>
      <c r="O1254" s="1">
        <v>25</v>
      </c>
    </row>
    <row r="1255" spans="1:15" x14ac:dyDescent="0.3">
      <c r="A1255" t="s">
        <v>417</v>
      </c>
      <c r="B1255" s="3" t="s">
        <v>2874</v>
      </c>
      <c r="C1255" t="s">
        <v>416</v>
      </c>
      <c r="D1255" s="9">
        <f>VLOOKUP(A1255,[2]Sheet1!$A:$C,3,0)</f>
        <v>63</v>
      </c>
      <c r="J1255" s="1"/>
      <c r="K1255" s="2">
        <v>0</v>
      </c>
      <c r="L1255" s="1">
        <v>22</v>
      </c>
      <c r="M1255" s="1">
        <v>23</v>
      </c>
      <c r="N1255" s="1">
        <v>24</v>
      </c>
      <c r="O1255" s="1">
        <v>25</v>
      </c>
    </row>
    <row r="1256" spans="1:15" x14ac:dyDescent="0.3">
      <c r="A1256" t="s">
        <v>415</v>
      </c>
      <c r="B1256" s="3" t="s">
        <v>2874</v>
      </c>
      <c r="C1256" t="s">
        <v>414</v>
      </c>
      <c r="D1256" s="9">
        <f>VLOOKUP(A1256,[2]Sheet1!$A:$C,3,0)</f>
        <v>71</v>
      </c>
      <c r="J1256" s="1"/>
      <c r="K1256" s="2">
        <v>0</v>
      </c>
      <c r="L1256" s="1">
        <v>24</v>
      </c>
      <c r="M1256" s="1">
        <v>25</v>
      </c>
      <c r="N1256" s="1">
        <v>26</v>
      </c>
      <c r="O1256" s="1">
        <v>28</v>
      </c>
    </row>
    <row r="1257" spans="1:15" x14ac:dyDescent="0.3">
      <c r="A1257" t="s">
        <v>413</v>
      </c>
      <c r="B1257" s="3" t="s">
        <v>2874</v>
      </c>
      <c r="C1257" t="s">
        <v>412</v>
      </c>
      <c r="D1257" s="9">
        <f>VLOOKUP(A1257,[2]Sheet1!$A:$C,3,0)</f>
        <v>96</v>
      </c>
      <c r="J1257" s="1"/>
      <c r="K1257" s="2">
        <v>0</v>
      </c>
      <c r="L1257" s="1">
        <v>24</v>
      </c>
      <c r="M1257" s="1">
        <v>25</v>
      </c>
      <c r="N1257" s="1">
        <v>26</v>
      </c>
      <c r="O1257" s="1">
        <v>28</v>
      </c>
    </row>
    <row r="1258" spans="1:15" x14ac:dyDescent="0.3">
      <c r="A1258" t="s">
        <v>411</v>
      </c>
      <c r="B1258" s="3" t="s">
        <v>2874</v>
      </c>
      <c r="C1258" t="s">
        <v>410</v>
      </c>
      <c r="D1258" s="9">
        <f>VLOOKUP(A1258,[2]Sheet1!$A:$C,3,0)</f>
        <v>36</v>
      </c>
      <c r="J1258" s="1"/>
      <c r="K1258" s="2">
        <v>0</v>
      </c>
      <c r="L1258" s="1">
        <v>48</v>
      </c>
      <c r="M1258" s="1">
        <v>50</v>
      </c>
      <c r="N1258" s="1">
        <v>52</v>
      </c>
      <c r="O1258" s="1">
        <v>54</v>
      </c>
    </row>
    <row r="1259" spans="1:15" x14ac:dyDescent="0.3">
      <c r="A1259" t="s">
        <v>409</v>
      </c>
      <c r="B1259" s="3" t="s">
        <v>2874</v>
      </c>
      <c r="C1259" t="s">
        <v>408</v>
      </c>
      <c r="D1259" s="9">
        <f>VLOOKUP(A1259,[2]Sheet1!$A:$C,3,0)</f>
        <v>63</v>
      </c>
      <c r="J1259" s="1"/>
      <c r="K1259" s="2">
        <v>0</v>
      </c>
      <c r="L1259" s="1">
        <v>27</v>
      </c>
      <c r="M1259" s="1">
        <v>28</v>
      </c>
      <c r="N1259" s="1">
        <v>29</v>
      </c>
      <c r="O1259" s="1">
        <v>32</v>
      </c>
    </row>
    <row r="1260" spans="1:15" x14ac:dyDescent="0.3">
      <c r="A1260" t="s">
        <v>407</v>
      </c>
      <c r="B1260" s="3" t="s">
        <v>2874</v>
      </c>
      <c r="C1260" t="s">
        <v>406</v>
      </c>
      <c r="D1260" s="9">
        <f>VLOOKUP(A1260,[2]Sheet1!$A:$C,3,0)</f>
        <v>27</v>
      </c>
      <c r="J1260" s="1"/>
      <c r="K1260" s="2">
        <v>0</v>
      </c>
      <c r="L1260" s="1">
        <v>54</v>
      </c>
      <c r="M1260" s="1">
        <v>56</v>
      </c>
      <c r="N1260" s="1">
        <v>58</v>
      </c>
      <c r="O1260" s="1">
        <v>60</v>
      </c>
    </row>
    <row r="1261" spans="1:15" x14ac:dyDescent="0.3">
      <c r="A1261" t="s">
        <v>405</v>
      </c>
      <c r="B1261" s="3" t="s">
        <v>2874</v>
      </c>
      <c r="C1261" t="s">
        <v>404</v>
      </c>
      <c r="D1261" s="9">
        <f>VLOOKUP(A1261,[2]Sheet1!$A:$C,3,0)</f>
        <v>0</v>
      </c>
      <c r="J1261" s="1"/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 x14ac:dyDescent="0.3">
      <c r="A1262" t="s">
        <v>403</v>
      </c>
      <c r="B1262" s="3" t="s">
        <v>2874</v>
      </c>
      <c r="C1262" t="s">
        <v>402</v>
      </c>
      <c r="D1262" s="9">
        <f>VLOOKUP(A1262,[2]Sheet1!$A:$C,3,0)</f>
        <v>0</v>
      </c>
      <c r="J1262" s="1"/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 x14ac:dyDescent="0.3">
      <c r="A1263" t="s">
        <v>401</v>
      </c>
      <c r="B1263" s="3" t="s">
        <v>2874</v>
      </c>
      <c r="C1263" t="s">
        <v>400</v>
      </c>
      <c r="D1263" s="9">
        <f>VLOOKUP(A1263,[2]Sheet1!$A:$C,3,0)</f>
        <v>9</v>
      </c>
      <c r="J1263" s="1"/>
      <c r="K1263" s="2">
        <v>0</v>
      </c>
      <c r="L1263" s="1">
        <v>13</v>
      </c>
      <c r="M1263" s="1">
        <v>13.5</v>
      </c>
      <c r="N1263" s="1">
        <v>14</v>
      </c>
      <c r="O1263" s="1">
        <v>15</v>
      </c>
    </row>
    <row r="1264" spans="1:15" x14ac:dyDescent="0.3">
      <c r="A1264" t="s">
        <v>399</v>
      </c>
      <c r="B1264" s="3" t="s">
        <v>2874</v>
      </c>
      <c r="C1264" t="s">
        <v>398</v>
      </c>
      <c r="D1264" s="9">
        <f>VLOOKUP(A1264,[2]Sheet1!$A:$C,3,0)</f>
        <v>51</v>
      </c>
      <c r="J1264" s="1"/>
      <c r="K1264" s="2">
        <v>0</v>
      </c>
      <c r="L1264" s="1">
        <v>25</v>
      </c>
      <c r="M1264" s="1">
        <v>26.5</v>
      </c>
      <c r="N1264" s="1">
        <v>27</v>
      </c>
      <c r="O1264" s="1">
        <v>33</v>
      </c>
    </row>
    <row r="1265" spans="1:15" x14ac:dyDescent="0.3">
      <c r="A1265" t="s">
        <v>397</v>
      </c>
      <c r="B1265" s="3" t="s">
        <v>2874</v>
      </c>
      <c r="C1265" t="s">
        <v>396</v>
      </c>
      <c r="D1265" s="9">
        <f>VLOOKUP(A1265,[2]Sheet1!$A:$C,3,0)</f>
        <v>38</v>
      </c>
      <c r="J1265" s="1"/>
      <c r="K1265" s="2">
        <v>0</v>
      </c>
      <c r="L1265" s="1">
        <v>25</v>
      </c>
      <c r="M1265" s="1">
        <v>26.5</v>
      </c>
      <c r="N1265" s="1">
        <v>27</v>
      </c>
      <c r="O1265" s="1">
        <v>33</v>
      </c>
    </row>
    <row r="1266" spans="1:15" x14ac:dyDescent="0.3">
      <c r="A1266" t="s">
        <v>395</v>
      </c>
      <c r="B1266" s="3" t="s">
        <v>2874</v>
      </c>
      <c r="C1266" t="s">
        <v>394</v>
      </c>
      <c r="D1266" s="9">
        <f>VLOOKUP(A1266,[2]Sheet1!$A:$C,3,0)</f>
        <v>0</v>
      </c>
      <c r="J1266" s="1"/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 x14ac:dyDescent="0.3">
      <c r="A1267" t="s">
        <v>393</v>
      </c>
      <c r="B1267" s="3" t="s">
        <v>2874</v>
      </c>
      <c r="C1267" t="s">
        <v>392</v>
      </c>
      <c r="D1267" s="9">
        <f>VLOOKUP(A1267,[2]Sheet1!$A:$C,3,0)</f>
        <v>65</v>
      </c>
      <c r="J1267" s="1"/>
      <c r="K1267" s="2">
        <v>0</v>
      </c>
      <c r="L1267" s="1">
        <v>16</v>
      </c>
      <c r="M1267" s="1">
        <v>16.5</v>
      </c>
      <c r="N1267" s="1">
        <v>17</v>
      </c>
      <c r="O1267" s="1">
        <v>18</v>
      </c>
    </row>
    <row r="1268" spans="1:15" x14ac:dyDescent="0.3">
      <c r="A1268" t="s">
        <v>391</v>
      </c>
      <c r="B1268" s="3" t="s">
        <v>2874</v>
      </c>
      <c r="C1268" t="s">
        <v>390</v>
      </c>
      <c r="D1268" s="9">
        <f>VLOOKUP(A1268,[2]Sheet1!$A:$C,3,0)</f>
        <v>43</v>
      </c>
      <c r="J1268" s="1"/>
      <c r="K1268" s="2">
        <v>0</v>
      </c>
      <c r="L1268" s="1">
        <v>35</v>
      </c>
      <c r="M1268" s="1">
        <v>36</v>
      </c>
      <c r="N1268" s="1">
        <v>37</v>
      </c>
      <c r="O1268" s="1">
        <v>38</v>
      </c>
    </row>
    <row r="1269" spans="1:15" x14ac:dyDescent="0.3">
      <c r="A1269" t="s">
        <v>389</v>
      </c>
      <c r="B1269" s="3" t="s">
        <v>2874</v>
      </c>
      <c r="C1269" t="s">
        <v>388</v>
      </c>
      <c r="D1269" s="9">
        <f>VLOOKUP(A1269,[2]Sheet1!$A:$C,3,0)</f>
        <v>66</v>
      </c>
      <c r="J1269" s="1"/>
      <c r="K1269" s="2">
        <v>0</v>
      </c>
      <c r="L1269" s="1">
        <v>35</v>
      </c>
      <c r="M1269" s="1">
        <v>36</v>
      </c>
      <c r="N1269" s="1">
        <v>37</v>
      </c>
      <c r="O1269" s="1">
        <v>38</v>
      </c>
    </row>
    <row r="1270" spans="1:15" x14ac:dyDescent="0.3">
      <c r="A1270" t="s">
        <v>387</v>
      </c>
      <c r="B1270" s="3" t="s">
        <v>2874</v>
      </c>
      <c r="C1270" t="s">
        <v>386</v>
      </c>
      <c r="D1270" s="9">
        <f>VLOOKUP(A1270,[2]Sheet1!$A:$C,3,0)</f>
        <v>4</v>
      </c>
      <c r="J1270" s="1"/>
      <c r="K1270" s="2">
        <v>0</v>
      </c>
      <c r="L1270" s="1">
        <v>20.5</v>
      </c>
      <c r="M1270" s="1">
        <v>21</v>
      </c>
      <c r="N1270" s="1">
        <v>22</v>
      </c>
      <c r="O1270" s="1">
        <v>23</v>
      </c>
    </row>
    <row r="1271" spans="1:15" x14ac:dyDescent="0.3">
      <c r="A1271" t="s">
        <v>385</v>
      </c>
      <c r="B1271" s="3" t="s">
        <v>2874</v>
      </c>
      <c r="C1271" t="s">
        <v>384</v>
      </c>
      <c r="D1271" s="9">
        <f>VLOOKUP(A1271,[2]Sheet1!$A:$C,3,0)</f>
        <v>59</v>
      </c>
      <c r="J1271" s="1"/>
      <c r="K1271" s="2">
        <v>0</v>
      </c>
      <c r="L1271" s="1">
        <v>24</v>
      </c>
      <c r="M1271" s="1">
        <v>25</v>
      </c>
      <c r="N1271" s="1">
        <v>26</v>
      </c>
      <c r="O1271" s="1">
        <v>28</v>
      </c>
    </row>
    <row r="1272" spans="1:15" x14ac:dyDescent="0.3">
      <c r="A1272" t="s">
        <v>383</v>
      </c>
      <c r="B1272" s="3" t="s">
        <v>2874</v>
      </c>
      <c r="C1272" t="s">
        <v>382</v>
      </c>
      <c r="D1272" s="9">
        <f>VLOOKUP(A1272,[2]Sheet1!$A:$C,3,0)</f>
        <v>111</v>
      </c>
      <c r="J1272" s="1"/>
      <c r="K1272" s="2">
        <v>0</v>
      </c>
      <c r="L1272" s="1">
        <v>24</v>
      </c>
      <c r="M1272" s="1">
        <v>25</v>
      </c>
      <c r="N1272" s="1">
        <v>26</v>
      </c>
      <c r="O1272" s="1">
        <v>28</v>
      </c>
    </row>
    <row r="1273" spans="1:15" x14ac:dyDescent="0.3">
      <c r="A1273" t="s">
        <v>381</v>
      </c>
      <c r="B1273" s="3" t="s">
        <v>2874</v>
      </c>
      <c r="C1273" t="s">
        <v>380</v>
      </c>
      <c r="D1273" s="9">
        <f>VLOOKUP(A1273,[2]Sheet1!$A:$C,3,0)</f>
        <v>29</v>
      </c>
      <c r="J1273" s="1"/>
      <c r="K1273" s="2">
        <v>0</v>
      </c>
      <c r="L1273" s="1">
        <v>19</v>
      </c>
      <c r="M1273" s="1">
        <v>20</v>
      </c>
      <c r="N1273" s="1">
        <v>21</v>
      </c>
      <c r="O1273" s="1">
        <v>22</v>
      </c>
    </row>
    <row r="1274" spans="1:15" x14ac:dyDescent="0.3">
      <c r="A1274" t="s">
        <v>379</v>
      </c>
      <c r="B1274" s="3" t="s">
        <v>2874</v>
      </c>
      <c r="C1274" t="s">
        <v>378</v>
      </c>
      <c r="D1274" s="9">
        <f>VLOOKUP(A1274,[2]Sheet1!$A:$C,3,0)</f>
        <v>49</v>
      </c>
      <c r="J1274" s="1"/>
      <c r="K1274" s="2">
        <v>0</v>
      </c>
      <c r="L1274" s="1">
        <v>27</v>
      </c>
      <c r="M1274" s="1">
        <v>28</v>
      </c>
      <c r="N1274" s="1">
        <v>29</v>
      </c>
      <c r="O1274" s="1">
        <v>32</v>
      </c>
    </row>
    <row r="1275" spans="1:15" x14ac:dyDescent="0.3">
      <c r="A1275" t="s">
        <v>377</v>
      </c>
      <c r="B1275" s="3" t="s">
        <v>2874</v>
      </c>
      <c r="C1275" t="s">
        <v>376</v>
      </c>
      <c r="D1275" s="9">
        <f>VLOOKUP(A1275,[2]Sheet1!$A:$C,3,0)</f>
        <v>90</v>
      </c>
      <c r="J1275" s="1"/>
      <c r="K1275" s="2">
        <v>0</v>
      </c>
      <c r="L1275" s="1">
        <v>27</v>
      </c>
      <c r="M1275" s="1">
        <v>28</v>
      </c>
      <c r="N1275" s="1">
        <v>29</v>
      </c>
      <c r="O1275" s="1">
        <v>32</v>
      </c>
    </row>
    <row r="1276" spans="1:15" x14ac:dyDescent="0.3">
      <c r="A1276" t="s">
        <v>375</v>
      </c>
      <c r="B1276" s="3" t="s">
        <v>2874</v>
      </c>
      <c r="C1276" t="s">
        <v>374</v>
      </c>
      <c r="D1276" s="9">
        <f>VLOOKUP(A1276,[2]Sheet1!$A:$C,3,0)</f>
        <v>0</v>
      </c>
      <c r="J1276" s="1"/>
      <c r="K1276" s="2">
        <v>0</v>
      </c>
      <c r="L1276" s="1">
        <v>28</v>
      </c>
      <c r="M1276" s="1">
        <v>29</v>
      </c>
      <c r="N1276" s="1">
        <v>30</v>
      </c>
      <c r="O1276" s="1">
        <v>32</v>
      </c>
    </row>
    <row r="1277" spans="1:15" x14ac:dyDescent="0.3">
      <c r="A1277" t="s">
        <v>373</v>
      </c>
      <c r="B1277" s="3" t="s">
        <v>2874</v>
      </c>
      <c r="C1277" t="s">
        <v>372</v>
      </c>
      <c r="D1277" s="9">
        <f>VLOOKUP(A1277,[2]Sheet1!$A:$C,3,0)</f>
        <v>35</v>
      </c>
      <c r="J1277" s="1"/>
      <c r="K1277" s="2">
        <v>0</v>
      </c>
      <c r="L1277" s="1">
        <v>32</v>
      </c>
      <c r="M1277" s="1">
        <v>33</v>
      </c>
      <c r="N1277" s="1">
        <v>34</v>
      </c>
      <c r="O1277" s="1">
        <v>36</v>
      </c>
    </row>
    <row r="1278" spans="1:15" x14ac:dyDescent="0.3">
      <c r="A1278" t="s">
        <v>371</v>
      </c>
      <c r="B1278" s="3" t="s">
        <v>2874</v>
      </c>
      <c r="C1278" t="s">
        <v>370</v>
      </c>
      <c r="D1278" s="9">
        <f>VLOOKUP(A1278,[2]Sheet1!$A:$C,3,0)</f>
        <v>56</v>
      </c>
      <c r="J1278" s="1"/>
      <c r="K1278" s="2">
        <v>0</v>
      </c>
      <c r="L1278" s="1">
        <v>32</v>
      </c>
      <c r="M1278" s="1">
        <v>33</v>
      </c>
      <c r="N1278" s="1">
        <v>34</v>
      </c>
      <c r="O1278" s="1">
        <v>36</v>
      </c>
    </row>
    <row r="1279" spans="1:15" x14ac:dyDescent="0.3">
      <c r="A1279" t="s">
        <v>361</v>
      </c>
      <c r="B1279" s="3" t="s">
        <v>2874</v>
      </c>
      <c r="C1279" t="s">
        <v>360</v>
      </c>
      <c r="D1279" s="9">
        <f>VLOOKUP(A1279,[2]Sheet1!$A:$C,3,0)</f>
        <v>36</v>
      </c>
      <c r="J1279" s="1"/>
      <c r="K1279" s="2">
        <v>0</v>
      </c>
      <c r="L1279" s="1">
        <v>13</v>
      </c>
      <c r="M1279" s="1">
        <v>13.5</v>
      </c>
      <c r="N1279" s="1">
        <v>14</v>
      </c>
      <c r="O1279" s="1">
        <v>15</v>
      </c>
    </row>
    <row r="1280" spans="1:15" x14ac:dyDescent="0.3">
      <c r="A1280" t="s">
        <v>359</v>
      </c>
      <c r="B1280" s="3" t="s">
        <v>2874</v>
      </c>
      <c r="C1280" t="s">
        <v>358</v>
      </c>
      <c r="D1280" s="9">
        <f>VLOOKUP(A1280,[2]Sheet1!$A:$C,3,0)</f>
        <v>35</v>
      </c>
      <c r="J1280" s="1"/>
      <c r="K1280" s="2">
        <v>0</v>
      </c>
      <c r="L1280" s="1">
        <v>13</v>
      </c>
      <c r="M1280" s="1">
        <v>13.5</v>
      </c>
      <c r="N1280" s="1">
        <v>14</v>
      </c>
      <c r="O1280" s="1">
        <v>15</v>
      </c>
    </row>
    <row r="1281" spans="1:15" x14ac:dyDescent="0.3">
      <c r="A1281" t="s">
        <v>357</v>
      </c>
      <c r="B1281" s="3" t="s">
        <v>2874</v>
      </c>
      <c r="C1281" t="s">
        <v>356</v>
      </c>
      <c r="D1281" s="9">
        <f>VLOOKUP(A1281,[2]Sheet1!$A:$C,3,0)</f>
        <v>23</v>
      </c>
      <c r="J1281" s="1"/>
      <c r="K1281" s="2">
        <v>0</v>
      </c>
      <c r="L1281" s="1">
        <v>13</v>
      </c>
      <c r="M1281" s="1">
        <v>13.5</v>
      </c>
      <c r="N1281" s="1">
        <v>14</v>
      </c>
      <c r="O1281" s="1">
        <v>15</v>
      </c>
    </row>
    <row r="1282" spans="1:15" x14ac:dyDescent="0.3">
      <c r="A1282" t="s">
        <v>355</v>
      </c>
      <c r="B1282" s="3" t="s">
        <v>2874</v>
      </c>
      <c r="C1282" t="s">
        <v>354</v>
      </c>
      <c r="D1282" s="9">
        <f>VLOOKUP(A1282,[2]Sheet1!$A:$C,3,0)</f>
        <v>2</v>
      </c>
      <c r="J1282" s="1"/>
      <c r="K1282" s="2">
        <v>0</v>
      </c>
      <c r="L1282" s="1">
        <v>25</v>
      </c>
      <c r="M1282" s="1">
        <v>26.5</v>
      </c>
      <c r="N1282" s="1">
        <v>27</v>
      </c>
      <c r="O1282" s="1">
        <v>30</v>
      </c>
    </row>
    <row r="1283" spans="1:15" x14ac:dyDescent="0.3">
      <c r="A1283" t="s">
        <v>353</v>
      </c>
      <c r="B1283" s="3" t="s">
        <v>2874</v>
      </c>
      <c r="C1283" t="s">
        <v>352</v>
      </c>
      <c r="D1283" s="9">
        <f>VLOOKUP(A1283,[2]Sheet1!$A:$C,3,0)</f>
        <v>114</v>
      </c>
      <c r="J1283" s="1"/>
      <c r="K1283" s="2">
        <v>0</v>
      </c>
      <c r="L1283" s="1">
        <v>15</v>
      </c>
      <c r="M1283" s="1">
        <v>15.5</v>
      </c>
      <c r="N1283" s="1">
        <v>16</v>
      </c>
      <c r="O1283" s="1">
        <v>17</v>
      </c>
    </row>
    <row r="1284" spans="1:15" x14ac:dyDescent="0.3">
      <c r="A1284" t="s">
        <v>351</v>
      </c>
      <c r="B1284" s="3" t="s">
        <v>2874</v>
      </c>
      <c r="C1284" t="s">
        <v>350</v>
      </c>
      <c r="D1284" s="9">
        <f>VLOOKUP(A1284,[2]Sheet1!$A:$C,3,0)</f>
        <v>32</v>
      </c>
      <c r="J1284" s="1"/>
      <c r="K1284" s="2">
        <v>0</v>
      </c>
      <c r="L1284" s="1">
        <v>30</v>
      </c>
      <c r="M1284" s="1">
        <v>31</v>
      </c>
      <c r="N1284" s="1">
        <v>32</v>
      </c>
      <c r="O1284" s="1">
        <v>34</v>
      </c>
    </row>
    <row r="1285" spans="1:15" x14ac:dyDescent="0.3">
      <c r="A1285" t="s">
        <v>349</v>
      </c>
      <c r="B1285" s="3" t="s">
        <v>2874</v>
      </c>
      <c r="C1285" t="s">
        <v>348</v>
      </c>
      <c r="D1285" s="9">
        <f>VLOOKUP(A1285,[2]Sheet1!$A:$C,3,0)</f>
        <v>173</v>
      </c>
      <c r="J1285" s="1"/>
      <c r="K1285" s="2">
        <v>0</v>
      </c>
      <c r="L1285" s="1">
        <v>15</v>
      </c>
      <c r="M1285" s="1">
        <v>15.5</v>
      </c>
      <c r="N1285" s="1">
        <v>16</v>
      </c>
      <c r="O1285" s="1">
        <v>17</v>
      </c>
    </row>
    <row r="1286" spans="1:15" x14ac:dyDescent="0.3">
      <c r="A1286" t="s">
        <v>347</v>
      </c>
      <c r="B1286" s="3" t="s">
        <v>2874</v>
      </c>
      <c r="C1286" t="s">
        <v>346</v>
      </c>
      <c r="D1286" s="9">
        <f>VLOOKUP(A1286,[2]Sheet1!$A:$C,3,0)</f>
        <v>81</v>
      </c>
      <c r="J1286" s="1"/>
      <c r="K1286" s="2">
        <v>0</v>
      </c>
      <c r="L1286" s="1">
        <v>30</v>
      </c>
      <c r="M1286" s="1">
        <v>31</v>
      </c>
      <c r="N1286" s="1">
        <v>32</v>
      </c>
      <c r="O1286" s="1">
        <v>34</v>
      </c>
    </row>
    <row r="1287" spans="1:15" x14ac:dyDescent="0.3">
      <c r="A1287" t="s">
        <v>345</v>
      </c>
      <c r="B1287" s="3" t="s">
        <v>2874</v>
      </c>
      <c r="C1287" t="s">
        <v>344</v>
      </c>
      <c r="D1287" s="9">
        <f>VLOOKUP(A1287,[2]Sheet1!$A:$C,3,0)</f>
        <v>53</v>
      </c>
      <c r="J1287" s="1"/>
      <c r="K1287" s="2">
        <v>0</v>
      </c>
      <c r="L1287" s="1">
        <v>15</v>
      </c>
      <c r="M1287" s="1">
        <v>15.5</v>
      </c>
      <c r="N1287" s="1">
        <v>16</v>
      </c>
      <c r="O1287" s="1">
        <v>17</v>
      </c>
    </row>
    <row r="1288" spans="1:15" x14ac:dyDescent="0.3">
      <c r="A1288" t="s">
        <v>343</v>
      </c>
      <c r="B1288" s="3" t="s">
        <v>2874</v>
      </c>
      <c r="C1288" t="s">
        <v>342</v>
      </c>
      <c r="D1288" s="9">
        <f>VLOOKUP(A1288,[2]Sheet1!$A:$C,3,0)</f>
        <v>86</v>
      </c>
      <c r="J1288" s="1"/>
      <c r="K1288" s="2">
        <v>0</v>
      </c>
      <c r="L1288" s="1">
        <v>16</v>
      </c>
      <c r="M1288" s="1">
        <v>16.5</v>
      </c>
      <c r="N1288" s="1">
        <v>17</v>
      </c>
      <c r="O1288" s="1">
        <v>18</v>
      </c>
    </row>
    <row r="1289" spans="1:15" x14ac:dyDescent="0.3">
      <c r="A1289" t="s">
        <v>341</v>
      </c>
      <c r="B1289" s="3" t="s">
        <v>2874</v>
      </c>
      <c r="C1289" t="s">
        <v>340</v>
      </c>
      <c r="D1289" s="9">
        <f>VLOOKUP(A1289,[2]Sheet1!$A:$C,3,0)</f>
        <v>81</v>
      </c>
      <c r="J1289" s="1"/>
      <c r="K1289" s="2">
        <v>0</v>
      </c>
      <c r="L1289" s="1">
        <v>16</v>
      </c>
      <c r="M1289" s="1">
        <v>16.5</v>
      </c>
      <c r="N1289" s="1">
        <v>17</v>
      </c>
      <c r="O1289" s="1">
        <v>18</v>
      </c>
    </row>
    <row r="1290" spans="1:15" x14ac:dyDescent="0.3">
      <c r="A1290" t="s">
        <v>339</v>
      </c>
      <c r="B1290" s="3" t="s">
        <v>2874</v>
      </c>
      <c r="C1290" t="s">
        <v>338</v>
      </c>
      <c r="D1290" s="9">
        <f>VLOOKUP(A1290,[2]Sheet1!$A:$C,3,0)</f>
        <v>74</v>
      </c>
      <c r="J1290" s="1"/>
      <c r="K1290" s="2">
        <v>0</v>
      </c>
      <c r="L1290" s="1">
        <v>17</v>
      </c>
      <c r="M1290" s="1">
        <v>17.5</v>
      </c>
      <c r="N1290" s="1">
        <v>18</v>
      </c>
      <c r="O1290" s="1">
        <v>19</v>
      </c>
    </row>
    <row r="1291" spans="1:15" x14ac:dyDescent="0.3">
      <c r="A1291" t="s">
        <v>321</v>
      </c>
      <c r="B1291" s="3" t="s">
        <v>2874</v>
      </c>
      <c r="C1291" t="s">
        <v>320</v>
      </c>
      <c r="D1291" s="9">
        <f>VLOOKUP(A1291,[2]Sheet1!$A:$C,3,0)</f>
        <v>25</v>
      </c>
      <c r="J1291" s="1"/>
      <c r="K1291" s="2">
        <v>0</v>
      </c>
      <c r="L1291" s="1">
        <v>62</v>
      </c>
      <c r="M1291" s="1">
        <v>65</v>
      </c>
      <c r="N1291" s="1">
        <v>68</v>
      </c>
      <c r="O1291" s="1">
        <v>70</v>
      </c>
    </row>
    <row r="1292" spans="1:15" x14ac:dyDescent="0.3">
      <c r="A1292" t="s">
        <v>307</v>
      </c>
      <c r="B1292" s="3" t="s">
        <v>2874</v>
      </c>
      <c r="C1292" t="s">
        <v>306</v>
      </c>
      <c r="D1292" s="9">
        <f>VLOOKUP(A1292,[2]Sheet1!$A:$C,3,0)</f>
        <v>61</v>
      </c>
      <c r="J1292" s="1"/>
      <c r="K1292" s="2">
        <v>0</v>
      </c>
      <c r="L1292" s="1">
        <v>90</v>
      </c>
      <c r="M1292" s="1">
        <v>93</v>
      </c>
      <c r="N1292" s="1">
        <v>95</v>
      </c>
      <c r="O1292" s="1">
        <v>100</v>
      </c>
    </row>
    <row r="1293" spans="1:15" x14ac:dyDescent="0.3">
      <c r="A1293" t="s">
        <v>305</v>
      </c>
      <c r="B1293" s="3" t="s">
        <v>2874</v>
      </c>
      <c r="C1293" t="s">
        <v>304</v>
      </c>
      <c r="D1293" s="9">
        <f>VLOOKUP(A1293,[2]Sheet1!$A:$C,3,0)</f>
        <v>77</v>
      </c>
      <c r="J1293" s="1"/>
      <c r="K1293" s="2">
        <v>0</v>
      </c>
      <c r="L1293" s="1">
        <v>17</v>
      </c>
      <c r="M1293" s="1">
        <v>17.5</v>
      </c>
      <c r="N1293" s="1">
        <v>18</v>
      </c>
      <c r="O1293" s="1">
        <v>19</v>
      </c>
    </row>
    <row r="1294" spans="1:15" x14ac:dyDescent="0.3">
      <c r="A1294" t="s">
        <v>303</v>
      </c>
      <c r="B1294" s="3" t="s">
        <v>2874</v>
      </c>
      <c r="C1294" t="s">
        <v>302</v>
      </c>
      <c r="D1294" s="9">
        <f>VLOOKUP(A1294,[2]Sheet1!$A:$C,3,0)</f>
        <v>74</v>
      </c>
      <c r="J1294" s="1"/>
      <c r="K1294" s="2">
        <v>0</v>
      </c>
      <c r="L1294" s="1">
        <v>20</v>
      </c>
      <c r="M1294" s="1">
        <v>21</v>
      </c>
      <c r="N1294" s="1">
        <v>22</v>
      </c>
      <c r="O1294" s="1">
        <v>23</v>
      </c>
    </row>
    <row r="1295" spans="1:15" x14ac:dyDescent="0.3">
      <c r="A1295" t="s">
        <v>301</v>
      </c>
      <c r="B1295" s="3" t="s">
        <v>2874</v>
      </c>
      <c r="C1295" t="s">
        <v>300</v>
      </c>
      <c r="D1295" s="9">
        <f>VLOOKUP(A1295,[2]Sheet1!$A:$C,3,0)</f>
        <v>64</v>
      </c>
      <c r="J1295" s="1"/>
      <c r="K1295" s="2">
        <v>0</v>
      </c>
      <c r="L1295" s="1">
        <v>18</v>
      </c>
      <c r="M1295" s="1">
        <v>18.5</v>
      </c>
      <c r="N1295" s="1">
        <v>19</v>
      </c>
      <c r="O1295" s="1">
        <v>22</v>
      </c>
    </row>
    <row r="1296" spans="1:15" x14ac:dyDescent="0.3">
      <c r="A1296" t="s">
        <v>299</v>
      </c>
      <c r="B1296" s="3" t="s">
        <v>2874</v>
      </c>
      <c r="C1296" t="s">
        <v>298</v>
      </c>
      <c r="D1296" s="9">
        <f>VLOOKUP(A1296,[2]Sheet1!$A:$C,3,0)</f>
        <v>73</v>
      </c>
      <c r="J1296" s="1"/>
      <c r="K1296" s="2">
        <v>0</v>
      </c>
      <c r="L1296" s="1">
        <v>17</v>
      </c>
      <c r="M1296" s="1">
        <v>17.5</v>
      </c>
      <c r="N1296" s="1">
        <v>18</v>
      </c>
      <c r="O1296" s="1">
        <v>19</v>
      </c>
    </row>
    <row r="1297" spans="1:15" x14ac:dyDescent="0.3">
      <c r="A1297" t="s">
        <v>297</v>
      </c>
      <c r="B1297" s="3" t="s">
        <v>2874</v>
      </c>
      <c r="C1297" t="s">
        <v>296</v>
      </c>
      <c r="D1297" s="9">
        <f>VLOOKUP(A1297,[2]Sheet1!$A:$C,3,0)</f>
        <v>71</v>
      </c>
      <c r="J1297" s="1"/>
      <c r="K1297" s="2">
        <v>0</v>
      </c>
      <c r="L1297" s="1">
        <v>13</v>
      </c>
      <c r="M1297" s="1">
        <v>13.5</v>
      </c>
      <c r="N1297" s="1">
        <v>14</v>
      </c>
      <c r="O1297" s="1">
        <v>15</v>
      </c>
    </row>
    <row r="1298" spans="1:15" x14ac:dyDescent="0.3">
      <c r="A1298" t="s">
        <v>295</v>
      </c>
      <c r="B1298" s="3" t="s">
        <v>2874</v>
      </c>
      <c r="C1298" t="s">
        <v>294</v>
      </c>
      <c r="D1298" s="9">
        <f>VLOOKUP(A1298,[2]Sheet1!$A:$C,3,0)</f>
        <v>73</v>
      </c>
      <c r="J1298" s="1"/>
      <c r="K1298" s="2">
        <v>0</v>
      </c>
      <c r="L1298" s="1">
        <v>34</v>
      </c>
      <c r="M1298" s="1">
        <v>35</v>
      </c>
      <c r="N1298" s="1">
        <v>36</v>
      </c>
      <c r="O1298" s="1">
        <v>38</v>
      </c>
    </row>
    <row r="1299" spans="1:15" x14ac:dyDescent="0.3">
      <c r="A1299" t="s">
        <v>293</v>
      </c>
      <c r="B1299" s="3" t="s">
        <v>2874</v>
      </c>
      <c r="C1299" t="s">
        <v>292</v>
      </c>
      <c r="D1299" s="9">
        <f>VLOOKUP(A1299,[2]Sheet1!$A:$C,3,0)</f>
        <v>65</v>
      </c>
      <c r="J1299" s="1"/>
      <c r="K1299" s="2">
        <v>0</v>
      </c>
      <c r="L1299" s="1">
        <v>45</v>
      </c>
      <c r="M1299" s="1">
        <v>46</v>
      </c>
      <c r="N1299" s="1">
        <v>48</v>
      </c>
      <c r="O1299" s="1">
        <v>50</v>
      </c>
    </row>
    <row r="1300" spans="1:15" x14ac:dyDescent="0.3">
      <c r="A1300" t="s">
        <v>291</v>
      </c>
      <c r="B1300" s="3" t="s">
        <v>2874</v>
      </c>
      <c r="C1300" t="s">
        <v>290</v>
      </c>
      <c r="D1300" s="9">
        <f>VLOOKUP(A1300,[2]Sheet1!$A:$C,3,0)</f>
        <v>72</v>
      </c>
      <c r="J1300" s="1"/>
      <c r="K1300" s="2">
        <v>0</v>
      </c>
      <c r="L1300" s="1">
        <v>9</v>
      </c>
      <c r="M1300" s="1">
        <v>9.5</v>
      </c>
      <c r="N1300" s="1">
        <v>10</v>
      </c>
      <c r="O1300" s="1">
        <v>11</v>
      </c>
    </row>
    <row r="1301" spans="1:15" x14ac:dyDescent="0.3">
      <c r="A1301" t="s">
        <v>289</v>
      </c>
      <c r="B1301" s="3" t="s">
        <v>2874</v>
      </c>
      <c r="C1301" t="s">
        <v>288</v>
      </c>
      <c r="D1301" s="9">
        <f>VLOOKUP(A1301,[2]Sheet1!$A:$C,3,0)</f>
        <v>75</v>
      </c>
      <c r="J1301" s="1"/>
      <c r="K1301" s="2">
        <v>0</v>
      </c>
      <c r="L1301" s="1">
        <v>9</v>
      </c>
      <c r="M1301" s="1">
        <v>9.5</v>
      </c>
      <c r="N1301" s="1">
        <v>10</v>
      </c>
      <c r="O1301" s="1">
        <v>11</v>
      </c>
    </row>
    <row r="1302" spans="1:15" x14ac:dyDescent="0.3">
      <c r="A1302" t="s">
        <v>287</v>
      </c>
      <c r="B1302" s="3" t="s">
        <v>2874</v>
      </c>
      <c r="C1302" t="s">
        <v>286</v>
      </c>
      <c r="D1302" s="9">
        <f>VLOOKUP(A1302,[2]Sheet1!$A:$C,3,0)</f>
        <v>74</v>
      </c>
      <c r="J1302" s="1"/>
      <c r="K1302" s="2">
        <v>0</v>
      </c>
      <c r="L1302" s="1">
        <v>8</v>
      </c>
      <c r="M1302" s="1">
        <v>8.5</v>
      </c>
      <c r="N1302" s="1">
        <v>9</v>
      </c>
      <c r="O1302" s="1">
        <v>10</v>
      </c>
    </row>
    <row r="1303" spans="1:15" x14ac:dyDescent="0.3">
      <c r="A1303" t="s">
        <v>285</v>
      </c>
      <c r="B1303" s="3" t="s">
        <v>2874</v>
      </c>
      <c r="C1303" t="s">
        <v>284</v>
      </c>
      <c r="D1303" s="9">
        <f>VLOOKUP(A1303,[2]Sheet1!$A:$C,3,0)</f>
        <v>75</v>
      </c>
      <c r="J1303" s="1"/>
      <c r="K1303" s="2">
        <v>0</v>
      </c>
      <c r="L1303" s="1">
        <v>10</v>
      </c>
      <c r="M1303" s="1">
        <v>10.5</v>
      </c>
      <c r="N1303" s="1">
        <v>11</v>
      </c>
      <c r="O1303" s="1">
        <v>12</v>
      </c>
    </row>
    <row r="1304" spans="1:15" x14ac:dyDescent="0.3">
      <c r="A1304" t="s">
        <v>283</v>
      </c>
      <c r="B1304" s="3" t="s">
        <v>2874</v>
      </c>
      <c r="C1304" t="s">
        <v>282</v>
      </c>
      <c r="D1304" s="9">
        <f>VLOOKUP(A1304,[2]Sheet1!$A:$C,3,0)</f>
        <v>85</v>
      </c>
      <c r="J1304" s="1"/>
      <c r="K1304" s="2">
        <v>0</v>
      </c>
      <c r="L1304" s="1">
        <v>10</v>
      </c>
      <c r="M1304" s="1">
        <v>10.5</v>
      </c>
      <c r="N1304" s="1">
        <v>11</v>
      </c>
      <c r="O1304" s="1">
        <v>12</v>
      </c>
    </row>
    <row r="1305" spans="1:15" x14ac:dyDescent="0.3">
      <c r="A1305" t="s">
        <v>281</v>
      </c>
      <c r="B1305" s="3" t="s">
        <v>2874</v>
      </c>
      <c r="C1305" t="s">
        <v>280</v>
      </c>
      <c r="D1305" s="9">
        <f>VLOOKUP(A1305,[2]Sheet1!$A:$C,3,0)</f>
        <v>56</v>
      </c>
      <c r="J1305" s="1"/>
      <c r="K1305" s="2">
        <v>0</v>
      </c>
      <c r="L1305" s="1">
        <v>9</v>
      </c>
      <c r="M1305" s="1">
        <v>9.5</v>
      </c>
      <c r="N1305" s="1">
        <v>10</v>
      </c>
      <c r="O1305" s="1">
        <v>11</v>
      </c>
    </row>
    <row r="1306" spans="1:15" x14ac:dyDescent="0.3">
      <c r="A1306" t="s">
        <v>279</v>
      </c>
      <c r="B1306" s="3" t="s">
        <v>2874</v>
      </c>
      <c r="C1306" t="s">
        <v>278</v>
      </c>
      <c r="D1306" s="9">
        <f>VLOOKUP(A1306,[2]Sheet1!$A:$C,3,0)</f>
        <v>80</v>
      </c>
      <c r="J1306" s="1"/>
      <c r="K1306" s="2">
        <v>0</v>
      </c>
      <c r="L1306" s="1">
        <v>9</v>
      </c>
      <c r="M1306" s="1">
        <v>9.5</v>
      </c>
      <c r="N1306" s="1">
        <v>10</v>
      </c>
      <c r="O1306" s="1">
        <v>11</v>
      </c>
    </row>
    <row r="1307" spans="1:15" x14ac:dyDescent="0.3">
      <c r="A1307" t="s">
        <v>277</v>
      </c>
      <c r="B1307" s="3" t="s">
        <v>2874</v>
      </c>
      <c r="C1307" t="s">
        <v>276</v>
      </c>
      <c r="D1307" s="9">
        <f>VLOOKUP(A1307,[2]Sheet1!$A:$C,3,0)</f>
        <v>71</v>
      </c>
      <c r="J1307" s="1"/>
      <c r="K1307" s="2">
        <v>0</v>
      </c>
      <c r="L1307" s="1">
        <v>11.5</v>
      </c>
      <c r="M1307" s="1">
        <v>12</v>
      </c>
      <c r="N1307" s="1">
        <v>12.5</v>
      </c>
      <c r="O1307" s="1">
        <v>13</v>
      </c>
    </row>
    <row r="1308" spans="1:15" x14ac:dyDescent="0.3">
      <c r="A1308" t="s">
        <v>275</v>
      </c>
      <c r="B1308" s="3" t="s">
        <v>2874</v>
      </c>
      <c r="C1308" t="s">
        <v>274</v>
      </c>
      <c r="D1308" s="9">
        <f>VLOOKUP(A1308,[2]Sheet1!$A:$C,3,0)</f>
        <v>82</v>
      </c>
      <c r="J1308" s="1"/>
      <c r="K1308" s="2">
        <v>0</v>
      </c>
      <c r="L1308" s="1">
        <v>11.5</v>
      </c>
      <c r="M1308" s="1">
        <v>12</v>
      </c>
      <c r="N1308" s="1">
        <v>12.5</v>
      </c>
      <c r="O1308" s="1">
        <v>13</v>
      </c>
    </row>
    <row r="1309" spans="1:15" x14ac:dyDescent="0.3">
      <c r="A1309" t="s">
        <v>273</v>
      </c>
      <c r="B1309" s="3" t="s">
        <v>2874</v>
      </c>
      <c r="C1309" t="s">
        <v>272</v>
      </c>
      <c r="D1309" s="9">
        <f>VLOOKUP(A1309,[2]Sheet1!$A:$C,3,0)</f>
        <v>42</v>
      </c>
      <c r="J1309" s="1"/>
      <c r="K1309" s="2">
        <v>0</v>
      </c>
      <c r="L1309" s="1">
        <v>10</v>
      </c>
      <c r="M1309" s="1">
        <v>10.5</v>
      </c>
      <c r="N1309" s="1">
        <v>11</v>
      </c>
      <c r="O1309" s="1">
        <v>12</v>
      </c>
    </row>
    <row r="1310" spans="1:15" x14ac:dyDescent="0.3">
      <c r="A1310" t="s">
        <v>271</v>
      </c>
      <c r="B1310" s="3" t="s">
        <v>2874</v>
      </c>
      <c r="C1310" t="s">
        <v>270</v>
      </c>
      <c r="D1310" s="9">
        <f>VLOOKUP(A1310,[2]Sheet1!$A:$C,3,0)</f>
        <v>109</v>
      </c>
      <c r="J1310" s="1"/>
      <c r="K1310" s="2">
        <v>0</v>
      </c>
      <c r="L1310" s="1">
        <v>10</v>
      </c>
      <c r="M1310" s="1">
        <v>10.5</v>
      </c>
      <c r="N1310" s="1">
        <v>11</v>
      </c>
      <c r="O1310" s="1">
        <v>12</v>
      </c>
    </row>
    <row r="1311" spans="1:15" x14ac:dyDescent="0.3">
      <c r="A1311" t="s">
        <v>269</v>
      </c>
      <c r="B1311" s="3" t="s">
        <v>2874</v>
      </c>
      <c r="C1311" t="s">
        <v>268</v>
      </c>
      <c r="D1311" s="9">
        <f>VLOOKUP(A1311,[2]Sheet1!$A:$C,3,0)</f>
        <v>140</v>
      </c>
      <c r="J1311" s="1"/>
      <c r="K1311" s="2">
        <v>0</v>
      </c>
      <c r="L1311" s="1">
        <v>13</v>
      </c>
      <c r="M1311" s="1">
        <v>13.5</v>
      </c>
      <c r="N1311" s="1">
        <v>14</v>
      </c>
      <c r="O1311" s="1">
        <v>15</v>
      </c>
    </row>
    <row r="1312" spans="1:15" x14ac:dyDescent="0.3">
      <c r="A1312" t="s">
        <v>267</v>
      </c>
      <c r="B1312" s="3" t="s">
        <v>2874</v>
      </c>
      <c r="C1312" t="s">
        <v>266</v>
      </c>
      <c r="D1312" s="9">
        <f>VLOOKUP(A1312,[2]Sheet1!$A:$C,3,0)</f>
        <v>154</v>
      </c>
      <c r="J1312" s="1"/>
      <c r="K1312" s="2">
        <v>0</v>
      </c>
      <c r="L1312" s="1">
        <v>13</v>
      </c>
      <c r="M1312" s="1">
        <v>13.5</v>
      </c>
      <c r="N1312" s="1">
        <v>14</v>
      </c>
      <c r="O1312" s="1">
        <v>15</v>
      </c>
    </row>
    <row r="1313" spans="1:15" x14ac:dyDescent="0.3">
      <c r="A1313" t="s">
        <v>265</v>
      </c>
      <c r="B1313" s="3" t="s">
        <v>2874</v>
      </c>
      <c r="C1313" t="s">
        <v>264</v>
      </c>
      <c r="D1313" s="9">
        <f>VLOOKUP(A1313,[2]Sheet1!$A:$C,3,0)</f>
        <v>127</v>
      </c>
      <c r="J1313" s="1"/>
      <c r="K1313" s="2">
        <v>0</v>
      </c>
      <c r="L1313" s="1">
        <v>11.5</v>
      </c>
      <c r="M1313" s="1">
        <v>12</v>
      </c>
      <c r="N1313" s="1">
        <v>12.5</v>
      </c>
      <c r="O1313" s="1">
        <v>13</v>
      </c>
    </row>
    <row r="1314" spans="1:15" x14ac:dyDescent="0.3">
      <c r="A1314" t="s">
        <v>263</v>
      </c>
      <c r="B1314" s="3" t="s">
        <v>2874</v>
      </c>
      <c r="C1314" t="s">
        <v>262</v>
      </c>
      <c r="D1314" s="9">
        <f>VLOOKUP(A1314,[2]Sheet1!$A:$C,3,0)</f>
        <v>76</v>
      </c>
      <c r="J1314" s="1"/>
      <c r="K1314" s="2">
        <v>0</v>
      </c>
      <c r="L1314" s="1">
        <v>11.5</v>
      </c>
      <c r="M1314" s="1">
        <v>12</v>
      </c>
      <c r="N1314" s="1">
        <v>12.5</v>
      </c>
      <c r="O1314" s="1">
        <v>13</v>
      </c>
    </row>
    <row r="1315" spans="1:15" x14ac:dyDescent="0.3">
      <c r="A1315" t="s">
        <v>259</v>
      </c>
      <c r="B1315" s="3" t="s">
        <v>2874</v>
      </c>
      <c r="C1315" t="s">
        <v>258</v>
      </c>
      <c r="D1315" s="9">
        <f>VLOOKUP(A1315,[2]Sheet1!$A:$C,3,0)</f>
        <v>25</v>
      </c>
      <c r="J1315" s="1"/>
      <c r="K1315" s="2">
        <v>0</v>
      </c>
      <c r="L1315" s="1">
        <v>62</v>
      </c>
      <c r="M1315" s="1">
        <v>65</v>
      </c>
      <c r="N1315" s="1">
        <v>68</v>
      </c>
      <c r="O1315" s="1">
        <v>70</v>
      </c>
    </row>
    <row r="1316" spans="1:15" x14ac:dyDescent="0.3">
      <c r="A1316" t="s">
        <v>319</v>
      </c>
      <c r="B1316" s="3" t="s">
        <v>2875</v>
      </c>
      <c r="C1316" t="s">
        <v>318</v>
      </c>
      <c r="D1316" s="9">
        <f>VLOOKUP(A1316,[2]Sheet1!$A:$C,3,0)</f>
        <v>70</v>
      </c>
      <c r="J1316" s="1"/>
      <c r="K1316" s="2">
        <v>0</v>
      </c>
      <c r="L1316" s="1">
        <v>11</v>
      </c>
      <c r="M1316" s="1">
        <v>12</v>
      </c>
      <c r="N1316" s="1">
        <v>12.5</v>
      </c>
      <c r="O1316" s="1">
        <v>13</v>
      </c>
    </row>
    <row r="1317" spans="1:15" x14ac:dyDescent="0.3">
      <c r="A1317" t="s">
        <v>317</v>
      </c>
      <c r="B1317" s="3" t="s">
        <v>2875</v>
      </c>
      <c r="C1317" t="s">
        <v>316</v>
      </c>
      <c r="D1317" s="9">
        <f>VLOOKUP(A1317,[2]Sheet1!$A:$C,3,0)</f>
        <v>19</v>
      </c>
      <c r="J1317" s="1"/>
      <c r="K1317" s="2">
        <v>0</v>
      </c>
      <c r="L1317" s="1">
        <v>105</v>
      </c>
      <c r="M1317" s="1">
        <v>110</v>
      </c>
      <c r="N1317" s="1">
        <v>115</v>
      </c>
      <c r="O1317" s="1">
        <v>125</v>
      </c>
    </row>
    <row r="1318" spans="1:15" x14ac:dyDescent="0.3">
      <c r="A1318" t="s">
        <v>261</v>
      </c>
      <c r="B1318" s="3" t="s">
        <v>2875</v>
      </c>
      <c r="C1318" t="s">
        <v>260</v>
      </c>
      <c r="D1318" s="9">
        <f>VLOOKUP(A1318,[2]Sheet1!$A:$C,3,0)</f>
        <v>5</v>
      </c>
      <c r="J1318" s="1"/>
      <c r="K1318" s="2">
        <v>0</v>
      </c>
      <c r="L1318" s="1">
        <v>68</v>
      </c>
      <c r="M1318" s="1">
        <v>73</v>
      </c>
      <c r="N1318" s="1">
        <v>75</v>
      </c>
      <c r="O1318" s="1">
        <v>83</v>
      </c>
    </row>
    <row r="1319" spans="1:15" x14ac:dyDescent="0.3">
      <c r="A1319" t="s">
        <v>511</v>
      </c>
      <c r="B1319" s="3" t="s">
        <v>2875</v>
      </c>
      <c r="C1319" t="s">
        <v>510</v>
      </c>
      <c r="D1319" s="9">
        <f>VLOOKUP(A1319,[2]Sheet1!$A:$C,3,0)</f>
        <v>26</v>
      </c>
      <c r="J1319" s="1"/>
      <c r="K1319" s="2">
        <v>0</v>
      </c>
      <c r="L1319" s="1">
        <v>14</v>
      </c>
      <c r="M1319" s="1">
        <v>16</v>
      </c>
      <c r="N1319" s="1">
        <v>18</v>
      </c>
      <c r="O1319" s="1">
        <v>20</v>
      </c>
    </row>
    <row r="1320" spans="1:15" x14ac:dyDescent="0.3">
      <c r="A1320" t="s">
        <v>509</v>
      </c>
      <c r="B1320" s="3" t="s">
        <v>2875</v>
      </c>
      <c r="C1320" t="s">
        <v>508</v>
      </c>
      <c r="D1320" s="9">
        <f>VLOOKUP(A1320,[2]Sheet1!$A:$C,3,0)</f>
        <v>39</v>
      </c>
      <c r="J1320" s="1"/>
      <c r="K1320" s="2">
        <v>0</v>
      </c>
      <c r="L1320" s="1">
        <v>28</v>
      </c>
      <c r="M1320" s="1">
        <v>30</v>
      </c>
      <c r="N1320" s="1">
        <v>33</v>
      </c>
      <c r="O1320" s="1">
        <v>36</v>
      </c>
    </row>
    <row r="1321" spans="1:15" x14ac:dyDescent="0.3">
      <c r="A1321" t="s">
        <v>249</v>
      </c>
      <c r="B1321" s="3" t="s">
        <v>2876</v>
      </c>
      <c r="C1321" t="s">
        <v>248</v>
      </c>
      <c r="D1321" s="9">
        <f>VLOOKUP(A1321,[2]Sheet1!$A:$C,3,0)</f>
        <v>6</v>
      </c>
      <c r="J1321" s="1"/>
      <c r="K1321" s="2">
        <v>0</v>
      </c>
      <c r="L1321" s="1">
        <v>419</v>
      </c>
      <c r="M1321" s="1">
        <v>439</v>
      </c>
      <c r="N1321" s="1">
        <v>459</v>
      </c>
      <c r="O1321" s="1">
        <v>549</v>
      </c>
    </row>
    <row r="1322" spans="1:15" x14ac:dyDescent="0.3">
      <c r="A1322" t="s">
        <v>247</v>
      </c>
      <c r="B1322" s="3" t="s">
        <v>2876</v>
      </c>
      <c r="C1322" t="s">
        <v>246</v>
      </c>
      <c r="D1322" s="9">
        <f>VLOOKUP(A1322,[2]Sheet1!$A:$C,3,0)</f>
        <v>11</v>
      </c>
      <c r="J1322" s="1"/>
      <c r="K1322" s="2">
        <v>0</v>
      </c>
      <c r="L1322" s="1">
        <v>139</v>
      </c>
      <c r="M1322" s="1">
        <v>149</v>
      </c>
      <c r="N1322" s="1">
        <v>159</v>
      </c>
      <c r="O1322" s="1">
        <v>179</v>
      </c>
    </row>
    <row r="1323" spans="1:15" x14ac:dyDescent="0.3">
      <c r="A1323" t="s">
        <v>245</v>
      </c>
      <c r="B1323" s="3" t="s">
        <v>2876</v>
      </c>
      <c r="C1323" t="s">
        <v>244</v>
      </c>
      <c r="D1323" s="9">
        <f>VLOOKUP(A1323,[2]Sheet1!$A:$C,3,0)</f>
        <v>5</v>
      </c>
      <c r="J1323" s="1"/>
      <c r="K1323" s="2">
        <v>0</v>
      </c>
      <c r="L1323" s="1">
        <v>300</v>
      </c>
      <c r="M1323" s="1">
        <v>319</v>
      </c>
      <c r="N1323" s="1">
        <v>329</v>
      </c>
      <c r="O1323" s="1">
        <v>399</v>
      </c>
    </row>
    <row r="1324" spans="1:15" x14ac:dyDescent="0.3">
      <c r="A1324" t="s">
        <v>215</v>
      </c>
      <c r="B1324" s="3" t="s">
        <v>2876</v>
      </c>
      <c r="C1324" t="s">
        <v>214</v>
      </c>
      <c r="D1324" s="9">
        <f>VLOOKUP(A1324,[2]Sheet1!$A:$C,3,0)</f>
        <v>9</v>
      </c>
      <c r="J1324" s="1"/>
      <c r="K1324" s="2">
        <v>0</v>
      </c>
      <c r="L1324" s="1">
        <v>245</v>
      </c>
      <c r="M1324" s="1">
        <v>250</v>
      </c>
      <c r="N1324" s="1">
        <v>265</v>
      </c>
      <c r="O1324" s="1">
        <v>329</v>
      </c>
    </row>
    <row r="1325" spans="1:15" x14ac:dyDescent="0.3">
      <c r="A1325" t="s">
        <v>229</v>
      </c>
      <c r="B1325" s="3" t="s">
        <v>2877</v>
      </c>
      <c r="C1325" t="s">
        <v>228</v>
      </c>
      <c r="D1325" s="9">
        <f>VLOOKUP(A1325,[2]Sheet1!$A:$C,3,0)</f>
        <v>7</v>
      </c>
      <c r="J1325" s="1"/>
      <c r="K1325" s="1">
        <v>415</v>
      </c>
      <c r="L1325" s="1">
        <v>425</v>
      </c>
      <c r="M1325" s="1">
        <v>465</v>
      </c>
      <c r="N1325" s="1">
        <v>475</v>
      </c>
      <c r="O1325" s="1">
        <v>490</v>
      </c>
    </row>
    <row r="1326" spans="1:15" x14ac:dyDescent="0.3">
      <c r="A1326" t="s">
        <v>227</v>
      </c>
      <c r="B1326" s="3" t="s">
        <v>2877</v>
      </c>
      <c r="C1326" t="s">
        <v>226</v>
      </c>
      <c r="D1326" s="9">
        <f>VLOOKUP(A1326,[2]Sheet1!$A:$C,3,0)</f>
        <v>156</v>
      </c>
      <c r="J1326" s="1"/>
      <c r="K1326" s="1">
        <v>180</v>
      </c>
      <c r="L1326" s="1">
        <v>185</v>
      </c>
      <c r="M1326" s="1">
        <v>190</v>
      </c>
      <c r="N1326" s="1">
        <v>195</v>
      </c>
      <c r="O1326" s="1">
        <v>200</v>
      </c>
    </row>
    <row r="1327" spans="1:15" x14ac:dyDescent="0.3">
      <c r="A1327" t="s">
        <v>217</v>
      </c>
      <c r="B1327" s="3" t="s">
        <v>2877</v>
      </c>
      <c r="C1327" t="s">
        <v>216</v>
      </c>
      <c r="D1327" s="9">
        <f>VLOOKUP(A1327,[2]Sheet1!$A:$C,3,0)</f>
        <v>143</v>
      </c>
      <c r="J1327" s="1"/>
      <c r="K1327" s="1">
        <v>180</v>
      </c>
      <c r="L1327" s="1">
        <v>185</v>
      </c>
      <c r="M1327" s="1">
        <v>190</v>
      </c>
      <c r="N1327" s="1">
        <v>195</v>
      </c>
      <c r="O1327" s="1">
        <v>200</v>
      </c>
    </row>
    <row r="1328" spans="1:15" x14ac:dyDescent="0.3">
      <c r="A1328" t="s">
        <v>255</v>
      </c>
      <c r="B1328" s="3" t="s">
        <v>2878</v>
      </c>
      <c r="C1328" t="s">
        <v>254</v>
      </c>
      <c r="D1328" s="9">
        <f>VLOOKUP(A1328,[2]Sheet1!$A:$C,3,0)</f>
        <v>135</v>
      </c>
      <c r="J1328" s="1"/>
      <c r="K1328" s="2">
        <v>0</v>
      </c>
      <c r="L1328" s="1">
        <v>135</v>
      </c>
      <c r="M1328" s="1">
        <v>145</v>
      </c>
      <c r="N1328" s="1">
        <v>150</v>
      </c>
      <c r="O1328" s="1">
        <v>169</v>
      </c>
    </row>
    <row r="1329" spans="1:16" x14ac:dyDescent="0.3">
      <c r="A1329" t="s">
        <v>251</v>
      </c>
      <c r="B1329" s="3" t="s">
        <v>2878</v>
      </c>
      <c r="C1329" t="s">
        <v>250</v>
      </c>
      <c r="D1329" s="9">
        <f>VLOOKUP(A1329,[2]Sheet1!$A:$C,3,0)</f>
        <v>115</v>
      </c>
      <c r="J1329" s="1"/>
      <c r="K1329" s="2">
        <v>0</v>
      </c>
      <c r="L1329" s="1">
        <v>95</v>
      </c>
      <c r="M1329" s="1">
        <v>100</v>
      </c>
      <c r="N1329" s="1">
        <v>110</v>
      </c>
      <c r="O1329" s="1">
        <v>120</v>
      </c>
    </row>
    <row r="1330" spans="1:16" x14ac:dyDescent="0.3">
      <c r="A1330" t="s">
        <v>213</v>
      </c>
      <c r="B1330" s="3" t="s">
        <v>2879</v>
      </c>
      <c r="C1330" t="s">
        <v>212</v>
      </c>
      <c r="D1330" s="9">
        <f>VLOOKUP(A1330,[2]Sheet1!$A:$C,3,0)</f>
        <v>1</v>
      </c>
      <c r="J1330" s="1"/>
      <c r="K1330" s="1">
        <v>285</v>
      </c>
      <c r="L1330" s="1">
        <v>295</v>
      </c>
      <c r="M1330" s="1">
        <v>300</v>
      </c>
      <c r="N1330" s="1">
        <v>320</v>
      </c>
      <c r="O1330" s="1">
        <v>345</v>
      </c>
    </row>
    <row r="1331" spans="1:16" x14ac:dyDescent="0.3">
      <c r="A1331" t="s">
        <v>2815</v>
      </c>
      <c r="B1331" s="3" t="s">
        <v>2880</v>
      </c>
      <c r="C1331" t="s">
        <v>2816</v>
      </c>
      <c r="D1331" s="9">
        <f>VLOOKUP(A1331,[2]Sheet1!$A:$C,3,0)</f>
        <v>4</v>
      </c>
      <c r="J1331" s="1"/>
      <c r="K1331" s="1">
        <v>945</v>
      </c>
      <c r="L1331" s="1">
        <v>985</v>
      </c>
      <c r="M1331" s="1">
        <v>1025</v>
      </c>
      <c r="N1331" s="1">
        <v>1050</v>
      </c>
      <c r="O1331" s="1">
        <v>1100</v>
      </c>
      <c r="P1331" t="e">
        <v>#N/A</v>
      </c>
    </row>
    <row r="1332" spans="1:16" x14ac:dyDescent="0.3">
      <c r="A1332" t="s">
        <v>2736</v>
      </c>
      <c r="B1332" s="3" t="s">
        <v>2880</v>
      </c>
      <c r="C1332" t="s">
        <v>2737</v>
      </c>
      <c r="D1332" s="9">
        <f>VLOOKUP(A1332,[2]Sheet1!$A:$C,3,0)</f>
        <v>1</v>
      </c>
      <c r="J1332" s="1"/>
      <c r="K1332" s="1">
        <v>1200</v>
      </c>
      <c r="L1332" s="1">
        <v>1250</v>
      </c>
      <c r="M1332" s="1">
        <v>1300</v>
      </c>
      <c r="N1332" s="1">
        <v>1350</v>
      </c>
      <c r="O1332" s="1">
        <v>1400</v>
      </c>
    </row>
    <row r="1333" spans="1:16" x14ac:dyDescent="0.3">
      <c r="A1333" t="s">
        <v>2738</v>
      </c>
      <c r="B1333" s="3" t="s">
        <v>2880</v>
      </c>
      <c r="C1333" t="s">
        <v>2739</v>
      </c>
      <c r="D1333" s="9">
        <f>VLOOKUP(A1333,[2]Sheet1!$A:$C,3,0)</f>
        <v>5</v>
      </c>
      <c r="J1333" s="1"/>
      <c r="K1333" s="1">
        <v>1650</v>
      </c>
      <c r="L1333" s="1">
        <v>1700</v>
      </c>
      <c r="M1333" s="1">
        <v>1800</v>
      </c>
      <c r="N1333" s="1">
        <v>1850</v>
      </c>
      <c r="O1333" s="1">
        <v>1950</v>
      </c>
    </row>
    <row r="1334" spans="1:16" x14ac:dyDescent="0.3">
      <c r="A1334" t="s">
        <v>257</v>
      </c>
      <c r="B1334" s="3" t="s">
        <v>2880</v>
      </c>
      <c r="C1334" t="s">
        <v>256</v>
      </c>
      <c r="D1334" s="9">
        <f>VLOOKUP(A1334,[2]Sheet1!$A:$C,3,0)</f>
        <v>708</v>
      </c>
      <c r="J1334" s="1"/>
      <c r="K1334" s="1">
        <v>18.5</v>
      </c>
      <c r="L1334" s="1">
        <v>19</v>
      </c>
      <c r="M1334" s="1">
        <v>20</v>
      </c>
      <c r="N1334" s="1">
        <v>21</v>
      </c>
      <c r="O1334" s="1">
        <v>23</v>
      </c>
    </row>
    <row r="1335" spans="1:16" x14ac:dyDescent="0.3">
      <c r="A1335" t="s">
        <v>253</v>
      </c>
      <c r="B1335" s="3" t="s">
        <v>2880</v>
      </c>
      <c r="C1335" t="s">
        <v>252</v>
      </c>
      <c r="D1335" s="9">
        <f>VLOOKUP(A1335,[2]Sheet1!$A:$C,3,0)</f>
        <v>2</v>
      </c>
      <c r="J1335" s="1"/>
      <c r="K1335" s="1">
        <v>22</v>
      </c>
      <c r="L1335" s="1">
        <v>22.5</v>
      </c>
      <c r="M1335" s="1">
        <v>23</v>
      </c>
      <c r="N1335" s="1">
        <v>24.5</v>
      </c>
      <c r="O1335" s="1">
        <v>25</v>
      </c>
    </row>
    <row r="1336" spans="1:16" x14ac:dyDescent="0.3">
      <c r="A1336" t="s">
        <v>243</v>
      </c>
      <c r="B1336" s="3" t="s">
        <v>2881</v>
      </c>
      <c r="C1336" t="s">
        <v>242</v>
      </c>
      <c r="D1336" s="9">
        <f>VLOOKUP(A1336,[2]Sheet1!$A:$C,3,0)</f>
        <v>15</v>
      </c>
      <c r="J1336" s="1"/>
      <c r="K1336" s="2">
        <v>0</v>
      </c>
      <c r="L1336" s="1">
        <v>50</v>
      </c>
      <c r="M1336" s="1">
        <v>55</v>
      </c>
      <c r="N1336" s="1">
        <v>60</v>
      </c>
      <c r="O1336" s="1">
        <v>65</v>
      </c>
    </row>
    <row r="1337" spans="1:16" x14ac:dyDescent="0.3">
      <c r="A1337" t="s">
        <v>241</v>
      </c>
      <c r="B1337" s="3" t="s">
        <v>2882</v>
      </c>
      <c r="C1337" t="s">
        <v>240</v>
      </c>
      <c r="D1337" s="9">
        <f>VLOOKUP(A1337,[2]Sheet1!$A:$C,3,0)</f>
        <v>551</v>
      </c>
      <c r="J1337" s="1"/>
      <c r="K1337" s="2">
        <v>0</v>
      </c>
      <c r="L1337" s="1">
        <v>55</v>
      </c>
      <c r="M1337" s="1">
        <v>60</v>
      </c>
      <c r="N1337" s="1">
        <v>65</v>
      </c>
      <c r="O1337" s="1">
        <v>70</v>
      </c>
      <c r="P1337" t="s">
        <v>2798</v>
      </c>
    </row>
    <row r="1338" spans="1:16" x14ac:dyDescent="0.3">
      <c r="A1338" t="s">
        <v>239</v>
      </c>
      <c r="B1338" s="3" t="s">
        <v>2883</v>
      </c>
      <c r="C1338" t="s">
        <v>238</v>
      </c>
      <c r="D1338" s="9">
        <f>VLOOKUP(A1338,[2]Sheet1!$A:$C,3,0)</f>
        <v>0</v>
      </c>
      <c r="J1338" s="1"/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6" x14ac:dyDescent="0.3">
      <c r="A1339" t="s">
        <v>237</v>
      </c>
      <c r="B1339" s="3" t="s">
        <v>2883</v>
      </c>
      <c r="C1339" t="s">
        <v>236</v>
      </c>
      <c r="D1339" s="9">
        <f>VLOOKUP(A1339,[2]Sheet1!$A:$C,3,0)</f>
        <v>661</v>
      </c>
      <c r="J1339" s="1"/>
      <c r="K1339" s="2">
        <v>0</v>
      </c>
      <c r="L1339" s="1">
        <v>140</v>
      </c>
      <c r="M1339" s="1">
        <v>145</v>
      </c>
      <c r="N1339" s="1">
        <v>150</v>
      </c>
      <c r="O1339" s="1">
        <v>160</v>
      </c>
    </row>
    <row r="1340" spans="1:16" x14ac:dyDescent="0.3">
      <c r="A1340" t="s">
        <v>235</v>
      </c>
      <c r="B1340" s="3" t="s">
        <v>2884</v>
      </c>
      <c r="C1340" t="s">
        <v>234</v>
      </c>
      <c r="D1340" s="9">
        <f>VLOOKUP(A1340,[2]Sheet1!$A:$C,3,0)</f>
        <v>136</v>
      </c>
      <c r="J1340" s="1"/>
      <c r="K1340" s="2">
        <v>0</v>
      </c>
      <c r="L1340" s="1">
        <v>275</v>
      </c>
      <c r="M1340" s="1">
        <v>280</v>
      </c>
      <c r="N1340" s="1">
        <v>290</v>
      </c>
      <c r="O1340" s="1">
        <v>335</v>
      </c>
    </row>
    <row r="1341" spans="1:16" x14ac:dyDescent="0.3">
      <c r="A1341" t="s">
        <v>225</v>
      </c>
      <c r="B1341" s="3" t="s">
        <v>2885</v>
      </c>
      <c r="C1341" t="s">
        <v>224</v>
      </c>
      <c r="D1341" s="9">
        <f>VLOOKUP(A1341,[2]Sheet1!$A:$C,3,0)</f>
        <v>0</v>
      </c>
      <c r="J1341" s="1"/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6" x14ac:dyDescent="0.3">
      <c r="A1342" s="9" t="s">
        <v>233</v>
      </c>
      <c r="B1342" s="10" t="s">
        <v>2885</v>
      </c>
      <c r="C1342" s="9" t="s">
        <v>232</v>
      </c>
      <c r="D1342" s="9">
        <f>VLOOKUP(A1342,[2]Sheet1!$A:$C,3,0)</f>
        <v>22</v>
      </c>
      <c r="E1342" s="10">
        <v>0</v>
      </c>
      <c r="F1342" s="10"/>
      <c r="G1342" s="28">
        <v>0</v>
      </c>
      <c r="H1342" s="10">
        <v>0</v>
      </c>
      <c r="I1342" s="13">
        <v>0</v>
      </c>
      <c r="J1342" s="10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9"/>
    </row>
    <row r="1343" spans="1:16" x14ac:dyDescent="0.3">
      <c r="A1343" t="s">
        <v>223</v>
      </c>
      <c r="B1343" s="3" t="s">
        <v>2885</v>
      </c>
      <c r="C1343" t="s">
        <v>222</v>
      </c>
      <c r="D1343" s="9">
        <f>VLOOKUP(A1343,[2]Sheet1!$A:$C,3,0)</f>
        <v>328</v>
      </c>
      <c r="J1343" s="1"/>
      <c r="K1343" s="2">
        <v>0</v>
      </c>
      <c r="L1343" s="1">
        <v>3</v>
      </c>
      <c r="M1343" s="1">
        <v>5</v>
      </c>
      <c r="N1343" s="1">
        <v>6</v>
      </c>
      <c r="O1343" s="1">
        <v>8</v>
      </c>
    </row>
    <row r="1344" spans="1:16" x14ac:dyDescent="0.3">
      <c r="A1344" t="s">
        <v>221</v>
      </c>
      <c r="B1344" s="3" t="s">
        <v>2885</v>
      </c>
      <c r="C1344" t="s">
        <v>220</v>
      </c>
      <c r="D1344" s="9">
        <f>VLOOKUP(A1344,[2]Sheet1!$A:$C,3,0)</f>
        <v>0</v>
      </c>
      <c r="J1344" s="1"/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6" x14ac:dyDescent="0.3">
      <c r="A1345" t="s">
        <v>219</v>
      </c>
      <c r="B1345" s="3" t="s">
        <v>2885</v>
      </c>
      <c r="C1345" t="s">
        <v>218</v>
      </c>
      <c r="D1345" s="9">
        <f>VLOOKUP(A1345,[2]Sheet1!$A:$C,3,0)</f>
        <v>384</v>
      </c>
      <c r="J1345" s="1"/>
      <c r="K1345" s="2">
        <v>0</v>
      </c>
      <c r="L1345" s="1">
        <v>13</v>
      </c>
      <c r="M1345" s="1">
        <v>15</v>
      </c>
      <c r="N1345" s="1">
        <v>18</v>
      </c>
      <c r="O1345" s="1">
        <v>20</v>
      </c>
    </row>
    <row r="1346" spans="1:16" x14ac:dyDescent="0.3">
      <c r="A1346" t="s">
        <v>231</v>
      </c>
      <c r="B1346" s="3" t="s">
        <v>2885</v>
      </c>
      <c r="C1346" t="s">
        <v>230</v>
      </c>
      <c r="D1346" s="9">
        <f>VLOOKUP(A1346,[2]Sheet1!$A:$C,3,0)</f>
        <v>2</v>
      </c>
      <c r="J1346" s="1"/>
      <c r="K1346" s="2">
        <v>0</v>
      </c>
      <c r="L1346" s="1">
        <v>340</v>
      </c>
      <c r="M1346" s="1">
        <v>350</v>
      </c>
      <c r="N1346" s="1">
        <v>375</v>
      </c>
      <c r="O1346" s="1">
        <v>400</v>
      </c>
    </row>
    <row r="1347" spans="1:16" x14ac:dyDescent="0.3">
      <c r="A1347" t="s">
        <v>2740</v>
      </c>
      <c r="B1347" s="3" t="s">
        <v>2885</v>
      </c>
      <c r="C1347" t="s">
        <v>2741</v>
      </c>
      <c r="D1347" s="9">
        <f>VLOOKUP(A1347,[2]Sheet1!$A:$C,3,0)</f>
        <v>3</v>
      </c>
      <c r="J1347" s="1"/>
      <c r="K1347" s="1">
        <v>265</v>
      </c>
      <c r="L1347" s="1">
        <v>275</v>
      </c>
      <c r="M1347" s="1">
        <v>285</v>
      </c>
      <c r="N1347" s="1">
        <v>300</v>
      </c>
      <c r="O1347" s="1">
        <v>350</v>
      </c>
    </row>
    <row r="1348" spans="1:16" x14ac:dyDescent="0.3">
      <c r="A1348" t="s">
        <v>2742</v>
      </c>
      <c r="B1348" s="3" t="s">
        <v>2885</v>
      </c>
      <c r="C1348" t="s">
        <v>2743</v>
      </c>
      <c r="D1348" s="9">
        <f>VLOOKUP(A1348,[2]Sheet1!$A:$C,3,0)</f>
        <v>3</v>
      </c>
      <c r="J1348" s="1"/>
      <c r="K1348" s="1">
        <v>265</v>
      </c>
      <c r="L1348" s="1">
        <v>275</v>
      </c>
      <c r="M1348" s="1">
        <v>285</v>
      </c>
      <c r="N1348" s="1">
        <v>300</v>
      </c>
      <c r="O1348" s="1">
        <v>350</v>
      </c>
    </row>
    <row r="1349" spans="1:16" x14ac:dyDescent="0.3">
      <c r="A1349" s="9" t="s">
        <v>203</v>
      </c>
      <c r="B1349" s="10" t="s">
        <v>2886</v>
      </c>
      <c r="C1349" s="9" t="s">
        <v>202</v>
      </c>
      <c r="D1349" s="9">
        <f>VLOOKUP(A1349,[2]Sheet1!$A:$C,3,0)</f>
        <v>30</v>
      </c>
      <c r="E1349" s="10">
        <v>0</v>
      </c>
      <c r="F1349" s="10"/>
      <c r="G1349" s="28">
        <v>0</v>
      </c>
      <c r="H1349" s="10">
        <v>0</v>
      </c>
      <c r="I1349" s="13">
        <v>0</v>
      </c>
      <c r="J1349" s="10">
        <v>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9"/>
    </row>
    <row r="1350" spans="1:16" x14ac:dyDescent="0.3">
      <c r="A1350" t="s">
        <v>153</v>
      </c>
      <c r="B1350" s="3" t="s">
        <v>2886</v>
      </c>
      <c r="C1350" t="s">
        <v>152</v>
      </c>
      <c r="D1350" s="9">
        <f>VLOOKUP(A1350,[2]Sheet1!$A:$C,3,0)</f>
        <v>180</v>
      </c>
      <c r="J1350" s="1"/>
      <c r="K1350" s="2">
        <v>0</v>
      </c>
      <c r="L1350" s="1">
        <v>235</v>
      </c>
      <c r="M1350" s="1">
        <v>245</v>
      </c>
      <c r="N1350" s="1">
        <v>250</v>
      </c>
      <c r="O1350" s="1">
        <v>265</v>
      </c>
    </row>
    <row r="1351" spans="1:16" x14ac:dyDescent="0.3">
      <c r="A1351" t="s">
        <v>151</v>
      </c>
      <c r="B1351" s="3" t="s">
        <v>2886</v>
      </c>
      <c r="C1351" t="s">
        <v>150</v>
      </c>
      <c r="D1351" s="9">
        <f>VLOOKUP(A1351,[2]Sheet1!$A:$C,3,0)</f>
        <v>31</v>
      </c>
      <c r="J1351" s="1"/>
      <c r="K1351" s="2">
        <v>0</v>
      </c>
      <c r="L1351" s="1">
        <v>460</v>
      </c>
      <c r="M1351" s="1">
        <v>475</v>
      </c>
      <c r="N1351" s="1">
        <v>485</v>
      </c>
      <c r="O1351" s="1">
        <v>515</v>
      </c>
    </row>
    <row r="1352" spans="1:16" x14ac:dyDescent="0.3">
      <c r="A1352" t="s">
        <v>149</v>
      </c>
      <c r="B1352" s="3" t="s">
        <v>2886</v>
      </c>
      <c r="C1352" t="s">
        <v>148</v>
      </c>
      <c r="D1352" s="9">
        <f>VLOOKUP(A1352,[2]Sheet1!$A:$C,3,0)</f>
        <v>49</v>
      </c>
      <c r="J1352" s="1"/>
      <c r="K1352" s="2">
        <v>0</v>
      </c>
      <c r="L1352" s="1">
        <v>395</v>
      </c>
      <c r="M1352" s="1">
        <v>415</v>
      </c>
      <c r="N1352" s="1">
        <v>425</v>
      </c>
      <c r="O1352" s="1">
        <v>450</v>
      </c>
    </row>
    <row r="1353" spans="1:16" x14ac:dyDescent="0.3">
      <c r="A1353" t="s">
        <v>147</v>
      </c>
      <c r="B1353" s="3" t="s">
        <v>2886</v>
      </c>
      <c r="C1353" t="s">
        <v>146</v>
      </c>
      <c r="D1353" s="9">
        <f>VLOOKUP(A1353,[2]Sheet1!$A:$C,3,0)</f>
        <v>11</v>
      </c>
      <c r="J1353" s="1"/>
      <c r="K1353" s="2">
        <v>0</v>
      </c>
      <c r="L1353" s="1">
        <v>90</v>
      </c>
      <c r="M1353" s="1">
        <v>95</v>
      </c>
      <c r="N1353" s="1">
        <v>100</v>
      </c>
      <c r="O1353" s="1">
        <v>115</v>
      </c>
    </row>
    <row r="1354" spans="1:16" x14ac:dyDescent="0.3">
      <c r="A1354" t="s">
        <v>145</v>
      </c>
      <c r="B1354" s="3" t="s">
        <v>2886</v>
      </c>
      <c r="C1354" t="s">
        <v>144</v>
      </c>
      <c r="D1354" s="9">
        <f>VLOOKUP(A1354,[2]Sheet1!$A:$C,3,0)</f>
        <v>23</v>
      </c>
      <c r="J1354" s="1"/>
      <c r="K1354" s="2">
        <v>0</v>
      </c>
      <c r="L1354" s="1">
        <v>170</v>
      </c>
      <c r="M1354" s="1">
        <v>180</v>
      </c>
      <c r="N1354" s="1">
        <v>190</v>
      </c>
      <c r="O1354" s="1">
        <v>200</v>
      </c>
    </row>
    <row r="1355" spans="1:16" x14ac:dyDescent="0.3">
      <c r="A1355" t="s">
        <v>143</v>
      </c>
      <c r="B1355" s="3" t="s">
        <v>2886</v>
      </c>
      <c r="C1355" t="s">
        <v>142</v>
      </c>
      <c r="D1355" s="9">
        <f>VLOOKUP(A1355,[2]Sheet1!$A:$C,3,0)</f>
        <v>21</v>
      </c>
      <c r="J1355" s="1"/>
      <c r="K1355" s="2">
        <v>0</v>
      </c>
      <c r="L1355" s="1">
        <v>155</v>
      </c>
      <c r="M1355" s="1">
        <v>160</v>
      </c>
      <c r="N1355" s="1">
        <v>165</v>
      </c>
      <c r="O1355" s="1">
        <v>175</v>
      </c>
    </row>
    <row r="1356" spans="1:16" x14ac:dyDescent="0.3">
      <c r="A1356" t="s">
        <v>141</v>
      </c>
      <c r="B1356" s="3" t="s">
        <v>2886</v>
      </c>
      <c r="C1356" t="s">
        <v>140</v>
      </c>
      <c r="D1356" s="9">
        <f>VLOOKUP(A1356,[2]Sheet1!$A:$C,3,0)</f>
        <v>50</v>
      </c>
      <c r="J1356" s="1"/>
      <c r="K1356" s="2">
        <v>0</v>
      </c>
      <c r="L1356" s="1">
        <v>250</v>
      </c>
      <c r="M1356" s="1">
        <v>265</v>
      </c>
      <c r="N1356" s="1">
        <v>285</v>
      </c>
      <c r="O1356" s="1">
        <v>300</v>
      </c>
    </row>
    <row r="1357" spans="1:16" x14ac:dyDescent="0.3">
      <c r="A1357" t="s">
        <v>139</v>
      </c>
      <c r="B1357" s="3" t="s">
        <v>2886</v>
      </c>
      <c r="C1357" t="s">
        <v>138</v>
      </c>
      <c r="D1357" s="9">
        <f>VLOOKUP(A1357,[2]Sheet1!$A:$C,3,0)</f>
        <v>54</v>
      </c>
      <c r="J1357" s="1"/>
      <c r="K1357" s="2">
        <v>0</v>
      </c>
      <c r="L1357" s="1">
        <v>65</v>
      </c>
      <c r="M1357" s="1">
        <v>70</v>
      </c>
      <c r="N1357" s="1">
        <v>75</v>
      </c>
      <c r="O1357" s="1">
        <v>80</v>
      </c>
    </row>
    <row r="1358" spans="1:16" x14ac:dyDescent="0.3">
      <c r="A1358" t="s">
        <v>137</v>
      </c>
      <c r="B1358" s="3" t="s">
        <v>2886</v>
      </c>
      <c r="C1358" t="s">
        <v>136</v>
      </c>
      <c r="D1358" s="9">
        <f>VLOOKUP(A1358,[2]Sheet1!$A:$C,3,0)</f>
        <v>48</v>
      </c>
      <c r="J1358" s="1"/>
      <c r="K1358" s="2">
        <v>0</v>
      </c>
      <c r="L1358" s="1">
        <v>65</v>
      </c>
      <c r="M1358" s="1">
        <v>70</v>
      </c>
      <c r="N1358" s="1">
        <v>75</v>
      </c>
      <c r="O1358" s="1">
        <v>80</v>
      </c>
    </row>
    <row r="1359" spans="1:16" x14ac:dyDescent="0.3">
      <c r="A1359" t="s">
        <v>125</v>
      </c>
      <c r="B1359" s="3" t="s">
        <v>2886</v>
      </c>
      <c r="C1359" t="s">
        <v>124</v>
      </c>
      <c r="D1359" s="9">
        <f>VLOOKUP(A1359,[2]Sheet1!$A:$C,3,0)</f>
        <v>18</v>
      </c>
      <c r="J1359" s="1"/>
      <c r="K1359" s="2">
        <v>0</v>
      </c>
      <c r="L1359" s="1">
        <v>235</v>
      </c>
      <c r="M1359" s="1">
        <v>245</v>
      </c>
      <c r="N1359" s="1">
        <v>250</v>
      </c>
      <c r="O1359" s="1">
        <v>265</v>
      </c>
    </row>
    <row r="1360" spans="1:16" x14ac:dyDescent="0.3">
      <c r="A1360" t="s">
        <v>123</v>
      </c>
      <c r="B1360" s="3" t="s">
        <v>2886</v>
      </c>
      <c r="C1360" t="s">
        <v>122</v>
      </c>
      <c r="D1360" s="9">
        <f>VLOOKUP(A1360,[2]Sheet1!$A:$C,3,0)</f>
        <v>10</v>
      </c>
      <c r="J1360" s="1"/>
      <c r="K1360" s="2">
        <v>0</v>
      </c>
      <c r="L1360" s="1">
        <v>460</v>
      </c>
      <c r="M1360" s="1">
        <v>475</v>
      </c>
      <c r="N1360" s="1">
        <v>485</v>
      </c>
      <c r="O1360" s="1">
        <v>515</v>
      </c>
    </row>
    <row r="1361" spans="1:15" x14ac:dyDescent="0.3">
      <c r="A1361" t="s">
        <v>121</v>
      </c>
      <c r="B1361" s="3" t="s">
        <v>2886</v>
      </c>
      <c r="C1361" t="s">
        <v>120</v>
      </c>
      <c r="D1361" s="9">
        <f>VLOOKUP(A1361,[2]Sheet1!$A:$C,3,0)</f>
        <v>13</v>
      </c>
      <c r="J1361" s="1"/>
      <c r="K1361" s="2">
        <v>0</v>
      </c>
      <c r="L1361" s="1">
        <v>395</v>
      </c>
      <c r="M1361" s="1">
        <v>415</v>
      </c>
      <c r="N1361" s="1">
        <v>425</v>
      </c>
      <c r="O1361" s="1">
        <v>450</v>
      </c>
    </row>
    <row r="1362" spans="1:15" x14ac:dyDescent="0.3">
      <c r="A1362" t="s">
        <v>119</v>
      </c>
      <c r="B1362" s="3" t="s">
        <v>2886</v>
      </c>
      <c r="C1362" t="s">
        <v>118</v>
      </c>
      <c r="D1362" s="9">
        <f>VLOOKUP(A1362,[2]Sheet1!$A:$C,3,0)</f>
        <v>1</v>
      </c>
      <c r="J1362" s="1"/>
      <c r="K1362" s="2">
        <v>0</v>
      </c>
      <c r="L1362" s="1">
        <v>170</v>
      </c>
      <c r="M1362" s="1">
        <v>180</v>
      </c>
      <c r="N1362" s="1">
        <v>190</v>
      </c>
      <c r="O1362" s="1">
        <v>200</v>
      </c>
    </row>
    <row r="1363" spans="1:15" x14ac:dyDescent="0.3">
      <c r="A1363" t="s">
        <v>117</v>
      </c>
      <c r="B1363" s="3" t="s">
        <v>2886</v>
      </c>
      <c r="C1363" t="s">
        <v>116</v>
      </c>
      <c r="D1363" s="9">
        <f>VLOOKUP(A1363,[2]Sheet1!$A:$C,3,0)</f>
        <v>36</v>
      </c>
      <c r="J1363" s="1"/>
      <c r="K1363" s="2">
        <v>0</v>
      </c>
      <c r="L1363" s="1">
        <v>90</v>
      </c>
      <c r="M1363" s="1">
        <v>95</v>
      </c>
      <c r="N1363" s="1">
        <v>100</v>
      </c>
      <c r="O1363" s="1">
        <v>115</v>
      </c>
    </row>
    <row r="1364" spans="1:15" x14ac:dyDescent="0.3">
      <c r="A1364" t="s">
        <v>115</v>
      </c>
      <c r="B1364" s="3" t="s">
        <v>2886</v>
      </c>
      <c r="C1364" t="s">
        <v>114</v>
      </c>
      <c r="D1364" s="9">
        <f>VLOOKUP(A1364,[2]Sheet1!$A:$C,3,0)</f>
        <v>5</v>
      </c>
      <c r="J1364" s="1"/>
      <c r="K1364" s="2">
        <v>0</v>
      </c>
      <c r="L1364" s="1">
        <v>155</v>
      </c>
      <c r="M1364" s="1">
        <v>160</v>
      </c>
      <c r="N1364" s="1">
        <v>165</v>
      </c>
      <c r="O1364" s="1">
        <v>175</v>
      </c>
    </row>
    <row r="1365" spans="1:15" x14ac:dyDescent="0.3">
      <c r="A1365" t="s">
        <v>113</v>
      </c>
      <c r="B1365" s="3" t="s">
        <v>2886</v>
      </c>
      <c r="C1365" t="s">
        <v>112</v>
      </c>
      <c r="D1365" s="9">
        <f>VLOOKUP(A1365,[2]Sheet1!$A:$C,3,0)</f>
        <v>0</v>
      </c>
      <c r="J1365" s="1"/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 x14ac:dyDescent="0.3">
      <c r="A1366" t="s">
        <v>201</v>
      </c>
      <c r="B1366" s="3" t="s">
        <v>2886</v>
      </c>
      <c r="C1366" t="s">
        <v>200</v>
      </c>
      <c r="D1366" s="9">
        <f>VLOOKUP(A1366,[2]Sheet1!$A:$C,3,0)</f>
        <v>89</v>
      </c>
      <c r="J1366" s="1"/>
      <c r="K1366" s="2">
        <v>0</v>
      </c>
      <c r="L1366" s="1">
        <v>455</v>
      </c>
      <c r="M1366" s="1">
        <v>465</v>
      </c>
      <c r="N1366" s="1">
        <v>485</v>
      </c>
      <c r="O1366" s="1">
        <v>510</v>
      </c>
    </row>
    <row r="1367" spans="1:15" x14ac:dyDescent="0.3">
      <c r="A1367" t="s">
        <v>135</v>
      </c>
      <c r="B1367" s="3" t="s">
        <v>2886</v>
      </c>
      <c r="C1367" t="s">
        <v>134</v>
      </c>
      <c r="D1367" s="9">
        <f>VLOOKUP(A1367,[2]Sheet1!$A:$C,3,0)</f>
        <v>36</v>
      </c>
      <c r="J1367" s="1"/>
      <c r="K1367" s="2">
        <v>0</v>
      </c>
      <c r="L1367" s="1">
        <v>135</v>
      </c>
      <c r="M1367" s="1">
        <v>140</v>
      </c>
      <c r="N1367" s="1">
        <v>145</v>
      </c>
      <c r="O1367" s="1">
        <v>150</v>
      </c>
    </row>
    <row r="1368" spans="1:15" x14ac:dyDescent="0.3">
      <c r="A1368" t="s">
        <v>133</v>
      </c>
      <c r="B1368" s="3" t="s">
        <v>2886</v>
      </c>
      <c r="C1368" t="s">
        <v>132</v>
      </c>
      <c r="D1368" s="9">
        <f>VLOOKUP(A1368,[2]Sheet1!$A:$C,3,0)</f>
        <v>6</v>
      </c>
      <c r="J1368" s="1"/>
      <c r="K1368" s="2">
        <v>0</v>
      </c>
      <c r="L1368" s="1">
        <v>185</v>
      </c>
      <c r="M1368" s="1">
        <v>190</v>
      </c>
      <c r="N1368" s="1">
        <v>195</v>
      </c>
      <c r="O1368" s="1">
        <v>210</v>
      </c>
    </row>
    <row r="1369" spans="1:15" x14ac:dyDescent="0.3">
      <c r="A1369" t="s">
        <v>111</v>
      </c>
      <c r="B1369" s="3" t="s">
        <v>2886</v>
      </c>
      <c r="C1369" t="s">
        <v>110</v>
      </c>
      <c r="D1369" s="9">
        <f>VLOOKUP(A1369,[2]Sheet1!$A:$C,3,0)</f>
        <v>11</v>
      </c>
      <c r="J1369" s="1"/>
      <c r="K1369" s="2">
        <v>0</v>
      </c>
      <c r="L1369" s="1">
        <v>135</v>
      </c>
      <c r="M1369" s="1">
        <v>140</v>
      </c>
      <c r="N1369" s="1">
        <v>145</v>
      </c>
      <c r="O1369" s="1">
        <v>150</v>
      </c>
    </row>
    <row r="1370" spans="1:15" x14ac:dyDescent="0.3">
      <c r="A1370" t="s">
        <v>109</v>
      </c>
      <c r="B1370" s="3" t="s">
        <v>2886</v>
      </c>
      <c r="C1370" t="s">
        <v>108</v>
      </c>
      <c r="D1370" s="9">
        <f>VLOOKUP(A1370,[2]Sheet1!$A:$C,3,0)</f>
        <v>12</v>
      </c>
      <c r="J1370" s="1"/>
      <c r="K1370" s="2">
        <v>0</v>
      </c>
      <c r="L1370" s="1">
        <v>185</v>
      </c>
      <c r="M1370" s="1">
        <v>190</v>
      </c>
      <c r="N1370" s="1">
        <v>195</v>
      </c>
      <c r="O1370" s="1">
        <v>210</v>
      </c>
    </row>
    <row r="1371" spans="1:15" x14ac:dyDescent="0.3">
      <c r="A1371" t="s">
        <v>199</v>
      </c>
      <c r="B1371" s="3" t="s">
        <v>2886</v>
      </c>
      <c r="C1371" t="s">
        <v>198</v>
      </c>
      <c r="D1371" s="9">
        <f>VLOOKUP(A1371,[2]Sheet1!$A:$C,3,0)</f>
        <v>88</v>
      </c>
      <c r="J1371" s="1"/>
      <c r="K1371" s="2">
        <v>0</v>
      </c>
      <c r="L1371" s="1">
        <v>390</v>
      </c>
      <c r="M1371" s="1">
        <v>400</v>
      </c>
      <c r="N1371" s="1">
        <v>415</v>
      </c>
      <c r="O1371" s="1">
        <v>450</v>
      </c>
    </row>
    <row r="1372" spans="1:15" x14ac:dyDescent="0.3">
      <c r="A1372" t="s">
        <v>197</v>
      </c>
      <c r="B1372" s="3" t="s">
        <v>2886</v>
      </c>
      <c r="C1372" t="s">
        <v>196</v>
      </c>
      <c r="D1372" s="9">
        <f>VLOOKUP(A1372,[2]Sheet1!$A:$C,3,0)</f>
        <v>73</v>
      </c>
      <c r="J1372" s="1"/>
      <c r="K1372" s="2">
        <v>0</v>
      </c>
      <c r="L1372" s="1">
        <v>95</v>
      </c>
      <c r="M1372" s="1">
        <v>100</v>
      </c>
      <c r="N1372" s="1">
        <v>105</v>
      </c>
      <c r="O1372" s="1">
        <v>110</v>
      </c>
    </row>
    <row r="1373" spans="1:15" x14ac:dyDescent="0.3">
      <c r="A1373" t="s">
        <v>195</v>
      </c>
      <c r="B1373" s="3" t="s">
        <v>2886</v>
      </c>
      <c r="C1373" t="s">
        <v>194</v>
      </c>
      <c r="D1373" s="9">
        <f>VLOOKUP(A1373,[2]Sheet1!$A:$C,3,0)</f>
        <v>33</v>
      </c>
      <c r="J1373" s="1"/>
      <c r="K1373" s="2">
        <v>0</v>
      </c>
      <c r="L1373" s="1">
        <v>200</v>
      </c>
      <c r="M1373" s="1">
        <v>205</v>
      </c>
      <c r="N1373" s="1">
        <v>215</v>
      </c>
      <c r="O1373" s="1">
        <v>225</v>
      </c>
    </row>
    <row r="1374" spans="1:15" x14ac:dyDescent="0.3">
      <c r="A1374" t="s">
        <v>193</v>
      </c>
      <c r="B1374" s="3" t="s">
        <v>2886</v>
      </c>
      <c r="C1374" t="s">
        <v>192</v>
      </c>
      <c r="D1374" s="9">
        <f>VLOOKUP(A1374,[2]Sheet1!$A:$C,3,0)</f>
        <v>32</v>
      </c>
      <c r="J1374" s="1"/>
      <c r="K1374" s="2">
        <v>0</v>
      </c>
      <c r="L1374" s="1">
        <v>340</v>
      </c>
      <c r="M1374" s="1">
        <v>350</v>
      </c>
      <c r="N1374" s="1">
        <v>360</v>
      </c>
      <c r="O1374" s="1">
        <v>385</v>
      </c>
    </row>
    <row r="1375" spans="1:15" x14ac:dyDescent="0.3">
      <c r="A1375" t="s">
        <v>131</v>
      </c>
      <c r="B1375" s="3" t="s">
        <v>2886</v>
      </c>
      <c r="C1375" t="s">
        <v>130</v>
      </c>
      <c r="D1375" s="9">
        <f>VLOOKUP(A1375,[2]Sheet1!$A:$C,3,0)</f>
        <v>120</v>
      </c>
      <c r="J1375" s="1"/>
      <c r="K1375" s="2">
        <v>0</v>
      </c>
      <c r="L1375" s="1">
        <v>95</v>
      </c>
      <c r="M1375" s="1">
        <v>100</v>
      </c>
      <c r="N1375" s="1">
        <v>105</v>
      </c>
      <c r="O1375" s="1">
        <v>115</v>
      </c>
    </row>
    <row r="1376" spans="1:15" x14ac:dyDescent="0.3">
      <c r="A1376" t="s">
        <v>129</v>
      </c>
      <c r="B1376" s="3" t="s">
        <v>2886</v>
      </c>
      <c r="C1376" t="s">
        <v>128</v>
      </c>
      <c r="D1376" s="9">
        <f>VLOOKUP(A1376,[2]Sheet1!$A:$C,3,0)</f>
        <v>75</v>
      </c>
      <c r="J1376" s="1"/>
      <c r="K1376" s="2">
        <v>0</v>
      </c>
      <c r="L1376" s="1">
        <v>335</v>
      </c>
      <c r="M1376" s="1">
        <v>350</v>
      </c>
      <c r="N1376" s="1">
        <v>365</v>
      </c>
      <c r="O1376" s="1">
        <v>375</v>
      </c>
    </row>
    <row r="1377" spans="1:16" x14ac:dyDescent="0.3">
      <c r="A1377" t="s">
        <v>127</v>
      </c>
      <c r="B1377" s="3" t="s">
        <v>2886</v>
      </c>
      <c r="C1377" t="s">
        <v>126</v>
      </c>
      <c r="D1377" s="9">
        <f>VLOOKUP(A1377,[2]Sheet1!$A:$C,3,0)</f>
        <v>18</v>
      </c>
      <c r="J1377" s="1"/>
      <c r="K1377" s="2">
        <v>0</v>
      </c>
      <c r="L1377" s="1">
        <v>335</v>
      </c>
      <c r="M1377" s="1">
        <v>350</v>
      </c>
      <c r="N1377" s="1">
        <v>365</v>
      </c>
      <c r="O1377" s="1">
        <v>375</v>
      </c>
    </row>
    <row r="1378" spans="1:16" x14ac:dyDescent="0.3">
      <c r="A1378" t="s">
        <v>107</v>
      </c>
      <c r="B1378" s="3" t="s">
        <v>2886</v>
      </c>
      <c r="C1378" t="s">
        <v>106</v>
      </c>
      <c r="D1378" s="9">
        <f>VLOOKUP(A1378,[2]Sheet1!$A:$C,3,0)</f>
        <v>34</v>
      </c>
      <c r="J1378" s="1"/>
      <c r="K1378" s="2">
        <v>0</v>
      </c>
      <c r="L1378" s="1">
        <v>95</v>
      </c>
      <c r="M1378" s="1">
        <v>100</v>
      </c>
      <c r="N1378" s="1">
        <v>105</v>
      </c>
      <c r="O1378" s="1">
        <v>115</v>
      </c>
    </row>
    <row r="1379" spans="1:16" x14ac:dyDescent="0.3">
      <c r="A1379" t="s">
        <v>105</v>
      </c>
      <c r="B1379" s="3" t="s">
        <v>2886</v>
      </c>
      <c r="C1379" t="s">
        <v>104</v>
      </c>
      <c r="D1379" s="9">
        <f>VLOOKUP(A1379,[2]Sheet1!$A:$C,3,0)</f>
        <v>46</v>
      </c>
      <c r="J1379" s="1"/>
      <c r="K1379" s="2">
        <v>0</v>
      </c>
      <c r="L1379" s="1">
        <v>335</v>
      </c>
      <c r="M1379" s="1">
        <v>350</v>
      </c>
      <c r="N1379" s="1">
        <v>365</v>
      </c>
      <c r="O1379" s="1">
        <v>375</v>
      </c>
    </row>
    <row r="1380" spans="1:16" x14ac:dyDescent="0.3">
      <c r="A1380" t="s">
        <v>103</v>
      </c>
      <c r="B1380" s="3" t="s">
        <v>2886</v>
      </c>
      <c r="C1380" t="s">
        <v>102</v>
      </c>
      <c r="D1380" s="9">
        <f>VLOOKUP(A1380,[2]Sheet1!$A:$C,3,0)</f>
        <v>25</v>
      </c>
      <c r="J1380" s="1"/>
      <c r="K1380" s="2">
        <v>0</v>
      </c>
      <c r="L1380" s="1">
        <v>335</v>
      </c>
      <c r="M1380" s="1">
        <v>350</v>
      </c>
      <c r="N1380" s="1">
        <v>365</v>
      </c>
      <c r="O1380" s="1">
        <v>375</v>
      </c>
    </row>
    <row r="1381" spans="1:16" x14ac:dyDescent="0.3">
      <c r="A1381" s="9" t="s">
        <v>191</v>
      </c>
      <c r="B1381" s="10" t="s">
        <v>2886</v>
      </c>
      <c r="C1381" s="9" t="s">
        <v>190</v>
      </c>
      <c r="D1381" s="9">
        <f>VLOOKUP(A1381,[2]Sheet1!$A:$C,3,0)</f>
        <v>0</v>
      </c>
      <c r="E1381" s="10">
        <v>0</v>
      </c>
      <c r="F1381" s="10"/>
      <c r="G1381" s="28">
        <v>0</v>
      </c>
      <c r="H1381" s="10">
        <v>0</v>
      </c>
      <c r="I1381" s="13">
        <v>0</v>
      </c>
      <c r="J1381" s="10">
        <v>0</v>
      </c>
      <c r="K1381" s="12">
        <v>0</v>
      </c>
      <c r="L1381" s="12">
        <v>0</v>
      </c>
      <c r="M1381" s="12">
        <v>0</v>
      </c>
      <c r="N1381" s="12">
        <v>0</v>
      </c>
      <c r="O1381" s="12">
        <v>0</v>
      </c>
      <c r="P1381" s="9"/>
    </row>
    <row r="1382" spans="1:16" x14ac:dyDescent="0.3">
      <c r="A1382" t="s">
        <v>189</v>
      </c>
      <c r="B1382" s="3" t="s">
        <v>2886</v>
      </c>
      <c r="C1382" t="s">
        <v>188</v>
      </c>
      <c r="D1382" s="9">
        <f>VLOOKUP(A1382,[2]Sheet1!$A:$C,3,0)</f>
        <v>171</v>
      </c>
      <c r="J1382" s="1"/>
      <c r="K1382" s="2">
        <v>0</v>
      </c>
      <c r="L1382" s="1">
        <v>80</v>
      </c>
      <c r="M1382" s="1">
        <v>85</v>
      </c>
      <c r="N1382" s="1">
        <v>90</v>
      </c>
      <c r="O1382" s="1">
        <v>95</v>
      </c>
    </row>
    <row r="1383" spans="1:16" x14ac:dyDescent="0.3">
      <c r="A1383" t="s">
        <v>187</v>
      </c>
      <c r="B1383" s="3" t="s">
        <v>2886</v>
      </c>
      <c r="C1383" t="s">
        <v>186</v>
      </c>
      <c r="D1383" s="9">
        <f>VLOOKUP(A1383,[2]Sheet1!$A:$C,3,0)</f>
        <v>188</v>
      </c>
      <c r="J1383" s="1"/>
      <c r="K1383" s="2">
        <v>0</v>
      </c>
      <c r="L1383" s="1">
        <v>45</v>
      </c>
      <c r="M1383" s="1">
        <v>50</v>
      </c>
      <c r="N1383" s="1">
        <v>55</v>
      </c>
      <c r="O1383" s="1">
        <v>60</v>
      </c>
    </row>
    <row r="1384" spans="1:16" x14ac:dyDescent="0.3">
      <c r="A1384" t="s">
        <v>185</v>
      </c>
      <c r="B1384" s="3" t="s">
        <v>2886</v>
      </c>
      <c r="C1384" t="s">
        <v>184</v>
      </c>
      <c r="D1384" s="9">
        <f>VLOOKUP(A1384,[2]Sheet1!$A:$C,3,0)</f>
        <v>324</v>
      </c>
      <c r="J1384" s="1"/>
      <c r="K1384" s="2">
        <v>0</v>
      </c>
      <c r="L1384" s="1">
        <v>60</v>
      </c>
      <c r="M1384" s="1">
        <v>65</v>
      </c>
      <c r="N1384" s="1">
        <v>70</v>
      </c>
      <c r="O1384" s="1">
        <v>75</v>
      </c>
    </row>
    <row r="1385" spans="1:16" x14ac:dyDescent="0.3">
      <c r="A1385" t="s">
        <v>183</v>
      </c>
      <c r="B1385" s="3" t="s">
        <v>2886</v>
      </c>
      <c r="C1385" t="s">
        <v>182</v>
      </c>
      <c r="D1385" s="9">
        <f>VLOOKUP(A1385,[2]Sheet1!$A:$C,3,0)</f>
        <v>85</v>
      </c>
      <c r="J1385" s="1"/>
      <c r="K1385" s="2">
        <v>0</v>
      </c>
      <c r="L1385" s="1">
        <v>23</v>
      </c>
      <c r="M1385" s="1">
        <v>25</v>
      </c>
      <c r="N1385" s="1">
        <v>30</v>
      </c>
      <c r="O1385" s="1">
        <v>35</v>
      </c>
    </row>
    <row r="1386" spans="1:16" x14ac:dyDescent="0.3">
      <c r="A1386" t="s">
        <v>181</v>
      </c>
      <c r="B1386" s="3" t="s">
        <v>2886</v>
      </c>
      <c r="C1386" t="s">
        <v>180</v>
      </c>
      <c r="D1386" s="9">
        <f>VLOOKUP(A1386,[2]Sheet1!$A:$C,3,0)</f>
        <v>11</v>
      </c>
      <c r="J1386" s="1"/>
      <c r="K1386" s="2">
        <v>0</v>
      </c>
      <c r="L1386" s="1">
        <v>275</v>
      </c>
      <c r="M1386" s="1">
        <v>285</v>
      </c>
      <c r="N1386" s="1">
        <v>300</v>
      </c>
      <c r="O1386" s="1">
        <v>315</v>
      </c>
    </row>
    <row r="1387" spans="1:16" x14ac:dyDescent="0.3">
      <c r="A1387" t="s">
        <v>179</v>
      </c>
      <c r="B1387" s="3" t="s">
        <v>2886</v>
      </c>
      <c r="C1387" t="s">
        <v>178</v>
      </c>
      <c r="D1387" s="9">
        <f>VLOOKUP(A1387,[2]Sheet1!$A:$C,3,0)</f>
        <v>33</v>
      </c>
      <c r="J1387" s="1"/>
      <c r="K1387" s="2">
        <v>0</v>
      </c>
      <c r="L1387" s="1">
        <v>600</v>
      </c>
      <c r="M1387" s="1">
        <v>625</v>
      </c>
      <c r="N1387" s="1">
        <v>645</v>
      </c>
      <c r="O1387" s="1">
        <v>675</v>
      </c>
    </row>
    <row r="1388" spans="1:16" x14ac:dyDescent="0.3">
      <c r="A1388" t="s">
        <v>177</v>
      </c>
      <c r="B1388" s="3" t="s">
        <v>2886</v>
      </c>
      <c r="C1388" t="s">
        <v>176</v>
      </c>
      <c r="D1388" s="9">
        <f>VLOOKUP(A1388,[2]Sheet1!$A:$C,3,0)</f>
        <v>279</v>
      </c>
      <c r="J1388" s="1"/>
      <c r="K1388" s="2">
        <v>0</v>
      </c>
      <c r="L1388" s="1">
        <v>38</v>
      </c>
      <c r="M1388" s="1">
        <v>40</v>
      </c>
      <c r="N1388" s="1">
        <v>42</v>
      </c>
      <c r="O1388" s="1">
        <v>45</v>
      </c>
    </row>
    <row r="1389" spans="1:16" x14ac:dyDescent="0.3">
      <c r="A1389" t="s">
        <v>175</v>
      </c>
      <c r="B1389" s="3" t="s">
        <v>2886</v>
      </c>
      <c r="C1389" t="s">
        <v>174</v>
      </c>
      <c r="D1389" s="9">
        <f>VLOOKUP(A1389,[2]Sheet1!$A:$C,3,0)</f>
        <v>130</v>
      </c>
      <c r="J1389" s="1"/>
      <c r="K1389" s="2">
        <v>0</v>
      </c>
      <c r="L1389" s="1">
        <v>63</v>
      </c>
      <c r="M1389" s="1">
        <v>65</v>
      </c>
      <c r="N1389" s="1">
        <v>70</v>
      </c>
      <c r="O1389" s="1">
        <v>75</v>
      </c>
    </row>
    <row r="1390" spans="1:16" x14ac:dyDescent="0.3">
      <c r="A1390" t="s">
        <v>173</v>
      </c>
      <c r="B1390" s="3" t="s">
        <v>2886</v>
      </c>
      <c r="C1390" t="s">
        <v>172</v>
      </c>
      <c r="D1390" s="9">
        <f>VLOOKUP(A1390,[2]Sheet1!$A:$C,3,0)</f>
        <v>258</v>
      </c>
      <c r="J1390" s="1"/>
      <c r="K1390" s="2">
        <v>0</v>
      </c>
      <c r="L1390" s="1">
        <v>38</v>
      </c>
      <c r="M1390" s="1">
        <v>40</v>
      </c>
      <c r="N1390" s="1">
        <v>42</v>
      </c>
      <c r="O1390" s="1">
        <v>45</v>
      </c>
    </row>
    <row r="1391" spans="1:16" x14ac:dyDescent="0.3">
      <c r="A1391" t="s">
        <v>171</v>
      </c>
      <c r="B1391" s="3" t="s">
        <v>2886</v>
      </c>
      <c r="C1391" t="s">
        <v>170</v>
      </c>
      <c r="D1391" s="9">
        <f>VLOOKUP(A1391,[2]Sheet1!$A:$C,3,0)</f>
        <v>10</v>
      </c>
      <c r="J1391" s="1"/>
      <c r="K1391" s="2">
        <v>0</v>
      </c>
      <c r="L1391" s="1">
        <v>25</v>
      </c>
      <c r="M1391" s="1">
        <v>28</v>
      </c>
      <c r="N1391" s="1">
        <v>30</v>
      </c>
      <c r="O1391" s="1">
        <v>32</v>
      </c>
    </row>
    <row r="1392" spans="1:16" x14ac:dyDescent="0.3">
      <c r="A1392" t="s">
        <v>169</v>
      </c>
      <c r="B1392" s="3" t="s">
        <v>2886</v>
      </c>
      <c r="C1392" t="s">
        <v>168</v>
      </c>
      <c r="D1392" s="9">
        <f>VLOOKUP(A1392,[2]Sheet1!$A:$C,3,0)</f>
        <v>169</v>
      </c>
      <c r="J1392" s="1"/>
      <c r="K1392" s="2">
        <v>0</v>
      </c>
      <c r="L1392" s="1">
        <v>20</v>
      </c>
      <c r="M1392" s="1">
        <v>23</v>
      </c>
      <c r="N1392" s="1">
        <v>28</v>
      </c>
      <c r="O1392" s="1">
        <v>30</v>
      </c>
    </row>
    <row r="1393" spans="1:16" x14ac:dyDescent="0.3">
      <c r="A1393" t="s">
        <v>167</v>
      </c>
      <c r="B1393" s="3" t="s">
        <v>2887</v>
      </c>
      <c r="C1393" t="s">
        <v>166</v>
      </c>
      <c r="D1393" s="9">
        <f>VLOOKUP(A1393,[2]Sheet1!$A:$C,3,0)</f>
        <v>0</v>
      </c>
      <c r="J1393" s="1"/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6" x14ac:dyDescent="0.3">
      <c r="A1394" t="s">
        <v>165</v>
      </c>
      <c r="B1394" s="3" t="s">
        <v>2887</v>
      </c>
      <c r="C1394" t="s">
        <v>164</v>
      </c>
      <c r="D1394" s="9">
        <f>VLOOKUP(A1394,[2]Sheet1!$A:$C,3,0)</f>
        <v>0</v>
      </c>
      <c r="J1394" s="1"/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6" x14ac:dyDescent="0.3">
      <c r="A1395" t="s">
        <v>163</v>
      </c>
      <c r="B1395" s="3" t="s">
        <v>2887</v>
      </c>
      <c r="C1395" t="s">
        <v>162</v>
      </c>
      <c r="D1395" s="9">
        <f>VLOOKUP(A1395,[2]Sheet1!$A:$C,3,0)</f>
        <v>0</v>
      </c>
      <c r="J1395" s="1"/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6" x14ac:dyDescent="0.3">
      <c r="A1396" t="s">
        <v>211</v>
      </c>
      <c r="B1396" s="3" t="s">
        <v>2888</v>
      </c>
      <c r="C1396" t="s">
        <v>210</v>
      </c>
      <c r="D1396" s="9">
        <f>VLOOKUP(A1396,[2]Sheet1!$A:$C,3,0)</f>
        <v>2</v>
      </c>
      <c r="J1396" s="1"/>
      <c r="K1396" s="1">
        <v>785</v>
      </c>
      <c r="L1396" s="1">
        <v>800</v>
      </c>
      <c r="M1396" s="1">
        <v>825</v>
      </c>
      <c r="N1396" s="1">
        <v>850</v>
      </c>
      <c r="O1396" s="1">
        <v>900</v>
      </c>
    </row>
    <row r="1397" spans="1:16" x14ac:dyDescent="0.3">
      <c r="A1397" t="s">
        <v>209</v>
      </c>
      <c r="B1397" s="3" t="s">
        <v>2888</v>
      </c>
      <c r="C1397" t="s">
        <v>208</v>
      </c>
      <c r="D1397" s="9">
        <f>VLOOKUP(A1397,[2]Sheet1!$A:$C,3,0)</f>
        <v>4</v>
      </c>
      <c r="J1397" s="1"/>
      <c r="K1397" s="1">
        <v>800</v>
      </c>
      <c r="L1397" s="1">
        <v>815</v>
      </c>
      <c r="M1397" s="1">
        <v>850</v>
      </c>
      <c r="N1397" s="1">
        <v>900</v>
      </c>
      <c r="O1397" s="1">
        <v>950</v>
      </c>
    </row>
    <row r="1398" spans="1:16" x14ac:dyDescent="0.3">
      <c r="A1398" t="s">
        <v>207</v>
      </c>
      <c r="B1398" s="3" t="s">
        <v>2888</v>
      </c>
      <c r="C1398" t="s">
        <v>206</v>
      </c>
      <c r="D1398" s="9">
        <f>VLOOKUP(A1398,[2]Sheet1!$A:$C,3,0)</f>
        <v>3</v>
      </c>
      <c r="J1398" s="1"/>
      <c r="K1398" s="1">
        <v>1190</v>
      </c>
      <c r="L1398" s="1">
        <v>1225</v>
      </c>
      <c r="M1398" s="1">
        <v>1265</v>
      </c>
      <c r="N1398" s="1">
        <v>1350</v>
      </c>
      <c r="O1398" s="1">
        <v>1400</v>
      </c>
    </row>
    <row r="1399" spans="1:16" x14ac:dyDescent="0.3">
      <c r="A1399" t="s">
        <v>205</v>
      </c>
      <c r="B1399" s="3" t="s">
        <v>2888</v>
      </c>
      <c r="C1399" t="s">
        <v>204</v>
      </c>
      <c r="D1399" s="9">
        <f>VLOOKUP(A1399,[2]Sheet1!$A:$C,3,0)</f>
        <v>1</v>
      </c>
      <c r="J1399" s="1"/>
      <c r="K1399" s="1">
        <v>1425</v>
      </c>
      <c r="L1399" s="1">
        <v>1450</v>
      </c>
      <c r="M1399" s="1">
        <v>1500</v>
      </c>
      <c r="N1399" s="1">
        <v>1550</v>
      </c>
      <c r="O1399" s="1">
        <v>1600</v>
      </c>
    </row>
    <row r="1400" spans="1:16" x14ac:dyDescent="0.3">
      <c r="A1400" t="s">
        <v>161</v>
      </c>
      <c r="B1400" s="3" t="s">
        <v>2889</v>
      </c>
      <c r="C1400" t="s">
        <v>160</v>
      </c>
      <c r="D1400" s="9">
        <f>VLOOKUP(A1400,[2]Sheet1!$A:$C,3,0)</f>
        <v>1080</v>
      </c>
      <c r="J1400" s="1"/>
      <c r="K1400" s="2">
        <v>0</v>
      </c>
      <c r="L1400" s="1">
        <v>52</v>
      </c>
      <c r="M1400" s="1">
        <v>53</v>
      </c>
      <c r="N1400" s="1">
        <v>55</v>
      </c>
      <c r="O1400" s="1">
        <v>60</v>
      </c>
    </row>
    <row r="1401" spans="1:16" x14ac:dyDescent="0.3">
      <c r="A1401" t="s">
        <v>99</v>
      </c>
      <c r="B1401" s="3" t="s">
        <v>2890</v>
      </c>
      <c r="C1401" t="s">
        <v>98</v>
      </c>
      <c r="D1401" s="9">
        <f>VLOOKUP(A1401,[2]Sheet1!$A:$C,3,0)</f>
        <v>15</v>
      </c>
      <c r="J1401" s="1"/>
      <c r="K1401" s="2">
        <v>0</v>
      </c>
      <c r="L1401" s="1">
        <v>56</v>
      </c>
      <c r="M1401" s="1">
        <v>58</v>
      </c>
      <c r="N1401" s="1">
        <v>60</v>
      </c>
      <c r="O1401" s="1">
        <v>63</v>
      </c>
    </row>
    <row r="1402" spans="1:16" x14ac:dyDescent="0.3">
      <c r="A1402" s="9" t="s">
        <v>159</v>
      </c>
      <c r="B1402" s="10" t="s">
        <v>2890</v>
      </c>
      <c r="C1402" s="9" t="s">
        <v>158</v>
      </c>
      <c r="D1402" s="9">
        <f>VLOOKUP(A1402,[2]Sheet1!$A:$C,3,0)</f>
        <v>0</v>
      </c>
      <c r="E1402" s="10">
        <v>0</v>
      </c>
      <c r="F1402" s="10"/>
      <c r="G1402" s="28">
        <v>0</v>
      </c>
      <c r="H1402" s="10">
        <v>0</v>
      </c>
      <c r="I1402" s="13">
        <v>0</v>
      </c>
      <c r="J1402" s="10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9"/>
    </row>
    <row r="1403" spans="1:16" x14ac:dyDescent="0.3">
      <c r="A1403" t="s">
        <v>157</v>
      </c>
      <c r="B1403" s="3" t="s">
        <v>2891</v>
      </c>
      <c r="C1403" t="s">
        <v>156</v>
      </c>
      <c r="D1403" s="9">
        <f>VLOOKUP(A1403,[2]Sheet1!$A:$C,3,0)</f>
        <v>2637</v>
      </c>
      <c r="J1403" s="1"/>
      <c r="K1403" s="1">
        <v>68</v>
      </c>
      <c r="L1403" s="1">
        <v>70</v>
      </c>
      <c r="M1403" s="1">
        <v>73</v>
      </c>
      <c r="N1403" s="1">
        <v>75</v>
      </c>
      <c r="O1403" s="1">
        <v>80</v>
      </c>
    </row>
    <row r="1404" spans="1:16" x14ac:dyDescent="0.3">
      <c r="A1404" t="s">
        <v>155</v>
      </c>
      <c r="B1404" s="3" t="s">
        <v>2892</v>
      </c>
      <c r="C1404" t="s">
        <v>154</v>
      </c>
      <c r="D1404" s="9">
        <f>VLOOKUP(A1404,[2]Sheet1!$A:$C,3,0)</f>
        <v>593</v>
      </c>
      <c r="J1404" s="1"/>
      <c r="K1404" s="2">
        <v>0</v>
      </c>
      <c r="L1404" s="1">
        <v>6.5</v>
      </c>
      <c r="M1404" s="1">
        <v>6.75</v>
      </c>
      <c r="N1404" s="1">
        <v>7</v>
      </c>
      <c r="O1404" s="1">
        <v>8</v>
      </c>
      <c r="P1404" t="s">
        <v>2778</v>
      </c>
    </row>
    <row r="1405" spans="1:16" x14ac:dyDescent="0.3">
      <c r="A1405" t="s">
        <v>101</v>
      </c>
      <c r="B1405" s="3" t="s">
        <v>2893</v>
      </c>
      <c r="C1405" t="s">
        <v>100</v>
      </c>
      <c r="D1405" s="9">
        <f>VLOOKUP(A1405,[2]Sheet1!$A:$C,3,0)</f>
        <v>499</v>
      </c>
      <c r="J1405" s="1"/>
      <c r="K1405" s="2">
        <v>0</v>
      </c>
      <c r="L1405" s="1">
        <v>6.5</v>
      </c>
      <c r="M1405" s="1">
        <v>6.75</v>
      </c>
      <c r="N1405" s="1">
        <v>7</v>
      </c>
      <c r="O1405" s="1">
        <v>8</v>
      </c>
      <c r="P1405" t="s">
        <v>2778</v>
      </c>
    </row>
    <row r="1406" spans="1:16" x14ac:dyDescent="0.3">
      <c r="A1406" t="s">
        <v>95</v>
      </c>
      <c r="B1406" s="3" t="s">
        <v>2894</v>
      </c>
      <c r="C1406" t="s">
        <v>94</v>
      </c>
      <c r="D1406" s="9">
        <f>VLOOKUP(A1406,[2]Sheet1!$A:$C,3,0)</f>
        <v>16</v>
      </c>
      <c r="J1406" s="1"/>
      <c r="K1406" s="2">
        <v>0</v>
      </c>
      <c r="L1406" s="1">
        <v>87</v>
      </c>
      <c r="M1406" s="1">
        <v>90</v>
      </c>
      <c r="N1406" s="1">
        <v>95</v>
      </c>
      <c r="O1406" s="1">
        <v>100</v>
      </c>
    </row>
    <row r="1407" spans="1:16" x14ac:dyDescent="0.3">
      <c r="A1407" t="s">
        <v>93</v>
      </c>
      <c r="B1407" s="3" t="s">
        <v>2894</v>
      </c>
      <c r="C1407" t="s">
        <v>92</v>
      </c>
      <c r="D1407" s="9">
        <f>VLOOKUP(A1407,[2]Sheet1!$A:$C,3,0)</f>
        <v>42</v>
      </c>
      <c r="J1407" s="1"/>
      <c r="K1407" s="2">
        <v>0</v>
      </c>
      <c r="L1407" s="1">
        <v>180</v>
      </c>
      <c r="M1407" s="1">
        <v>185</v>
      </c>
      <c r="N1407" s="1">
        <v>190</v>
      </c>
      <c r="O1407" s="1">
        <v>200</v>
      </c>
    </row>
    <row r="1408" spans="1:16" ht="15" customHeight="1" x14ac:dyDescent="0.3">
      <c r="A1408" t="s">
        <v>47</v>
      </c>
      <c r="B1408" s="3" t="s">
        <v>2895</v>
      </c>
      <c r="C1408" t="s">
        <v>46</v>
      </c>
      <c r="D1408" s="9">
        <f>VLOOKUP(A1408,[2]Sheet1!$A:$C,3,0)</f>
        <v>13</v>
      </c>
      <c r="J1408" s="1"/>
      <c r="K1408" s="1">
        <v>95</v>
      </c>
      <c r="L1408" s="1">
        <v>100</v>
      </c>
      <c r="M1408" s="1">
        <v>105</v>
      </c>
      <c r="N1408" s="1">
        <v>110</v>
      </c>
      <c r="O1408" s="1">
        <v>115</v>
      </c>
    </row>
    <row r="1409" spans="1:16" x14ac:dyDescent="0.3">
      <c r="A1409" t="s">
        <v>45</v>
      </c>
      <c r="B1409" s="3" t="s">
        <v>2895</v>
      </c>
      <c r="C1409" t="s">
        <v>44</v>
      </c>
      <c r="D1409" s="9">
        <f>VLOOKUP(A1409,[2]Sheet1!$A:$C,3,0)</f>
        <v>5</v>
      </c>
      <c r="J1409" s="1"/>
      <c r="K1409" s="1">
        <v>228</v>
      </c>
      <c r="L1409" s="1">
        <v>230</v>
      </c>
      <c r="M1409" s="1">
        <v>235</v>
      </c>
      <c r="N1409" s="1">
        <v>240</v>
      </c>
      <c r="O1409" s="1">
        <v>245</v>
      </c>
    </row>
    <row r="1410" spans="1:16" x14ac:dyDescent="0.3">
      <c r="A1410" t="s">
        <v>97</v>
      </c>
      <c r="B1410" s="3" t="s">
        <v>2896</v>
      </c>
      <c r="C1410" t="s">
        <v>96</v>
      </c>
      <c r="D1410" s="9">
        <f>VLOOKUP(A1410,[2]Sheet1!$A:$C,3,0)</f>
        <v>4</v>
      </c>
      <c r="J1410" s="1"/>
      <c r="K1410" s="1">
        <v>1235</v>
      </c>
      <c r="L1410" s="1">
        <v>1250</v>
      </c>
      <c r="M1410" s="1">
        <v>1275</v>
      </c>
      <c r="N1410" s="1">
        <v>1285</v>
      </c>
      <c r="O1410" s="1">
        <v>1300</v>
      </c>
    </row>
    <row r="1411" spans="1:16" x14ac:dyDescent="0.3">
      <c r="A1411" t="s">
        <v>73</v>
      </c>
      <c r="B1411" s="3" t="s">
        <v>2897</v>
      </c>
      <c r="C1411" t="s">
        <v>72</v>
      </c>
      <c r="D1411" s="9">
        <f>VLOOKUP(A1411,[2]Sheet1!$A:$C,3,0)</f>
        <v>2</v>
      </c>
      <c r="J1411" s="1"/>
      <c r="K1411" s="1">
        <v>1800</v>
      </c>
      <c r="L1411" s="1">
        <v>1850</v>
      </c>
      <c r="M1411" s="1">
        <v>1900</v>
      </c>
      <c r="N1411" s="1">
        <v>2000</v>
      </c>
      <c r="O1411" s="1">
        <v>2150</v>
      </c>
    </row>
    <row r="1412" spans="1:16" x14ac:dyDescent="0.3">
      <c r="A1412" t="s">
        <v>71</v>
      </c>
      <c r="B1412" s="3" t="s">
        <v>2897</v>
      </c>
      <c r="C1412" t="s">
        <v>70</v>
      </c>
      <c r="D1412" s="9">
        <f>VLOOKUP(A1412,[2]Sheet1!$A:$C,3,0)</f>
        <v>2</v>
      </c>
      <c r="J1412" s="1"/>
      <c r="K1412" s="1">
        <v>2200</v>
      </c>
      <c r="L1412" s="1">
        <v>2300</v>
      </c>
      <c r="M1412" s="1">
        <v>2350</v>
      </c>
      <c r="N1412" s="1">
        <v>2500</v>
      </c>
      <c r="O1412" s="1">
        <v>2650</v>
      </c>
    </row>
    <row r="1413" spans="1:16" x14ac:dyDescent="0.3">
      <c r="A1413" t="s">
        <v>69</v>
      </c>
      <c r="B1413" s="3" t="s">
        <v>2897</v>
      </c>
      <c r="C1413" t="s">
        <v>68</v>
      </c>
      <c r="D1413" s="9">
        <f>VLOOKUP(A1413,[2]Sheet1!$A:$C,3,0)</f>
        <v>2</v>
      </c>
      <c r="J1413" s="1"/>
      <c r="K1413" s="1">
        <v>2565</v>
      </c>
      <c r="L1413" s="1">
        <v>2650</v>
      </c>
      <c r="M1413" s="1">
        <v>2750</v>
      </c>
      <c r="N1413" s="1">
        <v>2890</v>
      </c>
      <c r="O1413" s="1">
        <v>3050</v>
      </c>
    </row>
    <row r="1414" spans="1:16" x14ac:dyDescent="0.3">
      <c r="A1414" t="s">
        <v>91</v>
      </c>
      <c r="B1414" s="3" t="s">
        <v>2898</v>
      </c>
      <c r="C1414" t="s">
        <v>90</v>
      </c>
      <c r="D1414" s="9">
        <f>VLOOKUP(A1414,[2]Sheet1!$A:$C,3,0)</f>
        <v>0</v>
      </c>
      <c r="J1414" s="1"/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6" x14ac:dyDescent="0.3">
      <c r="A1415" t="s">
        <v>89</v>
      </c>
      <c r="B1415" s="3" t="s">
        <v>2898</v>
      </c>
      <c r="C1415" t="s">
        <v>88</v>
      </c>
      <c r="D1415" s="9">
        <f>VLOOKUP(A1415,[2]Sheet1!$A:$C,3,0)</f>
        <v>0</v>
      </c>
      <c r="J1415" s="1"/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6" x14ac:dyDescent="0.3">
      <c r="A1416" s="9" t="s">
        <v>87</v>
      </c>
      <c r="B1416" s="10" t="s">
        <v>2899</v>
      </c>
      <c r="C1416" s="9" t="s">
        <v>86</v>
      </c>
      <c r="D1416" s="9">
        <f>VLOOKUP(A1416,[2]Sheet1!$A:$C,3,0)</f>
        <v>2</v>
      </c>
      <c r="E1416" s="10">
        <v>0</v>
      </c>
      <c r="F1416" s="10"/>
      <c r="G1416" s="28">
        <v>0</v>
      </c>
      <c r="H1416" s="10">
        <v>0</v>
      </c>
      <c r="I1416" s="13">
        <v>0</v>
      </c>
      <c r="J1416" s="10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9"/>
    </row>
    <row r="1417" spans="1:16" x14ac:dyDescent="0.3">
      <c r="A1417" s="9" t="s">
        <v>85</v>
      </c>
      <c r="B1417" s="10" t="s">
        <v>2900</v>
      </c>
      <c r="C1417" s="9" t="s">
        <v>84</v>
      </c>
      <c r="D1417" s="9">
        <f>VLOOKUP(A1417,[2]Sheet1!$A:$C,3,0)</f>
        <v>0</v>
      </c>
      <c r="E1417" s="10">
        <v>0</v>
      </c>
      <c r="F1417" s="10"/>
      <c r="G1417" s="28">
        <v>0</v>
      </c>
      <c r="H1417" s="10">
        <v>0</v>
      </c>
      <c r="I1417" s="13">
        <v>0</v>
      </c>
      <c r="J1417" s="10">
        <v>0</v>
      </c>
      <c r="K1417" s="12">
        <v>0</v>
      </c>
      <c r="L1417" s="12">
        <v>0</v>
      </c>
      <c r="M1417" s="12">
        <v>0</v>
      </c>
      <c r="N1417" s="12">
        <v>0</v>
      </c>
      <c r="O1417" s="12">
        <v>0</v>
      </c>
      <c r="P1417" s="9"/>
    </row>
    <row r="1418" spans="1:16" x14ac:dyDescent="0.3">
      <c r="A1418" s="9" t="s">
        <v>83</v>
      </c>
      <c r="B1418" s="10" t="s">
        <v>2901</v>
      </c>
      <c r="C1418" s="9" t="s">
        <v>82</v>
      </c>
      <c r="D1418" s="9">
        <f>VLOOKUP(A1418,[2]Sheet1!$A:$C,3,0)</f>
        <v>0</v>
      </c>
      <c r="E1418" s="10">
        <v>0</v>
      </c>
      <c r="F1418" s="10"/>
      <c r="G1418" s="28">
        <v>0</v>
      </c>
      <c r="H1418" s="10">
        <v>0</v>
      </c>
      <c r="I1418" s="13">
        <v>0</v>
      </c>
      <c r="J1418" s="10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9"/>
    </row>
    <row r="1419" spans="1:16" x14ac:dyDescent="0.3">
      <c r="A1419" s="9" t="s">
        <v>81</v>
      </c>
      <c r="B1419" s="10" t="s">
        <v>2902</v>
      </c>
      <c r="C1419" s="9" t="s">
        <v>80</v>
      </c>
      <c r="D1419" s="9">
        <f>VLOOKUP(A1419,[2]Sheet1!$A:$C,3,0)</f>
        <v>0</v>
      </c>
      <c r="E1419" s="10">
        <v>0</v>
      </c>
      <c r="F1419" s="10"/>
      <c r="G1419" s="28">
        <v>0</v>
      </c>
      <c r="H1419" s="10">
        <v>0</v>
      </c>
      <c r="I1419" s="13">
        <v>0</v>
      </c>
      <c r="J1419" s="10">
        <v>0</v>
      </c>
      <c r="K1419" s="12">
        <v>0</v>
      </c>
      <c r="L1419" s="12">
        <v>0</v>
      </c>
      <c r="M1419" s="12">
        <v>0</v>
      </c>
      <c r="N1419" s="12">
        <v>0</v>
      </c>
      <c r="O1419" s="12">
        <v>0</v>
      </c>
      <c r="P1419" s="9"/>
    </row>
    <row r="1420" spans="1:16" x14ac:dyDescent="0.3">
      <c r="A1420" t="s">
        <v>79</v>
      </c>
      <c r="B1420" s="3" t="s">
        <v>2902</v>
      </c>
      <c r="C1420" t="s">
        <v>78</v>
      </c>
      <c r="D1420" s="9">
        <f>VLOOKUP(A1420,[2]Sheet1!$A:$C,3,0)</f>
        <v>0</v>
      </c>
      <c r="J1420" s="1"/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6" x14ac:dyDescent="0.3">
      <c r="A1421" t="s">
        <v>67</v>
      </c>
      <c r="B1421" s="3" t="s">
        <v>2902</v>
      </c>
      <c r="C1421" t="s">
        <v>66</v>
      </c>
      <c r="D1421" s="9">
        <f>VLOOKUP(A1421,[2]Sheet1!$A:$C,3,0)</f>
        <v>0</v>
      </c>
      <c r="J1421" s="1"/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6" x14ac:dyDescent="0.3">
      <c r="A1422" t="s">
        <v>65</v>
      </c>
      <c r="B1422" s="3" t="s">
        <v>2902</v>
      </c>
      <c r="C1422" t="s">
        <v>64</v>
      </c>
      <c r="D1422" s="9">
        <f>VLOOKUP(A1422,[2]Sheet1!$A:$C,3,0)</f>
        <v>29</v>
      </c>
      <c r="J1422" s="1"/>
      <c r="K1422" s="2">
        <v>0</v>
      </c>
      <c r="L1422" s="1">
        <v>450</v>
      </c>
      <c r="M1422" s="1">
        <v>465</v>
      </c>
      <c r="N1422" s="1">
        <v>475</v>
      </c>
      <c r="O1422" s="1">
        <v>495</v>
      </c>
    </row>
    <row r="1423" spans="1:16" x14ac:dyDescent="0.3">
      <c r="A1423" t="s">
        <v>63</v>
      </c>
      <c r="B1423" s="3" t="s">
        <v>2902</v>
      </c>
      <c r="C1423" t="s">
        <v>62</v>
      </c>
      <c r="D1423" s="9">
        <f>VLOOKUP(A1423,[2]Sheet1!$A:$C,3,0)</f>
        <v>0</v>
      </c>
      <c r="J1423" s="1"/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6" x14ac:dyDescent="0.3">
      <c r="A1424" t="s">
        <v>61</v>
      </c>
      <c r="B1424" s="3" t="s">
        <v>2902</v>
      </c>
      <c r="C1424" t="s">
        <v>60</v>
      </c>
      <c r="D1424" s="9">
        <f>VLOOKUP(A1424,[2]Sheet1!$A:$C,3,0)</f>
        <v>108</v>
      </c>
      <c r="J1424" s="1"/>
      <c r="K1424" s="2">
        <v>0</v>
      </c>
      <c r="L1424" s="1">
        <v>450</v>
      </c>
      <c r="M1424" s="1">
        <v>465</v>
      </c>
      <c r="N1424" s="1">
        <v>475</v>
      </c>
      <c r="O1424" s="1">
        <v>495</v>
      </c>
    </row>
    <row r="1425" spans="1:16" x14ac:dyDescent="0.3">
      <c r="A1425" t="s">
        <v>59</v>
      </c>
      <c r="B1425" s="3" t="s">
        <v>2902</v>
      </c>
      <c r="C1425" t="s">
        <v>58</v>
      </c>
      <c r="D1425" s="9">
        <f>VLOOKUP(A1425,[2]Sheet1!$A:$C,3,0)</f>
        <v>114</v>
      </c>
      <c r="J1425" s="1"/>
      <c r="K1425" s="2">
        <v>0</v>
      </c>
      <c r="L1425" s="1">
        <v>315</v>
      </c>
      <c r="M1425" s="1">
        <v>325</v>
      </c>
      <c r="N1425" s="1">
        <v>335</v>
      </c>
      <c r="O1425" s="1">
        <v>350</v>
      </c>
    </row>
    <row r="1426" spans="1:16" x14ac:dyDescent="0.3">
      <c r="A1426" t="s">
        <v>57</v>
      </c>
      <c r="B1426" s="3" t="s">
        <v>2902</v>
      </c>
      <c r="C1426" t="s">
        <v>56</v>
      </c>
      <c r="D1426" s="9">
        <f>VLOOKUP(A1426,[2]Sheet1!$A:$C,3,0)</f>
        <v>75</v>
      </c>
      <c r="J1426" s="1"/>
      <c r="K1426" s="2">
        <v>0</v>
      </c>
      <c r="L1426" s="1">
        <v>135</v>
      </c>
      <c r="M1426" s="1">
        <v>140</v>
      </c>
      <c r="N1426" s="1">
        <v>145</v>
      </c>
      <c r="O1426" s="1">
        <v>150</v>
      </c>
    </row>
    <row r="1427" spans="1:16" x14ac:dyDescent="0.3">
      <c r="A1427" t="s">
        <v>55</v>
      </c>
      <c r="B1427" s="3" t="s">
        <v>2902</v>
      </c>
      <c r="C1427" t="s">
        <v>54</v>
      </c>
      <c r="D1427" s="9">
        <f>VLOOKUP(A1427,[2]Sheet1!$A:$C,3,0)</f>
        <v>63</v>
      </c>
      <c r="J1427" s="1"/>
      <c r="K1427" s="2">
        <v>0</v>
      </c>
      <c r="L1427" s="1">
        <v>325</v>
      </c>
      <c r="M1427" s="1">
        <v>345</v>
      </c>
      <c r="N1427" s="1">
        <v>350</v>
      </c>
      <c r="O1427" s="1">
        <v>375</v>
      </c>
    </row>
    <row r="1428" spans="1:16" x14ac:dyDescent="0.3">
      <c r="A1428" t="s">
        <v>53</v>
      </c>
      <c r="B1428" s="3" t="s">
        <v>2902</v>
      </c>
      <c r="C1428" t="s">
        <v>52</v>
      </c>
      <c r="D1428" s="9">
        <f>VLOOKUP(A1428,[2]Sheet1!$A:$C,3,0)</f>
        <v>49</v>
      </c>
      <c r="J1428" s="1"/>
      <c r="K1428" s="2">
        <v>0</v>
      </c>
      <c r="L1428" s="1">
        <v>170</v>
      </c>
      <c r="M1428" s="1">
        <v>175</v>
      </c>
      <c r="N1428" s="1">
        <v>180</v>
      </c>
      <c r="O1428" s="1">
        <v>195</v>
      </c>
    </row>
    <row r="1429" spans="1:16" x14ac:dyDescent="0.3">
      <c r="A1429" t="s">
        <v>51</v>
      </c>
      <c r="B1429" s="3" t="s">
        <v>2902</v>
      </c>
      <c r="C1429" t="s">
        <v>50</v>
      </c>
      <c r="D1429" s="9">
        <f>VLOOKUP(A1429,[2]Sheet1!$A:$C,3,0)</f>
        <v>85</v>
      </c>
      <c r="J1429" s="1"/>
      <c r="K1429" s="2">
        <v>0</v>
      </c>
      <c r="L1429" s="1">
        <v>465</v>
      </c>
      <c r="M1429" s="1">
        <v>475</v>
      </c>
      <c r="N1429" s="1">
        <v>485</v>
      </c>
      <c r="O1429" s="1">
        <v>525</v>
      </c>
    </row>
    <row r="1430" spans="1:16" x14ac:dyDescent="0.3">
      <c r="A1430" t="s">
        <v>49</v>
      </c>
      <c r="B1430" s="3" t="s">
        <v>2902</v>
      </c>
      <c r="C1430" t="s">
        <v>48</v>
      </c>
      <c r="D1430" s="9">
        <f>VLOOKUP(A1430,[2]Sheet1!$A:$C,3,0)</f>
        <v>39</v>
      </c>
      <c r="J1430" s="1"/>
      <c r="K1430" s="2">
        <v>0</v>
      </c>
      <c r="L1430" s="1">
        <v>815</v>
      </c>
      <c r="M1430" s="1">
        <v>850</v>
      </c>
      <c r="N1430" s="1">
        <v>875</v>
      </c>
      <c r="O1430" s="1">
        <v>925</v>
      </c>
    </row>
    <row r="1431" spans="1:16" x14ac:dyDescent="0.3">
      <c r="A1431" t="s">
        <v>43</v>
      </c>
      <c r="B1431" s="3" t="s">
        <v>2902</v>
      </c>
      <c r="C1431" t="s">
        <v>42</v>
      </c>
      <c r="D1431" s="9">
        <f>VLOOKUP(A1431,[2]Sheet1!$A:$C,3,0)</f>
        <v>16</v>
      </c>
      <c r="J1431" s="1"/>
      <c r="K1431" s="2">
        <v>0</v>
      </c>
      <c r="L1431" s="1">
        <v>315</v>
      </c>
      <c r="M1431" s="1">
        <v>325</v>
      </c>
      <c r="N1431" s="1">
        <v>335</v>
      </c>
      <c r="O1431" s="1">
        <v>350</v>
      </c>
    </row>
    <row r="1432" spans="1:16" x14ac:dyDescent="0.3">
      <c r="A1432" t="s">
        <v>2744</v>
      </c>
      <c r="B1432" s="3" t="s">
        <v>2902</v>
      </c>
      <c r="C1432" t="s">
        <v>2745</v>
      </c>
      <c r="D1432" s="9">
        <f>VLOOKUP(A1432,[2]Sheet1!$A:$C,3,0)</f>
        <v>20</v>
      </c>
      <c r="J1432" s="1"/>
      <c r="K1432" s="2">
        <v>0</v>
      </c>
      <c r="L1432" s="1">
        <v>135</v>
      </c>
      <c r="M1432" s="1">
        <v>140</v>
      </c>
      <c r="N1432" s="1">
        <v>145</v>
      </c>
      <c r="O1432" s="1">
        <v>150</v>
      </c>
    </row>
    <row r="1433" spans="1:16" x14ac:dyDescent="0.3">
      <c r="A1433" t="s">
        <v>2746</v>
      </c>
      <c r="B1433" s="3" t="s">
        <v>2902</v>
      </c>
      <c r="C1433" t="s">
        <v>2747</v>
      </c>
      <c r="D1433" s="9">
        <f>VLOOKUP(A1433,[2]Sheet1!$A:$C,3,0)</f>
        <v>10</v>
      </c>
      <c r="J1433" s="1"/>
      <c r="K1433" s="2">
        <v>0</v>
      </c>
      <c r="L1433" s="1">
        <v>325</v>
      </c>
      <c r="M1433" s="1">
        <v>345</v>
      </c>
      <c r="N1433" s="1">
        <v>350</v>
      </c>
      <c r="O1433" s="1">
        <v>375</v>
      </c>
    </row>
    <row r="1434" spans="1:16" x14ac:dyDescent="0.3">
      <c r="A1434" t="s">
        <v>2748</v>
      </c>
      <c r="B1434" s="3" t="s">
        <v>2902</v>
      </c>
      <c r="C1434" t="s">
        <v>2749</v>
      </c>
      <c r="D1434" s="9">
        <f>VLOOKUP(A1434,[2]Sheet1!$A:$C,3,0)</f>
        <v>20</v>
      </c>
      <c r="J1434" s="1"/>
      <c r="K1434" s="2">
        <v>0</v>
      </c>
      <c r="L1434" s="1">
        <v>170</v>
      </c>
      <c r="M1434" s="1">
        <v>175</v>
      </c>
      <c r="N1434" s="1">
        <v>180</v>
      </c>
      <c r="O1434" s="1">
        <v>195</v>
      </c>
    </row>
    <row r="1435" spans="1:16" x14ac:dyDescent="0.3">
      <c r="A1435" t="s">
        <v>41</v>
      </c>
      <c r="B1435" s="3" t="s">
        <v>2902</v>
      </c>
      <c r="C1435" t="s">
        <v>40</v>
      </c>
      <c r="D1435" s="9">
        <f>VLOOKUP(A1435,[2]Sheet1!$A:$C,3,0)</f>
        <v>18</v>
      </c>
      <c r="J1435" s="1"/>
      <c r="K1435" s="2">
        <v>0</v>
      </c>
      <c r="L1435" s="1">
        <v>465</v>
      </c>
      <c r="M1435" s="1">
        <v>475</v>
      </c>
      <c r="N1435" s="1">
        <v>485</v>
      </c>
      <c r="O1435" s="1">
        <v>525</v>
      </c>
    </row>
    <row r="1436" spans="1:16" x14ac:dyDescent="0.3">
      <c r="A1436" t="s">
        <v>39</v>
      </c>
      <c r="B1436" s="3" t="s">
        <v>2902</v>
      </c>
      <c r="C1436" t="s">
        <v>38</v>
      </c>
      <c r="D1436" s="9">
        <f>VLOOKUP(A1436,[2]Sheet1!$A:$C,3,0)</f>
        <v>11</v>
      </c>
      <c r="J1436" s="1"/>
      <c r="K1436" s="2">
        <v>0</v>
      </c>
      <c r="L1436" s="1">
        <v>815</v>
      </c>
      <c r="M1436" s="1">
        <v>850</v>
      </c>
      <c r="N1436" s="1">
        <v>875</v>
      </c>
      <c r="O1436" s="1">
        <v>925</v>
      </c>
    </row>
    <row r="1437" spans="1:16" x14ac:dyDescent="0.3">
      <c r="A1437" s="9" t="s">
        <v>77</v>
      </c>
      <c r="B1437" s="10" t="s">
        <v>2902</v>
      </c>
      <c r="C1437" s="9" t="s">
        <v>76</v>
      </c>
      <c r="D1437" s="9">
        <f>VLOOKUP(A1437,[2]Sheet1!$A:$C,3,0)</f>
        <v>0</v>
      </c>
      <c r="E1437" s="10">
        <v>0</v>
      </c>
      <c r="F1437" s="10"/>
      <c r="G1437" s="28">
        <v>0</v>
      </c>
      <c r="H1437" s="10">
        <v>0</v>
      </c>
      <c r="I1437" s="13">
        <v>0</v>
      </c>
      <c r="J1437" s="10">
        <v>0</v>
      </c>
      <c r="K1437" s="12">
        <v>0</v>
      </c>
      <c r="L1437" s="12">
        <v>0</v>
      </c>
      <c r="M1437" s="12">
        <v>0</v>
      </c>
      <c r="N1437" s="12">
        <v>0</v>
      </c>
      <c r="O1437" s="12">
        <v>0</v>
      </c>
      <c r="P1437" s="9"/>
    </row>
    <row r="1438" spans="1:16" x14ac:dyDescent="0.3">
      <c r="A1438" s="9" t="s">
        <v>75</v>
      </c>
      <c r="B1438" s="10" t="s">
        <v>2902</v>
      </c>
      <c r="C1438" s="9" t="s">
        <v>74</v>
      </c>
      <c r="D1438" s="9">
        <f>VLOOKUP(A1438,[2]Sheet1!$A:$C,3,0)</f>
        <v>0</v>
      </c>
      <c r="E1438" s="10">
        <v>0</v>
      </c>
      <c r="F1438" s="10"/>
      <c r="G1438" s="28">
        <v>0</v>
      </c>
      <c r="H1438" s="10">
        <v>0</v>
      </c>
      <c r="I1438" s="13">
        <v>0</v>
      </c>
      <c r="J1438" s="10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9"/>
    </row>
    <row r="1439" spans="1:16" x14ac:dyDescent="0.3">
      <c r="A1439" t="s">
        <v>15</v>
      </c>
      <c r="B1439" s="3" t="s">
        <v>2903</v>
      </c>
      <c r="C1439" t="s">
        <v>14</v>
      </c>
      <c r="D1439" s="9">
        <f>VLOOKUP(A1439,[2]Sheet1!$A:$C,3,0)</f>
        <v>39</v>
      </c>
      <c r="J1439" s="1"/>
      <c r="K1439" s="1">
        <v>625</v>
      </c>
      <c r="L1439" s="1">
        <v>635</v>
      </c>
      <c r="M1439" s="1">
        <v>675</v>
      </c>
      <c r="N1439" s="1">
        <v>715</v>
      </c>
      <c r="O1439" s="1">
        <v>750</v>
      </c>
    </row>
    <row r="1440" spans="1:16" x14ac:dyDescent="0.3">
      <c r="A1440" t="s">
        <v>19</v>
      </c>
      <c r="B1440" s="3" t="s">
        <v>2904</v>
      </c>
      <c r="C1440" t="s">
        <v>18</v>
      </c>
      <c r="D1440" s="9">
        <f>VLOOKUP(A1440,[2]Sheet1!$A:$C,3,0)</f>
        <v>0</v>
      </c>
      <c r="J1440" s="1"/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6" x14ac:dyDescent="0.3">
      <c r="A1441" s="9" t="s">
        <v>33</v>
      </c>
      <c r="B1441" s="10" t="s">
        <v>2905</v>
      </c>
      <c r="C1441" s="9" t="s">
        <v>32</v>
      </c>
      <c r="D1441" s="9">
        <f>VLOOKUP(A1441,[2]Sheet1!$A:$C,3,0)</f>
        <v>5</v>
      </c>
      <c r="E1441" s="10">
        <v>0</v>
      </c>
      <c r="F1441" s="10"/>
      <c r="G1441" s="28">
        <v>0</v>
      </c>
      <c r="H1441" s="10">
        <v>0</v>
      </c>
      <c r="I1441" s="13">
        <v>0</v>
      </c>
      <c r="J1441" s="10">
        <v>0</v>
      </c>
      <c r="K1441" s="12">
        <v>0</v>
      </c>
      <c r="L1441" s="12">
        <v>0</v>
      </c>
      <c r="M1441" s="12">
        <v>0</v>
      </c>
      <c r="N1441" s="12">
        <v>0</v>
      </c>
      <c r="O1441" s="12">
        <v>0</v>
      </c>
      <c r="P1441" s="9"/>
    </row>
    <row r="1442" spans="1:16" x14ac:dyDescent="0.3">
      <c r="A1442" s="9" t="s">
        <v>31</v>
      </c>
      <c r="B1442" s="10" t="s">
        <v>2906</v>
      </c>
      <c r="C1442" s="9" t="s">
        <v>30</v>
      </c>
      <c r="D1442" s="9">
        <f>VLOOKUP(A1442,[2]Sheet1!$A:$C,3,0)</f>
        <v>0</v>
      </c>
      <c r="E1442" s="10">
        <v>0</v>
      </c>
      <c r="F1442" s="10"/>
      <c r="G1442" s="28">
        <v>0</v>
      </c>
      <c r="H1442" s="10">
        <v>0</v>
      </c>
      <c r="I1442" s="13">
        <v>0</v>
      </c>
      <c r="J1442" s="10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9"/>
    </row>
    <row r="1443" spans="1:16" x14ac:dyDescent="0.3">
      <c r="A1443" s="9" t="s">
        <v>29</v>
      </c>
      <c r="B1443" s="10" t="s">
        <v>2907</v>
      </c>
      <c r="C1443" s="9" t="s">
        <v>28</v>
      </c>
      <c r="D1443" s="9">
        <f>VLOOKUP(A1443,[2]Sheet1!$A:$C,3,0)</f>
        <v>0</v>
      </c>
      <c r="E1443" s="10">
        <v>0</v>
      </c>
      <c r="F1443" s="10"/>
      <c r="G1443" s="28">
        <v>0</v>
      </c>
      <c r="H1443" s="10">
        <v>0</v>
      </c>
      <c r="I1443" s="13">
        <v>0</v>
      </c>
      <c r="J1443" s="10">
        <v>0</v>
      </c>
      <c r="K1443" s="12">
        <v>0</v>
      </c>
      <c r="L1443" s="12">
        <v>0</v>
      </c>
      <c r="M1443" s="12">
        <v>0</v>
      </c>
      <c r="N1443" s="12">
        <v>0</v>
      </c>
      <c r="O1443" s="12">
        <v>0</v>
      </c>
      <c r="P1443" s="9"/>
    </row>
    <row r="1444" spans="1:16" x14ac:dyDescent="0.3">
      <c r="A1444" t="s">
        <v>2817</v>
      </c>
      <c r="B1444" s="3" t="s">
        <v>2908</v>
      </c>
      <c r="C1444" t="s">
        <v>2818</v>
      </c>
      <c r="D1444" s="28">
        <f>VLOOKUP(A1444,[2]Sheet1!$A:$C,3,0)</f>
        <v>20</v>
      </c>
      <c r="E1444" s="3">
        <v>1</v>
      </c>
      <c r="G1444" s="21">
        <v>400</v>
      </c>
      <c r="H1444" s="1">
        <f>G1444/1.07</f>
        <v>373.83177570093454</v>
      </c>
      <c r="I1444" s="4">
        <v>0.14000000000000001</v>
      </c>
      <c r="J1444" s="20">
        <f>H1444-(H1444*14/100)</f>
        <v>321.49532710280369</v>
      </c>
      <c r="K1444" s="1">
        <v>425</v>
      </c>
      <c r="L1444" s="1">
        <v>450</v>
      </c>
      <c r="M1444" s="1">
        <v>485</v>
      </c>
      <c r="N1444" s="1">
        <v>500</v>
      </c>
      <c r="O1444" s="1">
        <v>550</v>
      </c>
    </row>
    <row r="1445" spans="1:16" x14ac:dyDescent="0.3">
      <c r="A1445" t="s">
        <v>13</v>
      </c>
      <c r="B1445" s="3" t="s">
        <v>2908</v>
      </c>
      <c r="C1445" t="s">
        <v>12</v>
      </c>
      <c r="D1445" s="28">
        <f>VLOOKUP(A1445,[2]Sheet1!$A:$C,3,0)</f>
        <v>23</v>
      </c>
      <c r="E1445" s="3">
        <v>1</v>
      </c>
      <c r="G1445" s="21">
        <v>450</v>
      </c>
      <c r="H1445" s="1">
        <f>G1445/1.07</f>
        <v>420.56074766355135</v>
      </c>
      <c r="I1445" s="4">
        <v>0.14000000000000001</v>
      </c>
      <c r="J1445" s="20">
        <f>H1445-(H1445*14/100)</f>
        <v>361.68224299065417</v>
      </c>
      <c r="K1445" s="1">
        <v>475</v>
      </c>
      <c r="L1445" s="1">
        <v>500</v>
      </c>
      <c r="M1445" s="1">
        <v>525</v>
      </c>
      <c r="N1445" s="1">
        <v>550</v>
      </c>
      <c r="O1445" s="1">
        <v>600</v>
      </c>
    </row>
    <row r="1446" spans="1:16" x14ac:dyDescent="0.3">
      <c r="A1446" t="s">
        <v>11</v>
      </c>
      <c r="B1446" s="3" t="s">
        <v>2908</v>
      </c>
      <c r="C1446" t="s">
        <v>10</v>
      </c>
      <c r="D1446" s="28">
        <f>VLOOKUP(A1446,[2]Sheet1!$A:$C,3,0)</f>
        <v>23</v>
      </c>
      <c r="E1446" s="3">
        <v>1</v>
      </c>
      <c r="G1446" s="21">
        <v>510</v>
      </c>
      <c r="H1446" s="1">
        <f t="shared" ref="H1445:H1449" si="8">G1446/1.07</f>
        <v>476.63551401869154</v>
      </c>
      <c r="I1446" s="4">
        <v>0.14000000000000001</v>
      </c>
      <c r="J1446" s="20">
        <f>H1446-(H1446*14/100)</f>
        <v>409.90654205607473</v>
      </c>
      <c r="K1446" s="1">
        <v>550</v>
      </c>
      <c r="L1446" s="1">
        <v>585</v>
      </c>
      <c r="M1446" s="1">
        <v>600</v>
      </c>
      <c r="N1446" s="1">
        <v>650</v>
      </c>
      <c r="O1446" s="1">
        <v>700</v>
      </c>
    </row>
    <row r="1447" spans="1:16" x14ac:dyDescent="0.3">
      <c r="A1447" t="s">
        <v>2750</v>
      </c>
      <c r="B1447" s="3" t="s">
        <v>2908</v>
      </c>
      <c r="C1447" t="s">
        <v>2751</v>
      </c>
      <c r="D1447" s="28">
        <f>VLOOKUP(A1447,[2]Sheet1!$A:$C,3,0)</f>
        <v>29</v>
      </c>
      <c r="E1447" s="3">
        <v>1</v>
      </c>
      <c r="G1447" s="21">
        <v>400</v>
      </c>
      <c r="H1447" s="1">
        <f t="shared" si="8"/>
        <v>373.83177570093454</v>
      </c>
      <c r="I1447" s="4">
        <v>0.14000000000000001</v>
      </c>
      <c r="J1447" s="20">
        <f>H1447-(H1447*14/100)</f>
        <v>321.49532710280369</v>
      </c>
      <c r="K1447" s="1">
        <v>425</v>
      </c>
      <c r="L1447" s="1">
        <v>450</v>
      </c>
      <c r="M1447" s="1">
        <v>485</v>
      </c>
      <c r="N1447" s="1">
        <v>500</v>
      </c>
      <c r="O1447" s="1">
        <v>550</v>
      </c>
    </row>
    <row r="1448" spans="1:16" x14ac:dyDescent="0.3">
      <c r="A1448" t="s">
        <v>2752</v>
      </c>
      <c r="B1448" s="3" t="s">
        <v>2908</v>
      </c>
      <c r="C1448" t="s">
        <v>2753</v>
      </c>
      <c r="D1448" s="28">
        <f>VLOOKUP(A1448,[2]Sheet1!$A:$C,3,0)</f>
        <v>34</v>
      </c>
      <c r="E1448" s="3">
        <v>1</v>
      </c>
      <c r="G1448" s="21">
        <v>450</v>
      </c>
      <c r="H1448" s="1">
        <f t="shared" si="8"/>
        <v>420.56074766355135</v>
      </c>
      <c r="I1448" s="4">
        <v>0.14000000000000001</v>
      </c>
      <c r="J1448" s="20">
        <f>H1448-(H1448*14/100)</f>
        <v>361.68224299065417</v>
      </c>
      <c r="K1448" s="1">
        <v>475</v>
      </c>
      <c r="L1448" s="1">
        <v>500</v>
      </c>
      <c r="M1448" s="1">
        <v>525</v>
      </c>
      <c r="N1448" s="1">
        <v>550</v>
      </c>
      <c r="O1448" s="1">
        <v>600</v>
      </c>
    </row>
    <row r="1449" spans="1:16" x14ac:dyDescent="0.3">
      <c r="A1449" t="s">
        <v>2754</v>
      </c>
      <c r="B1449" s="3" t="s">
        <v>2908</v>
      </c>
      <c r="C1449" t="s">
        <v>2755</v>
      </c>
      <c r="D1449" s="28">
        <f>VLOOKUP(A1449,[2]Sheet1!$A:$C,3,0)</f>
        <v>29</v>
      </c>
      <c r="E1449" s="3">
        <v>1</v>
      </c>
      <c r="G1449" s="21">
        <v>510</v>
      </c>
      <c r="H1449" s="1">
        <f t="shared" si="8"/>
        <v>476.63551401869154</v>
      </c>
      <c r="I1449" s="4">
        <v>0.14000000000000001</v>
      </c>
      <c r="J1449" s="20">
        <f>H1449-(H1449*14/100)</f>
        <v>409.90654205607473</v>
      </c>
      <c r="K1449" s="1">
        <v>550</v>
      </c>
      <c r="L1449" s="1">
        <v>585</v>
      </c>
      <c r="M1449" s="1">
        <v>600</v>
      </c>
      <c r="N1449" s="1">
        <v>650</v>
      </c>
      <c r="O1449" s="1">
        <v>700</v>
      </c>
    </row>
    <row r="1450" spans="1:16" x14ac:dyDescent="0.3">
      <c r="A1450" t="s">
        <v>27</v>
      </c>
      <c r="B1450" s="3" t="s">
        <v>2908</v>
      </c>
      <c r="C1450" t="s">
        <v>26</v>
      </c>
      <c r="D1450" s="28">
        <f>VLOOKUP(A1450,[2]Sheet1!$A:$C,3,0)</f>
        <v>0</v>
      </c>
      <c r="E1450" s="3" t="s">
        <v>2927</v>
      </c>
      <c r="G1450" s="21">
        <v>550</v>
      </c>
      <c r="H1450" s="1">
        <f>G1450/1.07</f>
        <v>514.01869158878503</v>
      </c>
      <c r="I1450" s="4">
        <v>0.14000000000000001</v>
      </c>
      <c r="J1450" s="20">
        <f>H1450-(H1450*14/100)</f>
        <v>442.05607476635515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6" x14ac:dyDescent="0.3">
      <c r="A1451" s="17" t="s">
        <v>25</v>
      </c>
      <c r="B1451" s="18" t="s">
        <v>2908</v>
      </c>
      <c r="C1451" s="17" t="s">
        <v>24</v>
      </c>
      <c r="D1451" s="30">
        <f>VLOOKUP(A1451,[2]Sheet1!$A:$C,3,0)</f>
        <v>306</v>
      </c>
      <c r="E1451" s="18" t="s">
        <v>2923</v>
      </c>
      <c r="F1451" s="18"/>
      <c r="G1451" s="30"/>
      <c r="H1451" s="19"/>
      <c r="I1451" s="15"/>
      <c r="J1451" s="31">
        <v>44.205599999999997</v>
      </c>
      <c r="K1451" s="19">
        <v>58</v>
      </c>
      <c r="L1451" s="19">
        <v>59</v>
      </c>
      <c r="M1451" s="19">
        <v>61</v>
      </c>
      <c r="N1451" s="19">
        <v>65</v>
      </c>
      <c r="O1451" s="19">
        <v>68</v>
      </c>
    </row>
    <row r="1452" spans="1:16" x14ac:dyDescent="0.3">
      <c r="A1452" t="s">
        <v>23</v>
      </c>
      <c r="B1452" s="3" t="s">
        <v>2908</v>
      </c>
      <c r="C1452" t="s">
        <v>22</v>
      </c>
      <c r="D1452" s="28">
        <f>VLOOKUP(A1452,[2]Sheet1!$A:$C,3,0)</f>
        <v>0</v>
      </c>
      <c r="E1452" s="3" t="s">
        <v>2927</v>
      </c>
      <c r="G1452" s="21">
        <v>640</v>
      </c>
      <c r="H1452" s="1">
        <f>G1452/1.07</f>
        <v>598.13084112149534</v>
      </c>
      <c r="I1452" s="4">
        <v>0.14000000000000001</v>
      </c>
      <c r="J1452" s="20">
        <f>H1452-(H1452*14/100)</f>
        <v>514.39252336448601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6" x14ac:dyDescent="0.3">
      <c r="A1453" s="17" t="s">
        <v>21</v>
      </c>
      <c r="B1453" s="18" t="s">
        <v>2908</v>
      </c>
      <c r="C1453" s="17" t="s">
        <v>20</v>
      </c>
      <c r="D1453" s="30">
        <f>VLOOKUP(A1453,[2]Sheet1!$A:$C,3,0)</f>
        <v>275</v>
      </c>
      <c r="E1453" s="18" t="s">
        <v>2923</v>
      </c>
      <c r="F1453" s="18"/>
      <c r="G1453" s="30"/>
      <c r="H1453" s="19"/>
      <c r="I1453" s="15"/>
      <c r="J1453" s="31">
        <v>51.439300000000003</v>
      </c>
      <c r="K1453" s="19">
        <v>67</v>
      </c>
      <c r="L1453" s="19">
        <v>68</v>
      </c>
      <c r="M1453" s="19">
        <v>71</v>
      </c>
      <c r="N1453" s="19">
        <v>75</v>
      </c>
      <c r="O1453" s="19">
        <v>78</v>
      </c>
    </row>
    <row r="1454" spans="1:16" x14ac:dyDescent="0.3">
      <c r="A1454" t="s">
        <v>17</v>
      </c>
      <c r="B1454" s="3" t="s">
        <v>2908</v>
      </c>
      <c r="C1454" t="s">
        <v>16</v>
      </c>
      <c r="D1454" s="28">
        <f>VLOOKUP(A1454,[2]Sheet1!$A:$C,3,0)</f>
        <v>8</v>
      </c>
      <c r="E1454" s="3" t="s">
        <v>2924</v>
      </c>
      <c r="G1454" s="21">
        <v>130</v>
      </c>
      <c r="H1454" s="1">
        <f>G1454/1.07</f>
        <v>121.49532710280373</v>
      </c>
      <c r="I1454" s="4">
        <v>0.11</v>
      </c>
      <c r="J1454" s="20">
        <f>H1454-(H1454*11/100)</f>
        <v>108.13084112149532</v>
      </c>
      <c r="K1454" s="1">
        <v>140</v>
      </c>
      <c r="L1454" s="1">
        <v>145</v>
      </c>
      <c r="M1454" s="1">
        <v>150</v>
      </c>
      <c r="N1454" s="1">
        <v>160</v>
      </c>
      <c r="O1454" s="1">
        <v>180</v>
      </c>
    </row>
    <row r="1455" spans="1:16" x14ac:dyDescent="0.3">
      <c r="A1455" t="s">
        <v>2819</v>
      </c>
      <c r="B1455" s="3" t="s">
        <v>2908</v>
      </c>
      <c r="C1455" t="s">
        <v>2820</v>
      </c>
      <c r="D1455" s="28">
        <f>VLOOKUP(A1455,[2]Sheet1!$A:$C,3,0)</f>
        <v>164</v>
      </c>
      <c r="E1455" s="3" t="s">
        <v>2924</v>
      </c>
      <c r="G1455" s="21">
        <v>140</v>
      </c>
      <c r="H1455" s="1">
        <f t="shared" ref="H1455:H1456" si="9">G1455/1.07</f>
        <v>130.84112149532709</v>
      </c>
      <c r="I1455" s="4">
        <v>0.14000000000000001</v>
      </c>
      <c r="J1455" s="20">
        <f>H1455-(H1455*14/100)</f>
        <v>112.52336448598129</v>
      </c>
      <c r="K1455" s="1">
        <v>130</v>
      </c>
      <c r="L1455" s="1">
        <v>135</v>
      </c>
      <c r="M1455" s="1">
        <v>145</v>
      </c>
      <c r="N1455" s="1">
        <v>160</v>
      </c>
      <c r="O1455" s="1">
        <v>179</v>
      </c>
    </row>
    <row r="1456" spans="1:16" x14ac:dyDescent="0.3">
      <c r="A1456" t="s">
        <v>2821</v>
      </c>
      <c r="B1456" s="3" t="s">
        <v>2908</v>
      </c>
      <c r="C1456" t="s">
        <v>2822</v>
      </c>
      <c r="D1456" s="28">
        <f>VLOOKUP(A1456,[2]Sheet1!$A:$C,3,0)</f>
        <v>99</v>
      </c>
      <c r="E1456" s="3" t="s">
        <v>2924</v>
      </c>
      <c r="G1456" s="21">
        <v>162</v>
      </c>
      <c r="H1456" s="1">
        <f t="shared" si="9"/>
        <v>151.4018691588785</v>
      </c>
      <c r="I1456" s="4">
        <v>0.14000000000000001</v>
      </c>
      <c r="J1456" s="20">
        <f>H1456-(H1456*14/100)</f>
        <v>130.20560747663552</v>
      </c>
      <c r="K1456" s="1">
        <v>155</v>
      </c>
      <c r="L1456" s="1">
        <v>165</v>
      </c>
      <c r="M1456" s="1">
        <v>175</v>
      </c>
      <c r="N1456" s="1">
        <v>200</v>
      </c>
      <c r="O1456" s="1">
        <v>205</v>
      </c>
    </row>
    <row r="1457" spans="1:16" x14ac:dyDescent="0.3">
      <c r="A1457" t="s">
        <v>9</v>
      </c>
      <c r="B1457" s="3" t="s">
        <v>2908</v>
      </c>
      <c r="C1457" t="s">
        <v>8</v>
      </c>
      <c r="D1457" s="28">
        <f>VLOOKUP(A1457,[2]Sheet1!$A:$C,3,0)</f>
        <v>0</v>
      </c>
      <c r="E1457" s="3" t="s">
        <v>2925</v>
      </c>
      <c r="G1457" s="21">
        <v>200</v>
      </c>
      <c r="H1457" s="1">
        <f>G1457/1.07</f>
        <v>186.91588785046727</v>
      </c>
      <c r="I1457" s="4">
        <v>0.14000000000000001</v>
      </c>
      <c r="J1457" s="20">
        <f>H1457-(H1457*14/100)</f>
        <v>160.74766355140184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6" x14ac:dyDescent="0.3">
      <c r="A1458" s="17" t="s">
        <v>7</v>
      </c>
      <c r="B1458" s="18" t="s">
        <v>2908</v>
      </c>
      <c r="C1458" s="17" t="s">
        <v>6</v>
      </c>
      <c r="D1458" s="30">
        <f>VLOOKUP(A1458,[2]Sheet1!$A:$C,3,0)</f>
        <v>148</v>
      </c>
      <c r="E1458" s="18" t="s">
        <v>2926</v>
      </c>
      <c r="F1458" s="18"/>
      <c r="G1458" s="30"/>
      <c r="H1458" s="19"/>
      <c r="I1458" s="15"/>
      <c r="J1458" s="31">
        <f>VLOOKUP(A1458,'[3]ราคาขาย 4-5-69'!$A:$G,7,0)</f>
        <v>4.67</v>
      </c>
      <c r="K1458" s="19">
        <v>5.5</v>
      </c>
      <c r="L1458" s="19">
        <v>6</v>
      </c>
      <c r="M1458" s="19">
        <v>6.5</v>
      </c>
      <c r="N1458" s="19">
        <v>7</v>
      </c>
      <c r="O1458" s="19">
        <v>8</v>
      </c>
    </row>
    <row r="1459" spans="1:16" x14ac:dyDescent="0.3">
      <c r="A1459" t="s">
        <v>2756</v>
      </c>
      <c r="B1459" s="3" t="s">
        <v>2908</v>
      </c>
      <c r="C1459" t="s">
        <v>2757</v>
      </c>
      <c r="D1459" s="28">
        <f>VLOOKUP(A1459,[2]Sheet1!$A:$C,3,0)</f>
        <v>212</v>
      </c>
      <c r="E1459" s="3" t="s">
        <v>2924</v>
      </c>
      <c r="G1459" s="21">
        <v>162</v>
      </c>
      <c r="H1459" s="1">
        <f t="shared" ref="H1459:H1461" si="10">G1459/1.07</f>
        <v>151.4018691588785</v>
      </c>
      <c r="I1459" s="4">
        <v>0.14000000000000001</v>
      </c>
      <c r="J1459" s="20">
        <f t="shared" ref="J1459:J1461" si="11">H1459-(H1459*14/100)</f>
        <v>130.20560747663552</v>
      </c>
      <c r="K1459" s="1">
        <v>155</v>
      </c>
      <c r="L1459" s="1">
        <v>165</v>
      </c>
      <c r="M1459" s="1">
        <v>175</v>
      </c>
      <c r="N1459" s="1">
        <v>200</v>
      </c>
      <c r="O1459" s="1">
        <v>205</v>
      </c>
    </row>
    <row r="1460" spans="1:16" x14ac:dyDescent="0.3">
      <c r="A1460" t="s">
        <v>2758</v>
      </c>
      <c r="B1460" s="3" t="s">
        <v>2908</v>
      </c>
      <c r="C1460" t="s">
        <v>2759</v>
      </c>
      <c r="D1460" s="28">
        <f>VLOOKUP(A1460,[2]Sheet1!$A:$C,3,0)</f>
        <v>218</v>
      </c>
      <c r="E1460" s="3" t="s">
        <v>2924</v>
      </c>
      <c r="G1460" s="21">
        <v>162</v>
      </c>
      <c r="H1460" s="1">
        <f t="shared" si="10"/>
        <v>151.4018691588785</v>
      </c>
      <c r="I1460" s="4">
        <v>0.14000000000000001</v>
      </c>
      <c r="J1460" s="20">
        <f t="shared" si="11"/>
        <v>130.20560747663552</v>
      </c>
      <c r="K1460" s="1">
        <v>155</v>
      </c>
      <c r="L1460" s="1">
        <v>165</v>
      </c>
      <c r="M1460" s="1">
        <v>175</v>
      </c>
      <c r="N1460" s="1">
        <v>200</v>
      </c>
      <c r="O1460" s="1">
        <v>205</v>
      </c>
    </row>
    <row r="1461" spans="1:16" x14ac:dyDescent="0.3">
      <c r="A1461" t="s">
        <v>2760</v>
      </c>
      <c r="B1461" s="3" t="s">
        <v>2908</v>
      </c>
      <c r="C1461" t="s">
        <v>2761</v>
      </c>
      <c r="D1461" s="28">
        <f>VLOOKUP(A1461,[2]Sheet1!$A:$C,3,0)</f>
        <v>100</v>
      </c>
      <c r="E1461" s="3" t="s">
        <v>2924</v>
      </c>
      <c r="G1461" s="21">
        <v>162</v>
      </c>
      <c r="H1461" s="1">
        <f t="shared" si="10"/>
        <v>151.4018691588785</v>
      </c>
      <c r="I1461" s="4">
        <v>0.14000000000000001</v>
      </c>
      <c r="J1461" s="20">
        <f t="shared" si="11"/>
        <v>130.20560747663552</v>
      </c>
      <c r="K1461" s="1">
        <v>155</v>
      </c>
      <c r="L1461" s="1">
        <v>165</v>
      </c>
      <c r="M1461" s="1">
        <v>175</v>
      </c>
      <c r="N1461" s="1">
        <v>200</v>
      </c>
      <c r="O1461" s="1">
        <v>205</v>
      </c>
    </row>
    <row r="1462" spans="1:16" x14ac:dyDescent="0.3">
      <c r="A1462" t="s">
        <v>37</v>
      </c>
      <c r="B1462" s="3" t="s">
        <v>2908</v>
      </c>
      <c r="C1462" t="s">
        <v>36</v>
      </c>
      <c r="D1462" s="28">
        <f>VLOOKUP(A1462,[2]Sheet1!$A:$C,3,0)</f>
        <v>0</v>
      </c>
      <c r="E1462" s="3" t="s">
        <v>2925</v>
      </c>
      <c r="G1462" s="21">
        <v>200</v>
      </c>
      <c r="H1462" s="1">
        <v>186.91589999999999</v>
      </c>
      <c r="I1462" s="4">
        <v>0.14000000000000001</v>
      </c>
      <c r="J1462" s="20">
        <f>H1462-(H1462*14/100)</f>
        <v>160.74767399999999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6" x14ac:dyDescent="0.3">
      <c r="A1463" s="17" t="s">
        <v>35</v>
      </c>
      <c r="B1463" s="18" t="s">
        <v>2908</v>
      </c>
      <c r="C1463" s="17" t="s">
        <v>34</v>
      </c>
      <c r="D1463" s="30">
        <f>VLOOKUP(A1463,[2]Sheet1!$A:$C,3,0)</f>
        <v>1002</v>
      </c>
      <c r="E1463" s="18" t="s">
        <v>2926</v>
      </c>
      <c r="F1463" s="18"/>
      <c r="G1463" s="30"/>
      <c r="H1463" s="19"/>
      <c r="I1463" s="15"/>
      <c r="J1463" s="31">
        <f>VLOOKUP(A1463,'[3]ราคาขาย 4-5-69'!$A:$G,7,0)</f>
        <v>4.67</v>
      </c>
      <c r="K1463" s="19">
        <v>5.5</v>
      </c>
      <c r="L1463" s="19">
        <v>6</v>
      </c>
      <c r="M1463" s="19">
        <v>6.5</v>
      </c>
      <c r="N1463" s="19">
        <v>7</v>
      </c>
      <c r="O1463" s="19">
        <v>8</v>
      </c>
    </row>
    <row r="1464" spans="1:16" x14ac:dyDescent="0.3">
      <c r="A1464" t="s">
        <v>2762</v>
      </c>
      <c r="B1464" s="3" t="s">
        <v>2908</v>
      </c>
      <c r="C1464" t="s">
        <v>2763</v>
      </c>
      <c r="D1464" s="28">
        <f>VLOOKUP(A1464,[2]Sheet1!$A:$C,3,0)</f>
        <v>108</v>
      </c>
      <c r="E1464" s="3" t="s">
        <v>2924</v>
      </c>
      <c r="G1464" s="21">
        <v>162</v>
      </c>
      <c r="H1464" s="1">
        <f t="shared" ref="H1464:H1466" si="12">G1464/1.07</f>
        <v>151.4018691588785</v>
      </c>
      <c r="I1464" s="4">
        <v>0.14000000000000001</v>
      </c>
      <c r="J1464" s="20">
        <f t="shared" ref="J1464:J1466" si="13">H1464-(H1464*14/100)</f>
        <v>130.20560747663552</v>
      </c>
      <c r="K1464" s="1">
        <v>155</v>
      </c>
      <c r="L1464" s="1">
        <v>165</v>
      </c>
      <c r="M1464" s="1">
        <v>175</v>
      </c>
      <c r="N1464" s="1">
        <v>200</v>
      </c>
      <c r="O1464" s="1">
        <v>205</v>
      </c>
    </row>
    <row r="1465" spans="1:16" x14ac:dyDescent="0.3">
      <c r="A1465" t="s">
        <v>2764</v>
      </c>
      <c r="B1465" s="3" t="s">
        <v>2908</v>
      </c>
      <c r="C1465" t="s">
        <v>2765</v>
      </c>
      <c r="D1465" s="28">
        <f>VLOOKUP(A1465,[2]Sheet1!$A:$C,3,0)</f>
        <v>109</v>
      </c>
      <c r="E1465" s="3" t="s">
        <v>2924</v>
      </c>
      <c r="G1465" s="21">
        <v>162</v>
      </c>
      <c r="H1465" s="1">
        <f t="shared" si="12"/>
        <v>151.4018691588785</v>
      </c>
      <c r="I1465" s="4">
        <v>0.14000000000000001</v>
      </c>
      <c r="J1465" s="20">
        <f t="shared" si="13"/>
        <v>130.20560747663552</v>
      </c>
      <c r="K1465" s="1">
        <v>155</v>
      </c>
      <c r="L1465" s="1">
        <v>165</v>
      </c>
      <c r="M1465" s="1">
        <v>175</v>
      </c>
      <c r="N1465" s="1">
        <v>200</v>
      </c>
      <c r="O1465" s="1">
        <v>205</v>
      </c>
    </row>
    <row r="1466" spans="1:16" x14ac:dyDescent="0.3">
      <c r="A1466" t="s">
        <v>2766</v>
      </c>
      <c r="B1466" s="3" t="s">
        <v>2908</v>
      </c>
      <c r="C1466" t="s">
        <v>2767</v>
      </c>
      <c r="D1466" s="28">
        <f>VLOOKUP(A1466,[2]Sheet1!$A:$C,3,0)</f>
        <v>107</v>
      </c>
      <c r="E1466" s="3" t="s">
        <v>2924</v>
      </c>
      <c r="G1466" s="21">
        <v>162</v>
      </c>
      <c r="H1466" s="1">
        <f t="shared" si="12"/>
        <v>151.4018691588785</v>
      </c>
      <c r="I1466" s="4">
        <v>0.14000000000000001</v>
      </c>
      <c r="J1466" s="20">
        <f t="shared" si="13"/>
        <v>130.20560747663552</v>
      </c>
      <c r="K1466" s="1">
        <v>155</v>
      </c>
      <c r="L1466" s="1">
        <v>165</v>
      </c>
      <c r="M1466" s="1">
        <v>175</v>
      </c>
      <c r="N1466" s="1">
        <v>200</v>
      </c>
      <c r="O1466" s="1">
        <v>205</v>
      </c>
    </row>
    <row r="1467" spans="1:16" x14ac:dyDescent="0.3">
      <c r="A1467" t="s">
        <v>5</v>
      </c>
      <c r="B1467" s="3" t="s">
        <v>2909</v>
      </c>
      <c r="C1467" t="s">
        <v>2768</v>
      </c>
      <c r="D1467" s="11">
        <f>VLOOKUP(A1467,[2]Sheet1!$A:$C,3,0)</f>
        <v>73</v>
      </c>
      <c r="E1467" s="3">
        <v>1</v>
      </c>
      <c r="G1467" s="21">
        <v>128</v>
      </c>
      <c r="H1467" s="1">
        <f>G1467/1.07</f>
        <v>119.62616822429906</v>
      </c>
      <c r="I1467" s="4">
        <v>0.14000000000000001</v>
      </c>
      <c r="J1467" s="1">
        <f>H1467-(H1467*14/100)</f>
        <v>102.87850467289719</v>
      </c>
      <c r="K1467" s="1">
        <v>140</v>
      </c>
      <c r="L1467" s="1">
        <v>145</v>
      </c>
      <c r="M1467" s="1">
        <v>150</v>
      </c>
      <c r="N1467" s="1">
        <v>160</v>
      </c>
      <c r="O1467" s="1">
        <v>185</v>
      </c>
    </row>
    <row r="1468" spans="1:16" x14ac:dyDescent="0.3">
      <c r="A1468" t="s">
        <v>4</v>
      </c>
      <c r="B1468" s="3" t="s">
        <v>2909</v>
      </c>
      <c r="C1468" t="s">
        <v>2769</v>
      </c>
      <c r="D1468" s="11">
        <f>VLOOKUP(A1468,[2]Sheet1!$A:$C,3,0)</f>
        <v>22</v>
      </c>
      <c r="E1468" s="3">
        <v>1</v>
      </c>
      <c r="G1468" s="21">
        <v>210</v>
      </c>
      <c r="H1468" s="1">
        <f>G1468/1.07</f>
        <v>196.26168224299064</v>
      </c>
      <c r="I1468" s="4">
        <v>0.14000000000000001</v>
      </c>
      <c r="J1468" s="1">
        <f>H1468-(H1468*14/100)</f>
        <v>168.78504672897196</v>
      </c>
      <c r="K1468" s="1">
        <v>205</v>
      </c>
      <c r="L1468" s="1">
        <v>215</v>
      </c>
      <c r="M1468" s="1">
        <v>235</v>
      </c>
      <c r="N1468" s="1">
        <v>240</v>
      </c>
      <c r="O1468" s="1">
        <v>265</v>
      </c>
    </row>
    <row r="1469" spans="1:16" x14ac:dyDescent="0.3">
      <c r="A1469" s="9" t="s">
        <v>3</v>
      </c>
      <c r="B1469" s="10" t="s">
        <v>2910</v>
      </c>
      <c r="C1469" s="9" t="s">
        <v>2</v>
      </c>
      <c r="D1469" s="9">
        <f>VLOOKUP(A1469,[2]Sheet1!$A:$C,3,0)</f>
        <v>0</v>
      </c>
      <c r="E1469" s="10">
        <v>0</v>
      </c>
      <c r="F1469" s="10"/>
      <c r="G1469" s="28">
        <v>0</v>
      </c>
      <c r="H1469" s="10">
        <v>0</v>
      </c>
      <c r="I1469" s="13">
        <v>0</v>
      </c>
      <c r="J1469" s="10">
        <v>0</v>
      </c>
      <c r="K1469" s="12">
        <v>0</v>
      </c>
      <c r="L1469" s="12">
        <v>0</v>
      </c>
      <c r="M1469" s="12">
        <v>0</v>
      </c>
      <c r="N1469" s="12">
        <v>0</v>
      </c>
      <c r="O1469" s="12">
        <v>0</v>
      </c>
      <c r="P1469" s="9"/>
    </row>
    <row r="1470" spans="1:16" x14ac:dyDescent="0.3">
      <c r="A1470" t="s">
        <v>1</v>
      </c>
      <c r="B1470" s="3" t="s">
        <v>2911</v>
      </c>
      <c r="C1470" t="s">
        <v>0</v>
      </c>
      <c r="D1470" s="11">
        <f>VLOOKUP(A1470,[2]Sheet1!$A:$C,3,0)</f>
        <v>54</v>
      </c>
      <c r="E1470" s="3" t="s">
        <v>2919</v>
      </c>
      <c r="H1470" s="1">
        <v>13.5</v>
      </c>
      <c r="I1470" s="4">
        <v>0</v>
      </c>
      <c r="J1470" s="1">
        <v>13.5</v>
      </c>
      <c r="K1470" s="1">
        <v>18</v>
      </c>
      <c r="L1470" s="1">
        <v>19</v>
      </c>
      <c r="M1470" s="1">
        <v>20</v>
      </c>
      <c r="N1470" s="1">
        <v>21</v>
      </c>
      <c r="O1470" s="1">
        <v>22</v>
      </c>
      <c r="P1470" t="s">
        <v>2790</v>
      </c>
    </row>
    <row r="1471" spans="1:16" x14ac:dyDescent="0.3">
      <c r="A1471" t="s">
        <v>2770</v>
      </c>
      <c r="B1471" s="3" t="s">
        <v>2912</v>
      </c>
      <c r="C1471" t="s">
        <v>2771</v>
      </c>
      <c r="D1471" s="11">
        <f>VLOOKUP(A1471,[2]Sheet1!$A:$C,3,0)</f>
        <v>51</v>
      </c>
      <c r="E1471" s="3" t="s">
        <v>2918</v>
      </c>
      <c r="H1471" s="1">
        <v>58</v>
      </c>
      <c r="I1471" s="4">
        <v>0</v>
      </c>
      <c r="J1471" s="1">
        <v>58</v>
      </c>
      <c r="K1471" s="1">
        <v>67</v>
      </c>
      <c r="L1471" s="1">
        <v>70</v>
      </c>
      <c r="M1471" s="1">
        <v>80</v>
      </c>
      <c r="N1471" s="1">
        <v>100</v>
      </c>
      <c r="O1471" s="1">
        <v>120</v>
      </c>
    </row>
  </sheetData>
  <autoFilter ref="A1:P1471" xr:uid="{9F9A639B-9204-4690-922B-F0FA709E714D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 4-5-69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PRODUCT8</cp:lastModifiedBy>
  <dcterms:created xsi:type="dcterms:W3CDTF">2026-02-24T03:51:05Z</dcterms:created>
  <dcterms:modified xsi:type="dcterms:W3CDTF">2026-05-14T09:35:38Z</dcterms:modified>
</cp:coreProperties>
</file>